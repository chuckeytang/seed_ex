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15" yWindow="-15" windowWidth="16260" windowHeight="8850" tabRatio="739" activeTab="6"/>
  </bookViews>
  <sheets>
    <sheet name="基本公式" sheetId="1" r:id="rId1"/>
    <sheet name="兵攻防" sheetId="2" r:id="rId2"/>
    <sheet name="产出与消耗" sheetId="3" r:id="rId3"/>
    <sheet name="建筑消耗" sheetId="4" r:id="rId4"/>
    <sheet name="建筑" sheetId="5" r:id="rId5"/>
    <sheet name="兵消耗" sheetId="6" r:id="rId6"/>
    <sheet name="科技" sheetId="7" r:id="rId7"/>
    <sheet name="武将" sheetId="8" r:id="rId8"/>
    <sheet name="武将基础数值" sheetId="12" r:id="rId9"/>
    <sheet name="大地图" sheetId="9" r:id="rId10"/>
    <sheet name="其他表格" sheetId="10" r:id="rId11"/>
  </sheets>
  <functionGroups builtInGroupCount="17"/>
  <definedNames>
    <definedName name="_xlnm._FilterDatabase" localSheetId="7" hidden="1">武将!$A$1:$Y$410</definedName>
  </definedNames>
  <calcPr calcId="144525"/>
</workbook>
</file>

<file path=xl/calcChain.xml><?xml version="1.0" encoding="utf-8"?>
<calcChain xmlns="http://schemas.openxmlformats.org/spreadsheetml/2006/main">
  <c r="C227" i="1" l="1"/>
  <c r="B231" i="1"/>
  <c r="B227" i="1" s="1"/>
  <c r="B229" i="1"/>
  <c r="B28" i="12" l="1"/>
  <c r="B24" i="12"/>
  <c r="B20" i="12"/>
  <c r="B16" i="12"/>
  <c r="B12" i="12"/>
  <c r="B8" i="12"/>
  <c r="B4" i="12"/>
  <c r="B31" i="12"/>
  <c r="B27" i="12"/>
  <c r="B23" i="12"/>
  <c r="B19" i="12"/>
  <c r="B15" i="12"/>
  <c r="B11" i="12"/>
  <c r="B7" i="12"/>
  <c r="B30" i="12"/>
  <c r="B26" i="12"/>
  <c r="B22" i="12"/>
  <c r="B18" i="12"/>
  <c r="B14" i="12"/>
  <c r="B10" i="12"/>
  <c r="B6" i="12"/>
  <c r="B29" i="12"/>
  <c r="B25" i="12"/>
  <c r="B21" i="12"/>
  <c r="B17" i="12"/>
  <c r="B13" i="12"/>
  <c r="B9" i="12"/>
  <c r="B5" i="12"/>
  <c r="B2" i="12"/>
  <c r="D28" i="12" l="1"/>
  <c r="D29" i="12" s="1"/>
  <c r="D30" i="12" s="1"/>
  <c r="D31" i="12" s="1"/>
  <c r="D27" i="12"/>
  <c r="D18" i="12"/>
  <c r="D19" i="12"/>
  <c r="D20" i="12" s="1"/>
  <c r="D21" i="12" s="1"/>
  <c r="D22" i="12" s="1"/>
  <c r="D23" i="12" s="1"/>
  <c r="D24" i="12" s="1"/>
  <c r="D25" i="12" s="1"/>
  <c r="D26" i="12" s="1"/>
  <c r="D17" i="12"/>
  <c r="D4" i="12"/>
  <c r="D5" i="12"/>
  <c r="D6" i="12" s="1"/>
  <c r="D7" i="12" s="1"/>
  <c r="D8" i="12" s="1"/>
  <c r="D9" i="12" s="1"/>
  <c r="D10" i="12" s="1"/>
  <c r="D11" i="12" s="1"/>
  <c r="D12" i="12" s="1"/>
  <c r="D13" i="12" s="1"/>
  <c r="D14" i="12" s="1"/>
  <c r="D15" i="12" s="1"/>
  <c r="D16" i="12" s="1"/>
  <c r="D3" i="12"/>
  <c r="N34" i="12"/>
  <c r="N35" i="12"/>
  <c r="N36" i="12"/>
  <c r="N37" i="12"/>
  <c r="N38" i="12"/>
  <c r="N39" i="12"/>
  <c r="N40" i="12"/>
  <c r="N41" i="12"/>
  <c r="N42" i="12"/>
  <c r="N43" i="12"/>
  <c r="N44" i="12"/>
  <c r="N45" i="12"/>
  <c r="N46" i="12"/>
  <c r="N47" i="12"/>
  <c r="N48" i="12"/>
  <c r="N49" i="12"/>
  <c r="N50" i="12"/>
  <c r="N51" i="12"/>
  <c r="N52" i="12"/>
  <c r="N53" i="12"/>
  <c r="N54" i="12"/>
  <c r="N55" i="12"/>
  <c r="N56" i="12"/>
  <c r="N57" i="12"/>
  <c r="N58" i="12"/>
  <c r="N59" i="12"/>
  <c r="N60" i="12"/>
  <c r="N61" i="12"/>
  <c r="N62" i="12"/>
  <c r="N63" i="12"/>
  <c r="N64" i="12"/>
  <c r="N65" i="12"/>
  <c r="N66" i="12"/>
  <c r="N67" i="12"/>
  <c r="N68" i="12"/>
  <c r="N69" i="12"/>
  <c r="N70" i="12"/>
  <c r="N71" i="12"/>
  <c r="N72" i="12"/>
  <c r="N73" i="12"/>
  <c r="N74" i="12"/>
  <c r="N75" i="12"/>
  <c r="N76" i="12"/>
  <c r="N77" i="12"/>
  <c r="N78" i="12"/>
  <c r="N79" i="12"/>
  <c r="N80" i="12"/>
  <c r="N33" i="12"/>
  <c r="P31" i="12"/>
  <c r="P23" i="12"/>
  <c r="P15" i="12"/>
  <c r="P28" i="12"/>
  <c r="P12" i="12"/>
  <c r="P19" i="12"/>
  <c r="P24" i="12"/>
  <c r="P29" i="12"/>
  <c r="P21" i="12"/>
  <c r="P13" i="12"/>
  <c r="P5" i="12"/>
  <c r="P26" i="12"/>
  <c r="P18" i="12"/>
  <c r="P10" i="12"/>
  <c r="P2" i="12"/>
  <c r="P11" i="12"/>
  <c r="P8" i="12"/>
  <c r="P25" i="12"/>
  <c r="P17" i="12"/>
  <c r="P9" i="12"/>
  <c r="P30" i="12"/>
  <c r="P22" i="12"/>
  <c r="P14" i="12"/>
  <c r="P6" i="12"/>
  <c r="P7" i="12"/>
  <c r="P20" i="12"/>
  <c r="P4" i="12"/>
  <c r="P27" i="12"/>
  <c r="P3" i="12"/>
  <c r="P16" i="12"/>
  <c r="R2" i="8"/>
  <c r="O16" i="12" l="1"/>
  <c r="E16" i="12" s="1"/>
  <c r="O3" i="12"/>
  <c r="E3" i="12" s="1"/>
  <c r="O27" i="12"/>
  <c r="E27" i="12" s="1"/>
  <c r="O4" i="12"/>
  <c r="E4" i="12" s="1"/>
  <c r="O20" i="12"/>
  <c r="E20" i="12" s="1"/>
  <c r="O7" i="12"/>
  <c r="E7" i="12" s="1"/>
  <c r="O6" i="12"/>
  <c r="E6" i="12" s="1"/>
  <c r="O14" i="12"/>
  <c r="E14" i="12" s="1"/>
  <c r="O22" i="12"/>
  <c r="E22" i="12" s="1"/>
  <c r="O30" i="12"/>
  <c r="E30" i="12" s="1"/>
  <c r="O9" i="12"/>
  <c r="E9" i="12" s="1"/>
  <c r="O17" i="12"/>
  <c r="E17" i="12" s="1"/>
  <c r="B5" i="9" s="1"/>
  <c r="O25" i="12"/>
  <c r="E25" i="12" s="1"/>
  <c r="O8" i="12"/>
  <c r="E8" i="12" s="1"/>
  <c r="O11" i="12"/>
  <c r="E11" i="12" s="1"/>
  <c r="B2" i="9" s="1"/>
  <c r="O2" i="12"/>
  <c r="E2" i="12" s="1"/>
  <c r="O10" i="12"/>
  <c r="E10" i="12" s="1"/>
  <c r="O18" i="12"/>
  <c r="E18" i="12" s="1"/>
  <c r="O26" i="12"/>
  <c r="E26" i="12" s="1"/>
  <c r="O5" i="12"/>
  <c r="E5" i="12" s="1"/>
  <c r="O13" i="12"/>
  <c r="E13" i="12" s="1"/>
  <c r="B3" i="9" s="1"/>
  <c r="O21" i="12"/>
  <c r="E21" i="12" s="1"/>
  <c r="O29" i="12"/>
  <c r="E29" i="12" s="1"/>
  <c r="O24" i="12"/>
  <c r="E24" i="12" s="1"/>
  <c r="O19" i="12"/>
  <c r="E19" i="12" s="1"/>
  <c r="O12" i="12"/>
  <c r="E12" i="12" s="1"/>
  <c r="O28" i="12"/>
  <c r="E28" i="12" s="1"/>
  <c r="O15" i="12"/>
  <c r="E15" i="12" s="1"/>
  <c r="O23" i="12"/>
  <c r="E23" i="12" s="1"/>
  <c r="B8" i="9" s="1"/>
  <c r="O31" i="12"/>
  <c r="E31" i="12" s="1"/>
  <c r="B11" i="9" s="1"/>
  <c r="Q4" i="12"/>
  <c r="Q6" i="12"/>
  <c r="Q8" i="12"/>
  <c r="Q10" i="12"/>
  <c r="Q12" i="12"/>
  <c r="Q14" i="12"/>
  <c r="Q16" i="12"/>
  <c r="Q18" i="12"/>
  <c r="Q20" i="12"/>
  <c r="Q22" i="12"/>
  <c r="Q24" i="12"/>
  <c r="Q26" i="12"/>
  <c r="Q28" i="12"/>
  <c r="Q30" i="12"/>
  <c r="Q3" i="12"/>
  <c r="Q5" i="12"/>
  <c r="Q7" i="12"/>
  <c r="Q9" i="12"/>
  <c r="Q11" i="12"/>
  <c r="Q13" i="12"/>
  <c r="Q15" i="12"/>
  <c r="Q17" i="12"/>
  <c r="Q19" i="12"/>
  <c r="Q21" i="12"/>
  <c r="Q23" i="12"/>
  <c r="Q25" i="12"/>
  <c r="Q27" i="12"/>
  <c r="Q29" i="12"/>
  <c r="Q31" i="12"/>
  <c r="Q2" i="12"/>
  <c r="N2" i="12" s="1"/>
  <c r="N4" i="12" l="1"/>
  <c r="N29" i="12"/>
  <c r="N25" i="12"/>
  <c r="N21" i="12"/>
  <c r="N17" i="12"/>
  <c r="N13" i="12"/>
  <c r="N9" i="12"/>
  <c r="N5" i="12"/>
  <c r="N30" i="12"/>
  <c r="N26" i="12"/>
  <c r="N22" i="12"/>
  <c r="N18" i="12"/>
  <c r="N14" i="12"/>
  <c r="N10" i="12"/>
  <c r="N6" i="12"/>
  <c r="N3" i="12"/>
  <c r="N31" i="12"/>
  <c r="N27" i="12"/>
  <c r="N23" i="12"/>
  <c r="N19" i="12"/>
  <c r="N15" i="12"/>
  <c r="N11" i="12"/>
  <c r="N7" i="12"/>
  <c r="N28" i="12"/>
  <c r="N24" i="12"/>
  <c r="N20" i="12"/>
  <c r="N16" i="12"/>
  <c r="N12" i="12"/>
  <c r="N8" i="12"/>
  <c r="B212" i="1" l="1"/>
  <c r="B195" i="1"/>
  <c r="C199" i="1"/>
  <c r="E199" i="1"/>
  <c r="B213" i="1" l="1"/>
  <c r="U33" i="12" s="1"/>
  <c r="T4" i="12"/>
  <c r="T12" i="12"/>
  <c r="T20" i="12"/>
  <c r="T28" i="12"/>
  <c r="T7" i="12"/>
  <c r="T15" i="12"/>
  <c r="T23" i="12"/>
  <c r="T31" i="12"/>
  <c r="T8" i="12"/>
  <c r="T11" i="12"/>
  <c r="T6" i="12"/>
  <c r="T14" i="12"/>
  <c r="T22" i="12"/>
  <c r="T30" i="12"/>
  <c r="T9" i="12"/>
  <c r="T17" i="12"/>
  <c r="T25" i="12"/>
  <c r="T24" i="12"/>
  <c r="T19" i="12"/>
  <c r="T10" i="12"/>
  <c r="T18" i="12"/>
  <c r="T26" i="12"/>
  <c r="T5" i="12"/>
  <c r="T13" i="12"/>
  <c r="T21" i="12"/>
  <c r="T29" i="12"/>
  <c r="T16" i="12"/>
  <c r="T3" i="12"/>
  <c r="T27" i="12"/>
  <c r="T74" i="12"/>
  <c r="T76" i="12"/>
  <c r="T78" i="12"/>
  <c r="T80" i="12"/>
  <c r="T35" i="12"/>
  <c r="T37" i="12"/>
  <c r="T39" i="12"/>
  <c r="T41" i="12"/>
  <c r="T43" i="12"/>
  <c r="T45" i="12"/>
  <c r="T47" i="12"/>
  <c r="T49" i="12"/>
  <c r="T51" i="12"/>
  <c r="T53" i="12"/>
  <c r="T55" i="12"/>
  <c r="T57" i="12"/>
  <c r="T59" i="12"/>
  <c r="T61" i="12"/>
  <c r="T63" i="12"/>
  <c r="T65" i="12"/>
  <c r="T67" i="12"/>
  <c r="T69" i="12"/>
  <c r="T71" i="12"/>
  <c r="T73" i="12"/>
  <c r="T75" i="12"/>
  <c r="T77" i="12"/>
  <c r="T79" i="12"/>
  <c r="T34" i="12"/>
  <c r="T36" i="12"/>
  <c r="T38" i="12"/>
  <c r="T40" i="12"/>
  <c r="T42" i="12"/>
  <c r="T44" i="12"/>
  <c r="T46" i="12"/>
  <c r="T48" i="12"/>
  <c r="T50" i="12"/>
  <c r="T52" i="12"/>
  <c r="T54" i="12"/>
  <c r="T56" i="12"/>
  <c r="T58" i="12"/>
  <c r="T60" i="12"/>
  <c r="T62" i="12"/>
  <c r="T64" i="12"/>
  <c r="T66" i="12"/>
  <c r="T68" i="12"/>
  <c r="T70" i="12"/>
  <c r="T72" i="12"/>
  <c r="T2" i="12"/>
  <c r="T33" i="12"/>
  <c r="E6" i="1"/>
  <c r="D6" i="1"/>
  <c r="C6" i="1"/>
  <c r="U17" i="12" l="1"/>
  <c r="L17" i="12" s="1"/>
  <c r="J17" i="12" s="1"/>
  <c r="U19" i="12"/>
  <c r="L19" i="12" s="1"/>
  <c r="J19" i="12" s="1"/>
  <c r="U16" i="12"/>
  <c r="L16" i="12" s="1"/>
  <c r="J16" i="12" s="1"/>
  <c r="U14" i="12"/>
  <c r="L14" i="12" s="1"/>
  <c r="J14" i="12" s="1"/>
  <c r="U20" i="12"/>
  <c r="L20" i="12" s="1"/>
  <c r="J20" i="12" s="1"/>
  <c r="U6" i="12"/>
  <c r="L6" i="12" s="1"/>
  <c r="J6" i="12" s="1"/>
  <c r="U13" i="12"/>
  <c r="L13" i="12" s="1"/>
  <c r="J13" i="12" s="1"/>
  <c r="U10" i="12"/>
  <c r="L10" i="12" s="1"/>
  <c r="J10" i="12" s="1"/>
  <c r="U22" i="12"/>
  <c r="L22" i="12" s="1"/>
  <c r="J22" i="12" s="1"/>
  <c r="U11" i="12"/>
  <c r="L11" i="12" s="1"/>
  <c r="J11" i="12" s="1"/>
  <c r="U8" i="12"/>
  <c r="L8" i="12" s="1"/>
  <c r="J8" i="12" s="1"/>
  <c r="U31" i="12"/>
  <c r="L31" i="12" s="1"/>
  <c r="J31" i="12" s="1"/>
  <c r="U12" i="12"/>
  <c r="L12" i="12" s="1"/>
  <c r="J12" i="12" s="1"/>
  <c r="U15" i="12"/>
  <c r="L15" i="12" s="1"/>
  <c r="J15" i="12" s="1"/>
  <c r="U5" i="12"/>
  <c r="L5" i="12" s="1"/>
  <c r="J5" i="12" s="1"/>
  <c r="U23" i="12"/>
  <c r="L23" i="12" s="1"/>
  <c r="J23" i="12" s="1"/>
  <c r="U3" i="12"/>
  <c r="L3" i="12" s="1"/>
  <c r="J3" i="12" s="1"/>
  <c r="U25" i="12"/>
  <c r="L25" i="12" s="1"/>
  <c r="J25" i="12" s="1"/>
  <c r="U7" i="12"/>
  <c r="L7" i="12" s="1"/>
  <c r="J7" i="12" s="1"/>
  <c r="U4" i="12"/>
  <c r="L4" i="12" s="1"/>
  <c r="J4" i="12" s="1"/>
  <c r="U29" i="12"/>
  <c r="L29" i="12" s="1"/>
  <c r="J29" i="12" s="1"/>
  <c r="U26" i="12"/>
  <c r="L26" i="12" s="1"/>
  <c r="J26" i="12" s="1"/>
  <c r="U27" i="12"/>
  <c r="L27" i="12" s="1"/>
  <c r="J27" i="12" s="1"/>
  <c r="U24" i="12"/>
  <c r="L24" i="12" s="1"/>
  <c r="J24" i="12" s="1"/>
  <c r="U9" i="12"/>
  <c r="L9" i="12" s="1"/>
  <c r="J9" i="12" s="1"/>
  <c r="U28" i="12"/>
  <c r="L28" i="12" s="1"/>
  <c r="J28" i="12" s="1"/>
  <c r="U30" i="12"/>
  <c r="L30" i="12" s="1"/>
  <c r="J30" i="12" s="1"/>
  <c r="U21" i="12"/>
  <c r="L21" i="12" s="1"/>
  <c r="J21" i="12" s="1"/>
  <c r="U18" i="12"/>
  <c r="L18" i="12" s="1"/>
  <c r="J18" i="12" s="1"/>
  <c r="U2" i="12"/>
  <c r="L2" i="12" s="1"/>
  <c r="J2" i="12" s="1"/>
  <c r="U75" i="12"/>
  <c r="L75" i="12" s="1"/>
  <c r="J75" i="12" s="1"/>
  <c r="U77" i="12"/>
  <c r="L77" i="12" s="1"/>
  <c r="J77" i="12" s="1"/>
  <c r="U79" i="12"/>
  <c r="L79" i="12" s="1"/>
  <c r="J79" i="12" s="1"/>
  <c r="U34" i="12"/>
  <c r="L34" i="12" s="1"/>
  <c r="J34" i="12" s="1"/>
  <c r="U36" i="12"/>
  <c r="L36" i="12" s="1"/>
  <c r="J36" i="12" s="1"/>
  <c r="U38" i="12"/>
  <c r="L38" i="12" s="1"/>
  <c r="J38" i="12" s="1"/>
  <c r="U40" i="12"/>
  <c r="L40" i="12" s="1"/>
  <c r="J40" i="12" s="1"/>
  <c r="U42" i="12"/>
  <c r="L42" i="12" s="1"/>
  <c r="J42" i="12" s="1"/>
  <c r="U44" i="12"/>
  <c r="L44" i="12" s="1"/>
  <c r="J44" i="12" s="1"/>
  <c r="U46" i="12"/>
  <c r="L46" i="12" s="1"/>
  <c r="J46" i="12" s="1"/>
  <c r="U48" i="12"/>
  <c r="L48" i="12" s="1"/>
  <c r="J48" i="12" s="1"/>
  <c r="U50" i="12"/>
  <c r="L50" i="12" s="1"/>
  <c r="J50" i="12" s="1"/>
  <c r="U52" i="12"/>
  <c r="L52" i="12" s="1"/>
  <c r="J52" i="12" s="1"/>
  <c r="U54" i="12"/>
  <c r="L54" i="12" s="1"/>
  <c r="J54" i="12" s="1"/>
  <c r="U56" i="12"/>
  <c r="L56" i="12" s="1"/>
  <c r="J56" i="12" s="1"/>
  <c r="U58" i="12"/>
  <c r="L58" i="12" s="1"/>
  <c r="J58" i="12" s="1"/>
  <c r="U60" i="12"/>
  <c r="L60" i="12" s="1"/>
  <c r="J60" i="12" s="1"/>
  <c r="U62" i="12"/>
  <c r="L62" i="12" s="1"/>
  <c r="J62" i="12" s="1"/>
  <c r="U64" i="12"/>
  <c r="L64" i="12" s="1"/>
  <c r="J64" i="12" s="1"/>
  <c r="U66" i="12"/>
  <c r="L66" i="12" s="1"/>
  <c r="J66" i="12" s="1"/>
  <c r="U68" i="12"/>
  <c r="L68" i="12" s="1"/>
  <c r="J68" i="12" s="1"/>
  <c r="U70" i="12"/>
  <c r="L70" i="12" s="1"/>
  <c r="J70" i="12" s="1"/>
  <c r="U72" i="12"/>
  <c r="L72" i="12" s="1"/>
  <c r="J72" i="12" s="1"/>
  <c r="U74" i="12"/>
  <c r="L74" i="12" s="1"/>
  <c r="J74" i="12" s="1"/>
  <c r="U76" i="12"/>
  <c r="L76" i="12" s="1"/>
  <c r="J76" i="12" s="1"/>
  <c r="U78" i="12"/>
  <c r="L78" i="12" s="1"/>
  <c r="J78" i="12" s="1"/>
  <c r="U80" i="12"/>
  <c r="L80" i="12" s="1"/>
  <c r="J80" i="12" s="1"/>
  <c r="U35" i="12"/>
  <c r="L35" i="12" s="1"/>
  <c r="J35" i="12" s="1"/>
  <c r="U37" i="12"/>
  <c r="L37" i="12" s="1"/>
  <c r="J37" i="12" s="1"/>
  <c r="U39" i="12"/>
  <c r="L39" i="12" s="1"/>
  <c r="J39" i="12" s="1"/>
  <c r="U41" i="12"/>
  <c r="L41" i="12" s="1"/>
  <c r="J41" i="12" s="1"/>
  <c r="U43" i="12"/>
  <c r="L43" i="12" s="1"/>
  <c r="J43" i="12" s="1"/>
  <c r="U45" i="12"/>
  <c r="L45" i="12" s="1"/>
  <c r="J45" i="12" s="1"/>
  <c r="U47" i="12"/>
  <c r="L47" i="12" s="1"/>
  <c r="J47" i="12" s="1"/>
  <c r="U49" i="12"/>
  <c r="L49" i="12" s="1"/>
  <c r="J49" i="12" s="1"/>
  <c r="U51" i="12"/>
  <c r="L51" i="12" s="1"/>
  <c r="J51" i="12" s="1"/>
  <c r="U53" i="12"/>
  <c r="L53" i="12" s="1"/>
  <c r="J53" i="12" s="1"/>
  <c r="U55" i="12"/>
  <c r="L55" i="12" s="1"/>
  <c r="J55" i="12" s="1"/>
  <c r="U57" i="12"/>
  <c r="L57" i="12" s="1"/>
  <c r="J57" i="12" s="1"/>
  <c r="U59" i="12"/>
  <c r="L59" i="12" s="1"/>
  <c r="J59" i="12" s="1"/>
  <c r="U61" i="12"/>
  <c r="L61" i="12" s="1"/>
  <c r="J61" i="12" s="1"/>
  <c r="U63" i="12"/>
  <c r="L63" i="12" s="1"/>
  <c r="J63" i="12" s="1"/>
  <c r="U65" i="12"/>
  <c r="L65" i="12" s="1"/>
  <c r="J65" i="12" s="1"/>
  <c r="U67" i="12"/>
  <c r="L67" i="12" s="1"/>
  <c r="J67" i="12" s="1"/>
  <c r="U69" i="12"/>
  <c r="L69" i="12" s="1"/>
  <c r="J69" i="12" s="1"/>
  <c r="U71" i="12"/>
  <c r="L71" i="12" s="1"/>
  <c r="J71" i="12" s="1"/>
  <c r="U73" i="12"/>
  <c r="L73" i="12" s="1"/>
  <c r="J73" i="12" s="1"/>
  <c r="L33" i="12"/>
  <c r="J33" i="12" s="1"/>
  <c r="M33" i="12"/>
  <c r="K33" i="12" s="1"/>
  <c r="B6" i="1"/>
  <c r="X33" i="10" s="1"/>
  <c r="L44" i="5"/>
  <c r="M44" i="5"/>
  <c r="N44" i="5"/>
  <c r="O44" i="5"/>
  <c r="P44" i="5"/>
  <c r="L45" i="5"/>
  <c r="M45" i="5"/>
  <c r="N45" i="5"/>
  <c r="O45" i="5"/>
  <c r="P45" i="5"/>
  <c r="L46" i="5"/>
  <c r="M46" i="5"/>
  <c r="N46" i="5"/>
  <c r="O46" i="5"/>
  <c r="P46" i="5"/>
  <c r="L47" i="5"/>
  <c r="M47" i="5"/>
  <c r="N47" i="5"/>
  <c r="O47" i="5"/>
  <c r="P47" i="5"/>
  <c r="L48" i="5"/>
  <c r="M48" i="5"/>
  <c r="O48" i="5"/>
  <c r="P48" i="5"/>
  <c r="L49" i="5"/>
  <c r="M49" i="5"/>
  <c r="O49" i="5"/>
  <c r="P49" i="5"/>
  <c r="L50" i="5"/>
  <c r="M50" i="5"/>
  <c r="O50" i="5"/>
  <c r="P50" i="5"/>
  <c r="L51" i="5"/>
  <c r="M51" i="5"/>
  <c r="O51" i="5"/>
  <c r="P51" i="5"/>
  <c r="L52" i="5"/>
  <c r="M52" i="5"/>
  <c r="O52" i="5"/>
  <c r="P52" i="5"/>
  <c r="L53" i="5"/>
  <c r="M53" i="5"/>
  <c r="P53" i="5"/>
  <c r="L54" i="5"/>
  <c r="M54" i="5"/>
  <c r="P54" i="5"/>
  <c r="L55" i="5"/>
  <c r="M55" i="5"/>
  <c r="P55" i="5"/>
  <c r="L56" i="5"/>
  <c r="M56" i="5"/>
  <c r="P56" i="5"/>
  <c r="L57" i="5"/>
  <c r="M57" i="5"/>
  <c r="L58" i="5"/>
  <c r="M58" i="5"/>
  <c r="L59" i="5"/>
  <c r="M59" i="5"/>
  <c r="L60" i="5"/>
  <c r="M60" i="5"/>
  <c r="L61" i="5"/>
  <c r="M61" i="5"/>
  <c r="L62" i="5"/>
  <c r="M62" i="5"/>
  <c r="L63" i="5"/>
  <c r="M63" i="5"/>
  <c r="U44" i="5" l="1"/>
  <c r="Q44" i="5"/>
  <c r="T45" i="5"/>
  <c r="M3" i="12"/>
  <c r="K3" i="12" s="1"/>
  <c r="M8" i="12"/>
  <c r="K8" i="12" s="1"/>
  <c r="I8" i="12" s="1"/>
  <c r="C8" i="12" s="1"/>
  <c r="M21" i="12"/>
  <c r="K21" i="12" s="1"/>
  <c r="M14" i="12"/>
  <c r="K14" i="12" s="1"/>
  <c r="I14" i="12" s="1"/>
  <c r="M20" i="12"/>
  <c r="K20" i="12" s="1"/>
  <c r="M19" i="12"/>
  <c r="K19" i="12" s="1"/>
  <c r="I19" i="12" s="1"/>
  <c r="M31" i="12"/>
  <c r="K31" i="12" s="1"/>
  <c r="M13" i="12"/>
  <c r="K13" i="12" s="1"/>
  <c r="I13" i="12" s="1"/>
  <c r="M7" i="12"/>
  <c r="K7" i="12" s="1"/>
  <c r="I7" i="12" s="1"/>
  <c r="C7" i="12" s="1"/>
  <c r="M18" i="12"/>
  <c r="K18" i="12" s="1"/>
  <c r="I18" i="12" s="1"/>
  <c r="M15" i="12"/>
  <c r="K15" i="12" s="1"/>
  <c r="M26" i="12"/>
  <c r="K26" i="12" s="1"/>
  <c r="I26" i="12" s="1"/>
  <c r="M9" i="12"/>
  <c r="K9" i="12" s="1"/>
  <c r="I9" i="12" s="1"/>
  <c r="C9" i="12" s="1"/>
  <c r="M11" i="12"/>
  <c r="K11" i="12" s="1"/>
  <c r="I11" i="12" s="1"/>
  <c r="C11" i="12" s="1"/>
  <c r="I3" i="12"/>
  <c r="C3" i="12" s="1"/>
  <c r="I20" i="12"/>
  <c r="M17" i="12"/>
  <c r="K17" i="12" s="1"/>
  <c r="I17" i="12" s="1"/>
  <c r="M29" i="12"/>
  <c r="K29" i="12" s="1"/>
  <c r="I29" i="12" s="1"/>
  <c r="M22" i="12"/>
  <c r="K22" i="12" s="1"/>
  <c r="I22" i="12" s="1"/>
  <c r="M27" i="12"/>
  <c r="K27" i="12" s="1"/>
  <c r="I27" i="12" s="1"/>
  <c r="M30" i="12"/>
  <c r="K30" i="12" s="1"/>
  <c r="I30" i="12" s="1"/>
  <c r="M23" i="12"/>
  <c r="K23" i="12" s="1"/>
  <c r="I23" i="12" s="1"/>
  <c r="M5" i="12"/>
  <c r="K5" i="12" s="1"/>
  <c r="I5" i="12" s="1"/>
  <c r="C5" i="12" s="1"/>
  <c r="I15" i="12"/>
  <c r="I21" i="12"/>
  <c r="I31" i="12"/>
  <c r="M28" i="12"/>
  <c r="K28" i="12" s="1"/>
  <c r="I28" i="12" s="1"/>
  <c r="M10" i="12"/>
  <c r="K10" i="12" s="1"/>
  <c r="I10" i="12" s="1"/>
  <c r="C10" i="12" s="1"/>
  <c r="M4" i="12"/>
  <c r="K4" i="12" s="1"/>
  <c r="I4" i="12" s="1"/>
  <c r="C4" i="12" s="1"/>
  <c r="M25" i="12"/>
  <c r="K25" i="12" s="1"/>
  <c r="I25" i="12" s="1"/>
  <c r="M12" i="12"/>
  <c r="K12" i="12" s="1"/>
  <c r="I12" i="12" s="1"/>
  <c r="M24" i="12"/>
  <c r="K24" i="12" s="1"/>
  <c r="I24" i="12" s="1"/>
  <c r="M6" i="12"/>
  <c r="K6" i="12" s="1"/>
  <c r="I6" i="12" s="1"/>
  <c r="C6" i="12" s="1"/>
  <c r="M16" i="12"/>
  <c r="K16" i="12" s="1"/>
  <c r="I16" i="12" s="1"/>
  <c r="I33" i="12"/>
  <c r="X34" i="10"/>
  <c r="X32" i="10"/>
  <c r="X29" i="10"/>
  <c r="M80" i="12"/>
  <c r="K80" i="12" s="1"/>
  <c r="I80" i="12" s="1"/>
  <c r="M65" i="12"/>
  <c r="K65" i="12" s="1"/>
  <c r="I65" i="12" s="1"/>
  <c r="M50" i="12"/>
  <c r="K50" i="12" s="1"/>
  <c r="I50" i="12" s="1"/>
  <c r="M74" i="12"/>
  <c r="K74" i="12" s="1"/>
  <c r="I74" i="12" s="1"/>
  <c r="M59" i="12"/>
  <c r="K59" i="12" s="1"/>
  <c r="I59" i="12" s="1"/>
  <c r="M44" i="12"/>
  <c r="K44" i="12" s="1"/>
  <c r="I44" i="12" s="1"/>
  <c r="M76" i="12"/>
  <c r="K76" i="12" s="1"/>
  <c r="I76" i="12" s="1"/>
  <c r="M61" i="12"/>
  <c r="K61" i="12" s="1"/>
  <c r="I61" i="12" s="1"/>
  <c r="M46" i="12"/>
  <c r="K46" i="12" s="1"/>
  <c r="I46" i="12" s="1"/>
  <c r="M78" i="12"/>
  <c r="K78" i="12" s="1"/>
  <c r="I78" i="12" s="1"/>
  <c r="M63" i="12"/>
  <c r="K63" i="12" s="1"/>
  <c r="I63" i="12" s="1"/>
  <c r="M48" i="12"/>
  <c r="K48" i="12" s="1"/>
  <c r="I48" i="12" s="1"/>
  <c r="M41" i="12"/>
  <c r="K41" i="12" s="1"/>
  <c r="I41" i="12" s="1"/>
  <c r="M73" i="12"/>
  <c r="K73" i="12" s="1"/>
  <c r="I73" i="12" s="1"/>
  <c r="M58" i="12"/>
  <c r="K58" i="12" s="1"/>
  <c r="I58" i="12" s="1"/>
  <c r="M35" i="12"/>
  <c r="K35" i="12" s="1"/>
  <c r="I35" i="12" s="1"/>
  <c r="M67" i="12"/>
  <c r="K67" i="12" s="1"/>
  <c r="M52" i="12"/>
  <c r="K52" i="12" s="1"/>
  <c r="I52" i="12" s="1"/>
  <c r="M37" i="12"/>
  <c r="K37" i="12" s="1"/>
  <c r="I37" i="12" s="1"/>
  <c r="M69" i="12"/>
  <c r="K69" i="12" s="1"/>
  <c r="I69" i="12" s="1"/>
  <c r="M54" i="12"/>
  <c r="K54" i="12" s="1"/>
  <c r="I54" i="12" s="1"/>
  <c r="M39" i="12"/>
  <c r="K39" i="12" s="1"/>
  <c r="I39" i="12" s="1"/>
  <c r="M71" i="12"/>
  <c r="K71" i="12" s="1"/>
  <c r="I71" i="12" s="1"/>
  <c r="M56" i="12"/>
  <c r="K56" i="12" s="1"/>
  <c r="I56" i="12" s="1"/>
  <c r="M49" i="12"/>
  <c r="K49" i="12" s="1"/>
  <c r="I49" i="12" s="1"/>
  <c r="M34" i="12"/>
  <c r="K34" i="12" s="1"/>
  <c r="I34" i="12" s="1"/>
  <c r="M66" i="12"/>
  <c r="K66" i="12" s="1"/>
  <c r="I66" i="12" s="1"/>
  <c r="M43" i="12"/>
  <c r="K43" i="12" s="1"/>
  <c r="I43" i="12" s="1"/>
  <c r="M75" i="12"/>
  <c r="K75" i="12" s="1"/>
  <c r="I75" i="12" s="1"/>
  <c r="M60" i="12"/>
  <c r="K60" i="12" s="1"/>
  <c r="I60" i="12" s="1"/>
  <c r="M45" i="12"/>
  <c r="K45" i="12" s="1"/>
  <c r="I45" i="12" s="1"/>
  <c r="M77" i="12"/>
  <c r="K77" i="12" s="1"/>
  <c r="I77" i="12" s="1"/>
  <c r="M62" i="12"/>
  <c r="K62" i="12" s="1"/>
  <c r="I62" i="12" s="1"/>
  <c r="M47" i="12"/>
  <c r="K47" i="12" s="1"/>
  <c r="I47" i="12" s="1"/>
  <c r="M79" i="12"/>
  <c r="K79" i="12" s="1"/>
  <c r="I79" i="12" s="1"/>
  <c r="M64" i="12"/>
  <c r="K64" i="12" s="1"/>
  <c r="I64" i="12" s="1"/>
  <c r="I67" i="12"/>
  <c r="M57" i="12"/>
  <c r="K57" i="12" s="1"/>
  <c r="I57" i="12" s="1"/>
  <c r="M42" i="12"/>
  <c r="K42" i="12" s="1"/>
  <c r="I42" i="12" s="1"/>
  <c r="M2" i="12"/>
  <c r="K2" i="12" s="1"/>
  <c r="I2" i="12" s="1"/>
  <c r="C2" i="12" s="1"/>
  <c r="M51" i="12"/>
  <c r="K51" i="12" s="1"/>
  <c r="I51" i="12" s="1"/>
  <c r="M36" i="12"/>
  <c r="K36" i="12" s="1"/>
  <c r="I36" i="12" s="1"/>
  <c r="M68" i="12"/>
  <c r="K68" i="12" s="1"/>
  <c r="I68" i="12" s="1"/>
  <c r="M53" i="12"/>
  <c r="K53" i="12" s="1"/>
  <c r="I53" i="12" s="1"/>
  <c r="M38" i="12"/>
  <c r="K38" i="12" s="1"/>
  <c r="I38" i="12" s="1"/>
  <c r="M70" i="12"/>
  <c r="K70" i="12" s="1"/>
  <c r="I70" i="12" s="1"/>
  <c r="M55" i="12"/>
  <c r="K55" i="12" s="1"/>
  <c r="I55" i="12" s="1"/>
  <c r="M40" i="12"/>
  <c r="K40" i="12" s="1"/>
  <c r="I40" i="12" s="1"/>
  <c r="M72" i="12"/>
  <c r="K72" i="12" s="1"/>
  <c r="I72" i="12" s="1"/>
  <c r="X43" i="10"/>
  <c r="X36" i="10"/>
  <c r="X47" i="10"/>
  <c r="X46" i="10"/>
  <c r="X40" i="10"/>
  <c r="X38" i="10"/>
  <c r="X45" i="10"/>
  <c r="X41" i="10"/>
  <c r="X31" i="10"/>
  <c r="X35" i="10"/>
  <c r="X42" i="10"/>
  <c r="X37" i="10"/>
  <c r="X39" i="10"/>
  <c r="X28" i="10"/>
  <c r="X44" i="10"/>
  <c r="X30" i="10"/>
  <c r="Q46" i="5"/>
  <c r="S45" i="5"/>
  <c r="U47" i="5"/>
  <c r="R44" i="5"/>
  <c r="S44" i="5"/>
  <c r="T44" i="5"/>
  <c r="S47" i="5"/>
  <c r="R46" i="5"/>
  <c r="T46" i="5"/>
  <c r="U45" i="5"/>
  <c r="T47" i="5"/>
  <c r="Q45" i="5"/>
  <c r="U46" i="5"/>
  <c r="R47" i="5"/>
  <c r="R45" i="5"/>
  <c r="Q47" i="5"/>
  <c r="S46" i="5"/>
  <c r="K409" i="8"/>
  <c r="J409" i="8"/>
  <c r="M408" i="8"/>
  <c r="L408" i="8"/>
  <c r="K408" i="8"/>
  <c r="J408" i="8"/>
  <c r="M407" i="8"/>
  <c r="L407" i="8"/>
  <c r="K407" i="8"/>
  <c r="J407" i="8"/>
  <c r="M406" i="8"/>
  <c r="L406" i="8"/>
  <c r="K406" i="8"/>
  <c r="J406" i="8"/>
  <c r="M405" i="8"/>
  <c r="L405" i="8"/>
  <c r="K405" i="8"/>
  <c r="J405" i="8"/>
  <c r="M404" i="8"/>
  <c r="L404" i="8"/>
  <c r="K404" i="8"/>
  <c r="J404" i="8"/>
  <c r="M403" i="8"/>
  <c r="L403" i="8"/>
  <c r="K403" i="8"/>
  <c r="J403" i="8"/>
  <c r="M402" i="8"/>
  <c r="L402" i="8"/>
  <c r="K402" i="8"/>
  <c r="J402" i="8"/>
  <c r="M401" i="8"/>
  <c r="L401" i="8"/>
  <c r="K401" i="8"/>
  <c r="J401" i="8"/>
  <c r="M400" i="8"/>
  <c r="L400" i="8"/>
  <c r="K400" i="8"/>
  <c r="J400" i="8"/>
  <c r="M399" i="8"/>
  <c r="L399" i="8"/>
  <c r="K399" i="8"/>
  <c r="J399" i="8"/>
  <c r="M398" i="8"/>
  <c r="L398" i="8"/>
  <c r="K398" i="8"/>
  <c r="J398" i="8"/>
  <c r="M397" i="8"/>
  <c r="L397" i="8"/>
  <c r="K397" i="8"/>
  <c r="J397" i="8"/>
  <c r="M396" i="8"/>
  <c r="L396" i="8"/>
  <c r="K396" i="8"/>
  <c r="J396" i="8"/>
  <c r="M395" i="8"/>
  <c r="L395" i="8"/>
  <c r="K395" i="8"/>
  <c r="J395" i="8"/>
  <c r="M394" i="8"/>
  <c r="L394" i="8"/>
  <c r="K394" i="8"/>
  <c r="J394" i="8"/>
  <c r="M393" i="8"/>
  <c r="L393" i="8"/>
  <c r="K393" i="8"/>
  <c r="J393" i="8"/>
  <c r="M392" i="8"/>
  <c r="L392" i="8"/>
  <c r="K392" i="8"/>
  <c r="J392" i="8"/>
  <c r="M391" i="8"/>
  <c r="L391" i="8"/>
  <c r="K391" i="8"/>
  <c r="J391" i="8"/>
  <c r="M390" i="8"/>
  <c r="L390" i="8"/>
  <c r="K390" i="8"/>
  <c r="J390" i="8"/>
  <c r="M389" i="8"/>
  <c r="L389" i="8"/>
  <c r="K389" i="8"/>
  <c r="J389" i="8"/>
  <c r="M388" i="8"/>
  <c r="L388" i="8"/>
  <c r="K388" i="8"/>
  <c r="J388" i="8"/>
  <c r="M387" i="8"/>
  <c r="L387" i="8"/>
  <c r="K387" i="8"/>
  <c r="J387" i="8"/>
  <c r="M386" i="8"/>
  <c r="L386" i="8"/>
  <c r="K386" i="8"/>
  <c r="J386" i="8"/>
  <c r="M385" i="8"/>
  <c r="L385" i="8"/>
  <c r="K385" i="8"/>
  <c r="J385" i="8"/>
  <c r="M384" i="8"/>
  <c r="L384" i="8"/>
  <c r="K384" i="8"/>
  <c r="J384" i="8"/>
  <c r="M383" i="8"/>
  <c r="L383" i="8"/>
  <c r="K383" i="8"/>
  <c r="J383" i="8"/>
  <c r="M382" i="8"/>
  <c r="L382" i="8"/>
  <c r="K382" i="8"/>
  <c r="J382" i="8"/>
  <c r="M381" i="8"/>
  <c r="L381" i="8"/>
  <c r="K381" i="8"/>
  <c r="J381" i="8"/>
  <c r="M380" i="8"/>
  <c r="L380" i="8"/>
  <c r="K380" i="8"/>
  <c r="J380" i="8"/>
  <c r="M379" i="8"/>
  <c r="L379" i="8"/>
  <c r="K379" i="8"/>
  <c r="J379" i="8"/>
  <c r="M378" i="8"/>
  <c r="L378" i="8"/>
  <c r="K378" i="8"/>
  <c r="J378" i="8"/>
  <c r="M377" i="8"/>
  <c r="L377" i="8"/>
  <c r="K377" i="8"/>
  <c r="J377" i="8"/>
  <c r="M376" i="8"/>
  <c r="L376" i="8"/>
  <c r="K376" i="8"/>
  <c r="J376" i="8"/>
  <c r="M375" i="8"/>
  <c r="L375" i="8"/>
  <c r="K375" i="8"/>
  <c r="J375" i="8"/>
  <c r="M374" i="8"/>
  <c r="L374" i="8"/>
  <c r="K374" i="8"/>
  <c r="J374" i="8"/>
  <c r="M373" i="8"/>
  <c r="L373" i="8"/>
  <c r="K373" i="8"/>
  <c r="J373" i="8"/>
  <c r="M372" i="8"/>
  <c r="L372" i="8"/>
  <c r="K372" i="8"/>
  <c r="J372" i="8"/>
  <c r="M371" i="8"/>
  <c r="L371" i="8"/>
  <c r="K371" i="8"/>
  <c r="J371" i="8"/>
  <c r="M370" i="8"/>
  <c r="L370" i="8"/>
  <c r="K370" i="8"/>
  <c r="J370" i="8"/>
  <c r="M369" i="8"/>
  <c r="L369" i="8"/>
  <c r="K369" i="8"/>
  <c r="J369" i="8"/>
  <c r="M368" i="8"/>
  <c r="L368" i="8"/>
  <c r="K368" i="8"/>
  <c r="J368" i="8"/>
  <c r="M367" i="8"/>
  <c r="L367" i="8"/>
  <c r="K367" i="8"/>
  <c r="J367" i="8"/>
  <c r="M366" i="8"/>
  <c r="L366" i="8"/>
  <c r="K366" i="8"/>
  <c r="J366" i="8"/>
  <c r="M365" i="8"/>
  <c r="L365" i="8"/>
  <c r="K365" i="8"/>
  <c r="J365" i="8"/>
  <c r="M364" i="8"/>
  <c r="L364" i="8"/>
  <c r="K364" i="8"/>
  <c r="J364" i="8"/>
  <c r="M363" i="8"/>
  <c r="L363" i="8"/>
  <c r="K363" i="8"/>
  <c r="J363" i="8"/>
  <c r="M362" i="8"/>
  <c r="L362" i="8"/>
  <c r="K362" i="8"/>
  <c r="J362" i="8"/>
  <c r="M361" i="8"/>
  <c r="L361" i="8"/>
  <c r="K361" i="8"/>
  <c r="J361" i="8"/>
  <c r="M360" i="8"/>
  <c r="L360" i="8"/>
  <c r="K360" i="8"/>
  <c r="J360" i="8"/>
  <c r="M359" i="8"/>
  <c r="L359" i="8"/>
  <c r="K359" i="8"/>
  <c r="J359" i="8"/>
  <c r="M358" i="8"/>
  <c r="L358" i="8"/>
  <c r="K358" i="8"/>
  <c r="J358" i="8"/>
  <c r="M357" i="8"/>
  <c r="L357" i="8"/>
  <c r="K357" i="8"/>
  <c r="J357" i="8"/>
  <c r="M356" i="8"/>
  <c r="L356" i="8"/>
  <c r="K356" i="8"/>
  <c r="J356" i="8"/>
  <c r="M355" i="8"/>
  <c r="L355" i="8"/>
  <c r="K355" i="8"/>
  <c r="J355" i="8"/>
  <c r="M354" i="8"/>
  <c r="L354" i="8"/>
  <c r="K354" i="8"/>
  <c r="J354" i="8"/>
  <c r="M353" i="8"/>
  <c r="L353" i="8"/>
  <c r="K353" i="8"/>
  <c r="J353" i="8"/>
  <c r="M352" i="8"/>
  <c r="L352" i="8"/>
  <c r="K352" i="8"/>
  <c r="J352" i="8"/>
  <c r="M351" i="8"/>
  <c r="L351" i="8"/>
  <c r="K351" i="8"/>
  <c r="J351" i="8"/>
  <c r="M350" i="8"/>
  <c r="L350" i="8"/>
  <c r="K350" i="8"/>
  <c r="J350" i="8"/>
  <c r="M349" i="8"/>
  <c r="L349" i="8"/>
  <c r="K349" i="8"/>
  <c r="J349" i="8"/>
  <c r="M348" i="8"/>
  <c r="L348" i="8"/>
  <c r="K348" i="8"/>
  <c r="J348" i="8"/>
  <c r="M347" i="8"/>
  <c r="L347" i="8"/>
  <c r="K347" i="8"/>
  <c r="J347" i="8"/>
  <c r="M346" i="8"/>
  <c r="L346" i="8"/>
  <c r="K346" i="8"/>
  <c r="J346" i="8"/>
  <c r="M345" i="8"/>
  <c r="L345" i="8"/>
  <c r="K345" i="8"/>
  <c r="J345" i="8"/>
  <c r="M344" i="8"/>
  <c r="L344" i="8"/>
  <c r="K344" i="8"/>
  <c r="J344" i="8"/>
  <c r="M343" i="8"/>
  <c r="L343" i="8"/>
  <c r="K343" i="8"/>
  <c r="J343" i="8"/>
  <c r="M342" i="8"/>
  <c r="L342" i="8"/>
  <c r="K342" i="8"/>
  <c r="J342" i="8"/>
  <c r="M341" i="8"/>
  <c r="L341" i="8"/>
  <c r="K341" i="8"/>
  <c r="J341" i="8"/>
  <c r="M340" i="8"/>
  <c r="L340" i="8"/>
  <c r="K340" i="8"/>
  <c r="J340" i="8"/>
  <c r="M339" i="8"/>
  <c r="L339" i="8"/>
  <c r="K339" i="8"/>
  <c r="J339" i="8"/>
  <c r="M338" i="8"/>
  <c r="L338" i="8"/>
  <c r="K338" i="8"/>
  <c r="J338" i="8"/>
  <c r="M337" i="8"/>
  <c r="L337" i="8"/>
  <c r="K337" i="8"/>
  <c r="J337" i="8"/>
  <c r="M336" i="8"/>
  <c r="L336" i="8"/>
  <c r="K336" i="8"/>
  <c r="J336" i="8"/>
  <c r="M335" i="8"/>
  <c r="L335" i="8"/>
  <c r="K335" i="8"/>
  <c r="J335" i="8"/>
  <c r="M334" i="8"/>
  <c r="L334" i="8"/>
  <c r="K334" i="8"/>
  <c r="J334" i="8"/>
  <c r="M333" i="8"/>
  <c r="L333" i="8"/>
  <c r="K333" i="8"/>
  <c r="J333" i="8"/>
  <c r="M332" i="8"/>
  <c r="L332" i="8"/>
  <c r="K332" i="8"/>
  <c r="J332" i="8"/>
  <c r="M331" i="8"/>
  <c r="L331" i="8"/>
  <c r="K331" i="8"/>
  <c r="J331" i="8"/>
  <c r="M330" i="8"/>
  <c r="L330" i="8"/>
  <c r="K330" i="8"/>
  <c r="J330" i="8"/>
  <c r="M329" i="8"/>
  <c r="L329" i="8"/>
  <c r="K329" i="8"/>
  <c r="J329" i="8"/>
  <c r="M328" i="8"/>
  <c r="L328" i="8"/>
  <c r="K328" i="8"/>
  <c r="J328" i="8"/>
  <c r="M327" i="8"/>
  <c r="L327" i="8"/>
  <c r="K327" i="8"/>
  <c r="J327" i="8"/>
  <c r="M326" i="8"/>
  <c r="L326" i="8"/>
  <c r="K326" i="8"/>
  <c r="J326" i="8"/>
  <c r="M325" i="8"/>
  <c r="L325" i="8"/>
  <c r="K325" i="8"/>
  <c r="J325" i="8"/>
  <c r="M324" i="8"/>
  <c r="L324" i="8"/>
  <c r="K324" i="8"/>
  <c r="J324" i="8"/>
  <c r="M323" i="8"/>
  <c r="L323" i="8"/>
  <c r="K323" i="8"/>
  <c r="J323" i="8"/>
  <c r="M322" i="8"/>
  <c r="L322" i="8"/>
  <c r="K322" i="8"/>
  <c r="J322" i="8"/>
  <c r="M321" i="8"/>
  <c r="L321" i="8"/>
  <c r="K321" i="8"/>
  <c r="J321" i="8"/>
  <c r="M320" i="8"/>
  <c r="L320" i="8"/>
  <c r="K320" i="8"/>
  <c r="J320" i="8"/>
  <c r="M319" i="8"/>
  <c r="L319" i="8"/>
  <c r="K319" i="8"/>
  <c r="J319" i="8"/>
  <c r="M318" i="8"/>
  <c r="L318" i="8"/>
  <c r="K318" i="8"/>
  <c r="J318" i="8"/>
  <c r="M317" i="8"/>
  <c r="L317" i="8"/>
  <c r="K317" i="8"/>
  <c r="J317" i="8"/>
  <c r="M316" i="8"/>
  <c r="L316" i="8"/>
  <c r="K316" i="8"/>
  <c r="J316" i="8"/>
  <c r="M315" i="8"/>
  <c r="L315" i="8"/>
  <c r="K315" i="8"/>
  <c r="J315" i="8"/>
  <c r="M314" i="8"/>
  <c r="L314" i="8"/>
  <c r="K314" i="8"/>
  <c r="J314" i="8"/>
  <c r="M313" i="8"/>
  <c r="L313" i="8"/>
  <c r="K313" i="8"/>
  <c r="J313" i="8"/>
  <c r="M312" i="8"/>
  <c r="L312" i="8"/>
  <c r="K312" i="8"/>
  <c r="J312" i="8"/>
  <c r="M311" i="8"/>
  <c r="L311" i="8"/>
  <c r="K311" i="8"/>
  <c r="J311" i="8"/>
  <c r="M310" i="8"/>
  <c r="L310" i="8"/>
  <c r="K310" i="8"/>
  <c r="J310" i="8"/>
  <c r="M309" i="8"/>
  <c r="L309" i="8"/>
  <c r="K309" i="8"/>
  <c r="J309" i="8"/>
  <c r="M308" i="8"/>
  <c r="L308" i="8"/>
  <c r="K308" i="8"/>
  <c r="J308" i="8"/>
  <c r="M307" i="8"/>
  <c r="L307" i="8"/>
  <c r="K307" i="8"/>
  <c r="J307" i="8"/>
  <c r="M306" i="8"/>
  <c r="L306" i="8"/>
  <c r="K306" i="8"/>
  <c r="J306" i="8"/>
  <c r="M305" i="8"/>
  <c r="L305" i="8"/>
  <c r="K305" i="8"/>
  <c r="J305" i="8"/>
  <c r="M304" i="8"/>
  <c r="L304" i="8"/>
  <c r="K304" i="8"/>
  <c r="J304" i="8"/>
  <c r="M303" i="8"/>
  <c r="L303" i="8"/>
  <c r="K303" i="8"/>
  <c r="J303" i="8"/>
  <c r="M302" i="8"/>
  <c r="L302" i="8"/>
  <c r="K302" i="8"/>
  <c r="J302" i="8"/>
  <c r="M301" i="8"/>
  <c r="L301" i="8"/>
  <c r="K301" i="8"/>
  <c r="J301" i="8"/>
  <c r="M300" i="8"/>
  <c r="L300" i="8"/>
  <c r="K300" i="8"/>
  <c r="J300" i="8"/>
  <c r="M299" i="8"/>
  <c r="L299" i="8"/>
  <c r="K299" i="8"/>
  <c r="J299" i="8"/>
  <c r="M298" i="8"/>
  <c r="L298" i="8"/>
  <c r="K298" i="8"/>
  <c r="J298" i="8"/>
  <c r="M297" i="8"/>
  <c r="L297" i="8"/>
  <c r="K297" i="8"/>
  <c r="J297" i="8"/>
  <c r="M296" i="8"/>
  <c r="L296" i="8"/>
  <c r="K296" i="8"/>
  <c r="J296" i="8"/>
  <c r="M295" i="8"/>
  <c r="L295" i="8"/>
  <c r="K295" i="8"/>
  <c r="J295" i="8"/>
  <c r="M294" i="8"/>
  <c r="L294" i="8"/>
  <c r="K294" i="8"/>
  <c r="J294" i="8"/>
  <c r="M293" i="8"/>
  <c r="L293" i="8"/>
  <c r="K293" i="8"/>
  <c r="J293" i="8"/>
  <c r="M292" i="8"/>
  <c r="L292" i="8"/>
  <c r="K292" i="8"/>
  <c r="J292" i="8"/>
  <c r="M291" i="8"/>
  <c r="L291" i="8"/>
  <c r="K291" i="8"/>
  <c r="J291" i="8"/>
  <c r="M290" i="8"/>
  <c r="L290" i="8"/>
  <c r="K290" i="8"/>
  <c r="J290" i="8"/>
  <c r="M289" i="8"/>
  <c r="L289" i="8"/>
  <c r="K289" i="8"/>
  <c r="J289" i="8"/>
  <c r="M288" i="8"/>
  <c r="L288" i="8"/>
  <c r="K288" i="8"/>
  <c r="J288" i="8"/>
  <c r="M287" i="8"/>
  <c r="L287" i="8"/>
  <c r="K287" i="8"/>
  <c r="J287" i="8"/>
  <c r="M286" i="8"/>
  <c r="L286" i="8"/>
  <c r="K286" i="8"/>
  <c r="J286" i="8"/>
  <c r="M285" i="8"/>
  <c r="L285" i="8"/>
  <c r="K285" i="8"/>
  <c r="J285" i="8"/>
  <c r="M284" i="8"/>
  <c r="L284" i="8"/>
  <c r="K284" i="8"/>
  <c r="J284" i="8"/>
  <c r="M283" i="8"/>
  <c r="L283" i="8"/>
  <c r="K283" i="8"/>
  <c r="J283" i="8"/>
  <c r="M282" i="8"/>
  <c r="L282" i="8"/>
  <c r="K282" i="8"/>
  <c r="J282" i="8"/>
  <c r="M281" i="8"/>
  <c r="L281" i="8"/>
  <c r="K281" i="8"/>
  <c r="J281" i="8"/>
  <c r="M280" i="8"/>
  <c r="L280" i="8"/>
  <c r="K280" i="8"/>
  <c r="J280" i="8"/>
  <c r="M279" i="8"/>
  <c r="L279" i="8"/>
  <c r="K279" i="8"/>
  <c r="J279" i="8"/>
  <c r="M278" i="8"/>
  <c r="L278" i="8"/>
  <c r="K278" i="8"/>
  <c r="J278" i="8"/>
  <c r="M277" i="8"/>
  <c r="L277" i="8"/>
  <c r="K277" i="8"/>
  <c r="J277" i="8"/>
  <c r="M276" i="8"/>
  <c r="L276" i="8"/>
  <c r="K276" i="8"/>
  <c r="J276" i="8"/>
  <c r="M275" i="8"/>
  <c r="L275" i="8"/>
  <c r="K275" i="8"/>
  <c r="J275" i="8"/>
  <c r="M274" i="8"/>
  <c r="L274" i="8"/>
  <c r="K274" i="8"/>
  <c r="J274" i="8"/>
  <c r="M273" i="8"/>
  <c r="L273" i="8"/>
  <c r="K273" i="8"/>
  <c r="J273" i="8"/>
  <c r="M272" i="8"/>
  <c r="L272" i="8"/>
  <c r="K272" i="8"/>
  <c r="J272" i="8"/>
  <c r="M271" i="8"/>
  <c r="L271" i="8"/>
  <c r="K271" i="8"/>
  <c r="J271" i="8"/>
  <c r="M270" i="8"/>
  <c r="L270" i="8"/>
  <c r="K270" i="8"/>
  <c r="J270" i="8"/>
  <c r="M269" i="8"/>
  <c r="L269" i="8"/>
  <c r="K269" i="8"/>
  <c r="J269" i="8"/>
  <c r="M268" i="8"/>
  <c r="L268" i="8"/>
  <c r="K268" i="8"/>
  <c r="J268" i="8"/>
  <c r="M267" i="8"/>
  <c r="L267" i="8"/>
  <c r="K267" i="8"/>
  <c r="J267" i="8"/>
  <c r="M266" i="8"/>
  <c r="L266" i="8"/>
  <c r="K266" i="8"/>
  <c r="J266" i="8"/>
  <c r="M265" i="8"/>
  <c r="L265" i="8"/>
  <c r="K265" i="8"/>
  <c r="J265" i="8"/>
  <c r="M264" i="8"/>
  <c r="L264" i="8"/>
  <c r="K264" i="8"/>
  <c r="J264" i="8"/>
  <c r="M263" i="8"/>
  <c r="L263" i="8"/>
  <c r="K263" i="8"/>
  <c r="J263" i="8"/>
  <c r="M262" i="8"/>
  <c r="L262" i="8"/>
  <c r="K262" i="8"/>
  <c r="J262" i="8"/>
  <c r="M261" i="8"/>
  <c r="L261" i="8"/>
  <c r="K261" i="8"/>
  <c r="J261" i="8"/>
  <c r="M260" i="8"/>
  <c r="L260" i="8"/>
  <c r="K260" i="8"/>
  <c r="J260" i="8"/>
  <c r="M259" i="8"/>
  <c r="L259" i="8"/>
  <c r="K259" i="8"/>
  <c r="J259" i="8"/>
  <c r="M258" i="8"/>
  <c r="L258" i="8"/>
  <c r="K258" i="8"/>
  <c r="J258" i="8"/>
  <c r="M257" i="8"/>
  <c r="L257" i="8"/>
  <c r="K257" i="8"/>
  <c r="J257" i="8"/>
  <c r="M256" i="8"/>
  <c r="L256" i="8"/>
  <c r="K256" i="8"/>
  <c r="J256" i="8"/>
  <c r="M255" i="8"/>
  <c r="L255" i="8"/>
  <c r="K255" i="8"/>
  <c r="J255" i="8"/>
  <c r="M254" i="8"/>
  <c r="L254" i="8"/>
  <c r="K254" i="8"/>
  <c r="J254" i="8"/>
  <c r="M253" i="8"/>
  <c r="L253" i="8"/>
  <c r="K253" i="8"/>
  <c r="J253" i="8"/>
  <c r="M252" i="8"/>
  <c r="L252" i="8"/>
  <c r="K252" i="8"/>
  <c r="J252" i="8"/>
  <c r="M251" i="8"/>
  <c r="L251" i="8"/>
  <c r="K251" i="8"/>
  <c r="J251" i="8"/>
  <c r="M250" i="8"/>
  <c r="L250" i="8"/>
  <c r="K250" i="8"/>
  <c r="J250" i="8"/>
  <c r="M249" i="8"/>
  <c r="L249" i="8"/>
  <c r="K249" i="8"/>
  <c r="J249" i="8"/>
  <c r="M248" i="8"/>
  <c r="L248" i="8"/>
  <c r="K248" i="8"/>
  <c r="J248" i="8"/>
  <c r="M247" i="8"/>
  <c r="L247" i="8"/>
  <c r="K247" i="8"/>
  <c r="J247" i="8"/>
  <c r="M246" i="8"/>
  <c r="L246" i="8"/>
  <c r="K246" i="8"/>
  <c r="J246" i="8"/>
  <c r="M245" i="8"/>
  <c r="L245" i="8"/>
  <c r="K245" i="8"/>
  <c r="J245" i="8"/>
  <c r="M244" i="8"/>
  <c r="L244" i="8"/>
  <c r="K244" i="8"/>
  <c r="J244" i="8"/>
  <c r="M243" i="8"/>
  <c r="L243" i="8"/>
  <c r="K243" i="8"/>
  <c r="J243" i="8"/>
  <c r="M242" i="8"/>
  <c r="L242" i="8"/>
  <c r="K242" i="8"/>
  <c r="J242" i="8"/>
  <c r="M241" i="8"/>
  <c r="L241" i="8"/>
  <c r="K241" i="8"/>
  <c r="J241" i="8"/>
  <c r="M240" i="8"/>
  <c r="L240" i="8"/>
  <c r="K240" i="8"/>
  <c r="J240" i="8"/>
  <c r="M239" i="8"/>
  <c r="L239" i="8"/>
  <c r="K239" i="8"/>
  <c r="J239" i="8"/>
  <c r="M238" i="8"/>
  <c r="L238" i="8"/>
  <c r="K238" i="8"/>
  <c r="J238" i="8"/>
  <c r="M237" i="8"/>
  <c r="L237" i="8"/>
  <c r="K237" i="8"/>
  <c r="J237" i="8"/>
  <c r="M236" i="8"/>
  <c r="L236" i="8"/>
  <c r="K236" i="8"/>
  <c r="J236" i="8"/>
  <c r="M235" i="8"/>
  <c r="L235" i="8"/>
  <c r="K235" i="8"/>
  <c r="J235" i="8"/>
  <c r="M234" i="8"/>
  <c r="L234" i="8"/>
  <c r="K234" i="8"/>
  <c r="J234" i="8"/>
  <c r="M233" i="8"/>
  <c r="L233" i="8"/>
  <c r="K233" i="8"/>
  <c r="J233" i="8"/>
  <c r="M232" i="8"/>
  <c r="L232" i="8"/>
  <c r="K232" i="8"/>
  <c r="J232" i="8"/>
  <c r="M231" i="8"/>
  <c r="L231" i="8"/>
  <c r="K231" i="8"/>
  <c r="J231" i="8"/>
  <c r="M230" i="8"/>
  <c r="L230" i="8"/>
  <c r="K230" i="8"/>
  <c r="J230" i="8"/>
  <c r="M229" i="8"/>
  <c r="L229" i="8"/>
  <c r="K229" i="8"/>
  <c r="J229" i="8"/>
  <c r="M228" i="8"/>
  <c r="L228" i="8"/>
  <c r="K228" i="8"/>
  <c r="J228" i="8"/>
  <c r="M227" i="8"/>
  <c r="L227" i="8"/>
  <c r="K227" i="8"/>
  <c r="J227" i="8"/>
  <c r="M226" i="8"/>
  <c r="L226" i="8"/>
  <c r="K226" i="8"/>
  <c r="J226" i="8"/>
  <c r="M225" i="8"/>
  <c r="L225" i="8"/>
  <c r="K225" i="8"/>
  <c r="J225" i="8"/>
  <c r="M224" i="8"/>
  <c r="L224" i="8"/>
  <c r="K224" i="8"/>
  <c r="J224" i="8"/>
  <c r="M223" i="8"/>
  <c r="L223" i="8"/>
  <c r="K223" i="8"/>
  <c r="J223" i="8"/>
  <c r="M222" i="8"/>
  <c r="L222" i="8"/>
  <c r="K222" i="8"/>
  <c r="J222" i="8"/>
  <c r="M221" i="8"/>
  <c r="L221" i="8"/>
  <c r="K221" i="8"/>
  <c r="J221" i="8"/>
  <c r="M220" i="8"/>
  <c r="L220" i="8"/>
  <c r="K220" i="8"/>
  <c r="J220" i="8"/>
  <c r="M219" i="8"/>
  <c r="L219" i="8"/>
  <c r="K219" i="8"/>
  <c r="J219" i="8"/>
  <c r="M218" i="8"/>
  <c r="L218" i="8"/>
  <c r="K218" i="8"/>
  <c r="J218" i="8"/>
  <c r="M217" i="8"/>
  <c r="L217" i="8"/>
  <c r="K217" i="8"/>
  <c r="J217" i="8"/>
  <c r="M216" i="8"/>
  <c r="L216" i="8"/>
  <c r="K216" i="8"/>
  <c r="J216" i="8"/>
  <c r="M215" i="8"/>
  <c r="L215" i="8"/>
  <c r="K215" i="8"/>
  <c r="J215" i="8"/>
  <c r="M214" i="8"/>
  <c r="L214" i="8"/>
  <c r="K214" i="8"/>
  <c r="J214" i="8"/>
  <c r="M213" i="8"/>
  <c r="L213" i="8"/>
  <c r="K213" i="8"/>
  <c r="J213" i="8"/>
  <c r="M212" i="8"/>
  <c r="L212" i="8"/>
  <c r="K212" i="8"/>
  <c r="J212" i="8"/>
  <c r="M211" i="8"/>
  <c r="L211" i="8"/>
  <c r="K211" i="8"/>
  <c r="J211" i="8"/>
  <c r="M210" i="8"/>
  <c r="L210" i="8"/>
  <c r="K210" i="8"/>
  <c r="J210" i="8"/>
  <c r="M209" i="8"/>
  <c r="L209" i="8"/>
  <c r="K209" i="8"/>
  <c r="J209" i="8"/>
  <c r="M208" i="8"/>
  <c r="L208" i="8"/>
  <c r="K208" i="8"/>
  <c r="J208" i="8"/>
  <c r="M207" i="8"/>
  <c r="L207" i="8"/>
  <c r="K207" i="8"/>
  <c r="J207" i="8"/>
  <c r="M206" i="8"/>
  <c r="L206" i="8"/>
  <c r="K206" i="8"/>
  <c r="J206" i="8"/>
  <c r="M205" i="8"/>
  <c r="L205" i="8"/>
  <c r="K205" i="8"/>
  <c r="J205" i="8"/>
  <c r="M204" i="8"/>
  <c r="L204" i="8"/>
  <c r="K204" i="8"/>
  <c r="J204" i="8"/>
  <c r="M203" i="8"/>
  <c r="L203" i="8"/>
  <c r="K203" i="8"/>
  <c r="J203" i="8"/>
  <c r="M202" i="8"/>
  <c r="L202" i="8"/>
  <c r="K202" i="8"/>
  <c r="J202" i="8"/>
  <c r="M201" i="8"/>
  <c r="L201" i="8"/>
  <c r="K201" i="8"/>
  <c r="J201" i="8"/>
  <c r="M200" i="8"/>
  <c r="L200" i="8"/>
  <c r="K200" i="8"/>
  <c r="J200" i="8"/>
  <c r="M199" i="8"/>
  <c r="L199" i="8"/>
  <c r="K199" i="8"/>
  <c r="J199" i="8"/>
  <c r="M198" i="8"/>
  <c r="L198" i="8"/>
  <c r="K198" i="8"/>
  <c r="J198" i="8"/>
  <c r="M197" i="8"/>
  <c r="L197" i="8"/>
  <c r="K197" i="8"/>
  <c r="J197" i="8"/>
  <c r="M196" i="8"/>
  <c r="L196" i="8"/>
  <c r="K196" i="8"/>
  <c r="J196" i="8"/>
  <c r="M195" i="8"/>
  <c r="L195" i="8"/>
  <c r="K195" i="8"/>
  <c r="J195" i="8"/>
  <c r="M194" i="8"/>
  <c r="L194" i="8"/>
  <c r="K194" i="8"/>
  <c r="J194" i="8"/>
  <c r="M193" i="8"/>
  <c r="L193" i="8"/>
  <c r="K193" i="8"/>
  <c r="J193" i="8"/>
  <c r="M192" i="8"/>
  <c r="L192" i="8"/>
  <c r="K192" i="8"/>
  <c r="J192" i="8"/>
  <c r="M191" i="8"/>
  <c r="L191" i="8"/>
  <c r="K191" i="8"/>
  <c r="J191" i="8"/>
  <c r="M190" i="8"/>
  <c r="L190" i="8"/>
  <c r="K190" i="8"/>
  <c r="J190" i="8"/>
  <c r="M189" i="8"/>
  <c r="L189" i="8"/>
  <c r="K189" i="8"/>
  <c r="J189" i="8"/>
  <c r="M188" i="8"/>
  <c r="L188" i="8"/>
  <c r="K188" i="8"/>
  <c r="J188" i="8"/>
  <c r="M187" i="8"/>
  <c r="L187" i="8"/>
  <c r="K187" i="8"/>
  <c r="J187" i="8"/>
  <c r="M186" i="8"/>
  <c r="L186" i="8"/>
  <c r="K186" i="8"/>
  <c r="J186" i="8"/>
  <c r="M185" i="8"/>
  <c r="L185" i="8"/>
  <c r="K185" i="8"/>
  <c r="J185" i="8"/>
  <c r="M184" i="8"/>
  <c r="L184" i="8"/>
  <c r="K184" i="8"/>
  <c r="J184" i="8"/>
  <c r="M183" i="8"/>
  <c r="L183" i="8"/>
  <c r="K183" i="8"/>
  <c r="J183" i="8"/>
  <c r="M182" i="8"/>
  <c r="L182" i="8"/>
  <c r="K182" i="8"/>
  <c r="J182" i="8"/>
  <c r="M181" i="8"/>
  <c r="L181" i="8"/>
  <c r="K181" i="8"/>
  <c r="J181" i="8"/>
  <c r="M180" i="8"/>
  <c r="L180" i="8"/>
  <c r="K180" i="8"/>
  <c r="J180" i="8"/>
  <c r="M179" i="8"/>
  <c r="L179" i="8"/>
  <c r="K179" i="8"/>
  <c r="J179" i="8"/>
  <c r="M178" i="8"/>
  <c r="L178" i="8"/>
  <c r="K178" i="8"/>
  <c r="J178" i="8"/>
  <c r="M177" i="8"/>
  <c r="L177" i="8"/>
  <c r="K177" i="8"/>
  <c r="J177" i="8"/>
  <c r="M176" i="8"/>
  <c r="L176" i="8"/>
  <c r="K176" i="8"/>
  <c r="J176" i="8"/>
  <c r="M175" i="8"/>
  <c r="L175" i="8"/>
  <c r="K175" i="8"/>
  <c r="J175" i="8"/>
  <c r="M174" i="8"/>
  <c r="L174" i="8"/>
  <c r="K174" i="8"/>
  <c r="J174" i="8"/>
  <c r="M173" i="8"/>
  <c r="L173" i="8"/>
  <c r="K173" i="8"/>
  <c r="J173" i="8"/>
  <c r="M172" i="8"/>
  <c r="L172" i="8"/>
  <c r="K172" i="8"/>
  <c r="J172" i="8"/>
  <c r="M171" i="8"/>
  <c r="L171" i="8"/>
  <c r="K171" i="8"/>
  <c r="J171" i="8"/>
  <c r="M170" i="8"/>
  <c r="L170" i="8"/>
  <c r="K170" i="8"/>
  <c r="J170" i="8"/>
  <c r="M169" i="8"/>
  <c r="L169" i="8"/>
  <c r="K169" i="8"/>
  <c r="J169" i="8"/>
  <c r="M168" i="8"/>
  <c r="L168" i="8"/>
  <c r="K168" i="8"/>
  <c r="J168" i="8"/>
  <c r="M167" i="8"/>
  <c r="L167" i="8"/>
  <c r="K167" i="8"/>
  <c r="J167" i="8"/>
  <c r="M166" i="8"/>
  <c r="L166" i="8"/>
  <c r="K166" i="8"/>
  <c r="J166" i="8"/>
  <c r="M165" i="8"/>
  <c r="L165" i="8"/>
  <c r="K165" i="8"/>
  <c r="J165" i="8"/>
  <c r="M164" i="8"/>
  <c r="L164" i="8"/>
  <c r="K164" i="8"/>
  <c r="J164" i="8"/>
  <c r="M163" i="8"/>
  <c r="L163" i="8"/>
  <c r="K163" i="8"/>
  <c r="J163" i="8"/>
  <c r="M162" i="8"/>
  <c r="L162" i="8"/>
  <c r="K162" i="8"/>
  <c r="J162" i="8"/>
  <c r="M161" i="8"/>
  <c r="L161" i="8"/>
  <c r="K161" i="8"/>
  <c r="J161" i="8"/>
  <c r="M160" i="8"/>
  <c r="L160" i="8"/>
  <c r="K160" i="8"/>
  <c r="J160" i="8"/>
  <c r="M159" i="8"/>
  <c r="L159" i="8"/>
  <c r="K159" i="8"/>
  <c r="J159" i="8"/>
  <c r="M158" i="8"/>
  <c r="L158" i="8"/>
  <c r="K158" i="8"/>
  <c r="J158" i="8"/>
  <c r="M157" i="8"/>
  <c r="L157" i="8"/>
  <c r="K157" i="8"/>
  <c r="J157" i="8"/>
  <c r="M156" i="8"/>
  <c r="L156" i="8"/>
  <c r="K156" i="8"/>
  <c r="J156" i="8"/>
  <c r="M155" i="8"/>
  <c r="L155" i="8"/>
  <c r="K155" i="8"/>
  <c r="J155" i="8"/>
  <c r="M154" i="8"/>
  <c r="L154" i="8"/>
  <c r="K154" i="8"/>
  <c r="J154" i="8"/>
  <c r="M153" i="8"/>
  <c r="L153" i="8"/>
  <c r="K153" i="8"/>
  <c r="J153" i="8"/>
  <c r="M152" i="8"/>
  <c r="L152" i="8"/>
  <c r="K152" i="8"/>
  <c r="J152" i="8"/>
  <c r="M151" i="8"/>
  <c r="L151" i="8"/>
  <c r="K151" i="8"/>
  <c r="J151" i="8"/>
  <c r="M150" i="8"/>
  <c r="L150" i="8"/>
  <c r="K150" i="8"/>
  <c r="J150" i="8"/>
  <c r="M149" i="8"/>
  <c r="L149" i="8"/>
  <c r="K149" i="8"/>
  <c r="J149" i="8"/>
  <c r="M148" i="8"/>
  <c r="L148" i="8"/>
  <c r="K148" i="8"/>
  <c r="J148" i="8"/>
  <c r="M147" i="8"/>
  <c r="L147" i="8"/>
  <c r="K147" i="8"/>
  <c r="J147" i="8"/>
  <c r="M146" i="8"/>
  <c r="L146" i="8"/>
  <c r="K146" i="8"/>
  <c r="J146" i="8"/>
  <c r="M145" i="8"/>
  <c r="L145" i="8"/>
  <c r="K145" i="8"/>
  <c r="J145" i="8"/>
  <c r="M144" i="8"/>
  <c r="L144" i="8"/>
  <c r="K144" i="8"/>
  <c r="J144" i="8"/>
  <c r="M143" i="8"/>
  <c r="L143" i="8"/>
  <c r="K143" i="8"/>
  <c r="J143" i="8"/>
  <c r="M142" i="8"/>
  <c r="L142" i="8"/>
  <c r="K142" i="8"/>
  <c r="J142" i="8"/>
  <c r="M141" i="8"/>
  <c r="L141" i="8"/>
  <c r="K141" i="8"/>
  <c r="J141" i="8"/>
  <c r="M140" i="8"/>
  <c r="L140" i="8"/>
  <c r="K140" i="8"/>
  <c r="J140" i="8"/>
  <c r="M139" i="8"/>
  <c r="L139" i="8"/>
  <c r="K139" i="8"/>
  <c r="J139" i="8"/>
  <c r="M138" i="8"/>
  <c r="L138" i="8"/>
  <c r="K138" i="8"/>
  <c r="J138" i="8"/>
  <c r="M137" i="8"/>
  <c r="L137" i="8"/>
  <c r="K137" i="8"/>
  <c r="J137" i="8"/>
  <c r="M136" i="8"/>
  <c r="L136" i="8"/>
  <c r="K136" i="8"/>
  <c r="J136" i="8"/>
  <c r="M135" i="8"/>
  <c r="L135" i="8"/>
  <c r="K135" i="8"/>
  <c r="J135" i="8"/>
  <c r="M134" i="8"/>
  <c r="L134" i="8"/>
  <c r="K134" i="8"/>
  <c r="J134" i="8"/>
  <c r="M133" i="8"/>
  <c r="L133" i="8"/>
  <c r="K133" i="8"/>
  <c r="J133" i="8"/>
  <c r="M132" i="8"/>
  <c r="L132" i="8"/>
  <c r="K132" i="8"/>
  <c r="J132" i="8"/>
  <c r="M131" i="8"/>
  <c r="L131" i="8"/>
  <c r="K131" i="8"/>
  <c r="J131" i="8"/>
  <c r="M130" i="8"/>
  <c r="L130" i="8"/>
  <c r="K130" i="8"/>
  <c r="J130" i="8"/>
  <c r="M129" i="8"/>
  <c r="L129" i="8"/>
  <c r="K129" i="8"/>
  <c r="J129" i="8"/>
  <c r="M128" i="8"/>
  <c r="L128" i="8"/>
  <c r="K128" i="8"/>
  <c r="J128" i="8"/>
  <c r="M127" i="8"/>
  <c r="L127" i="8"/>
  <c r="K127" i="8"/>
  <c r="J127" i="8"/>
  <c r="M126" i="8"/>
  <c r="L126" i="8"/>
  <c r="K126" i="8"/>
  <c r="J126" i="8"/>
  <c r="M125" i="8"/>
  <c r="L125" i="8"/>
  <c r="K125" i="8"/>
  <c r="J125" i="8"/>
  <c r="M124" i="8"/>
  <c r="L124" i="8"/>
  <c r="K124" i="8"/>
  <c r="J124" i="8"/>
  <c r="M123" i="8"/>
  <c r="L123" i="8"/>
  <c r="K123" i="8"/>
  <c r="J123" i="8"/>
  <c r="M122" i="8"/>
  <c r="L122" i="8"/>
  <c r="K122" i="8"/>
  <c r="J122" i="8"/>
  <c r="M121" i="8"/>
  <c r="L121" i="8"/>
  <c r="K121" i="8"/>
  <c r="J121" i="8"/>
  <c r="M120" i="8"/>
  <c r="L120" i="8"/>
  <c r="K120" i="8"/>
  <c r="J120" i="8"/>
  <c r="M119" i="8"/>
  <c r="L119" i="8"/>
  <c r="K119" i="8"/>
  <c r="J119" i="8"/>
  <c r="M118" i="8"/>
  <c r="L118" i="8"/>
  <c r="K118" i="8"/>
  <c r="J118" i="8"/>
  <c r="M117" i="8"/>
  <c r="L117" i="8"/>
  <c r="K117" i="8"/>
  <c r="J117" i="8"/>
  <c r="M116" i="8"/>
  <c r="L116" i="8"/>
  <c r="K116" i="8"/>
  <c r="J116" i="8"/>
  <c r="M115" i="8"/>
  <c r="L115" i="8"/>
  <c r="K115" i="8"/>
  <c r="J115" i="8"/>
  <c r="M114" i="8"/>
  <c r="L114" i="8"/>
  <c r="K114" i="8"/>
  <c r="J114" i="8"/>
  <c r="M113" i="8"/>
  <c r="L113" i="8"/>
  <c r="K113" i="8"/>
  <c r="J113" i="8"/>
  <c r="M112" i="8"/>
  <c r="L112" i="8"/>
  <c r="K112" i="8"/>
  <c r="J112" i="8"/>
  <c r="M111" i="8"/>
  <c r="L111" i="8"/>
  <c r="K111" i="8"/>
  <c r="J111" i="8"/>
  <c r="M110" i="8"/>
  <c r="L110" i="8"/>
  <c r="K110" i="8"/>
  <c r="J110" i="8"/>
  <c r="M109" i="8"/>
  <c r="L109" i="8"/>
  <c r="K109" i="8"/>
  <c r="J109" i="8"/>
  <c r="M108" i="8"/>
  <c r="L108" i="8"/>
  <c r="K108" i="8"/>
  <c r="J108" i="8"/>
  <c r="M107" i="8"/>
  <c r="L107" i="8"/>
  <c r="K107" i="8"/>
  <c r="J107" i="8"/>
  <c r="M106" i="8"/>
  <c r="L106" i="8"/>
  <c r="K106" i="8"/>
  <c r="J106" i="8"/>
  <c r="M105" i="8"/>
  <c r="L105" i="8"/>
  <c r="K105" i="8"/>
  <c r="J105" i="8"/>
  <c r="M104" i="8"/>
  <c r="L104" i="8"/>
  <c r="K104" i="8"/>
  <c r="J104" i="8"/>
  <c r="M103" i="8"/>
  <c r="L103" i="8"/>
  <c r="K103" i="8"/>
  <c r="J103" i="8"/>
  <c r="M102" i="8"/>
  <c r="L102" i="8"/>
  <c r="K102" i="8"/>
  <c r="J102" i="8"/>
  <c r="M101" i="8"/>
  <c r="L101" i="8"/>
  <c r="K101" i="8"/>
  <c r="J101" i="8"/>
  <c r="M100" i="8"/>
  <c r="L100" i="8"/>
  <c r="K100" i="8"/>
  <c r="J100" i="8"/>
  <c r="M99" i="8"/>
  <c r="L99" i="8"/>
  <c r="K99" i="8"/>
  <c r="J99" i="8"/>
  <c r="M98" i="8"/>
  <c r="L98" i="8"/>
  <c r="K98" i="8"/>
  <c r="J98" i="8"/>
  <c r="M97" i="8"/>
  <c r="L97" i="8"/>
  <c r="K97" i="8"/>
  <c r="J97" i="8"/>
  <c r="M96" i="8"/>
  <c r="L96" i="8"/>
  <c r="K96" i="8"/>
  <c r="J96" i="8"/>
  <c r="M95" i="8"/>
  <c r="L95" i="8"/>
  <c r="K95" i="8"/>
  <c r="J95" i="8"/>
  <c r="M94" i="8"/>
  <c r="L94" i="8"/>
  <c r="K94" i="8"/>
  <c r="J94" i="8"/>
  <c r="M93" i="8"/>
  <c r="L93" i="8"/>
  <c r="K93" i="8"/>
  <c r="J93" i="8"/>
  <c r="M92" i="8"/>
  <c r="L92" i="8"/>
  <c r="K92" i="8"/>
  <c r="J92" i="8"/>
  <c r="M91" i="8"/>
  <c r="L91" i="8"/>
  <c r="K91" i="8"/>
  <c r="J91" i="8"/>
  <c r="M90" i="8"/>
  <c r="L90" i="8"/>
  <c r="K90" i="8"/>
  <c r="J90" i="8"/>
  <c r="M89" i="8"/>
  <c r="L89" i="8"/>
  <c r="K89" i="8"/>
  <c r="J89" i="8"/>
  <c r="M88" i="8"/>
  <c r="L88" i="8"/>
  <c r="K88" i="8"/>
  <c r="J88" i="8"/>
  <c r="M87" i="8"/>
  <c r="L87" i="8"/>
  <c r="K87" i="8"/>
  <c r="J87" i="8"/>
  <c r="M86" i="8"/>
  <c r="L86" i="8"/>
  <c r="K86" i="8"/>
  <c r="J86" i="8"/>
  <c r="M85" i="8"/>
  <c r="L85" i="8"/>
  <c r="K85" i="8"/>
  <c r="J85" i="8"/>
  <c r="M84" i="8"/>
  <c r="L84" i="8"/>
  <c r="K84" i="8"/>
  <c r="J84" i="8"/>
  <c r="M83" i="8"/>
  <c r="L83" i="8"/>
  <c r="K83" i="8"/>
  <c r="J83" i="8"/>
  <c r="M82" i="8"/>
  <c r="L82" i="8"/>
  <c r="K82" i="8"/>
  <c r="J82" i="8"/>
  <c r="M81" i="8"/>
  <c r="L81" i="8"/>
  <c r="K81" i="8"/>
  <c r="J81" i="8"/>
  <c r="M80" i="8"/>
  <c r="L80" i="8"/>
  <c r="K80" i="8"/>
  <c r="J80" i="8"/>
  <c r="M79" i="8"/>
  <c r="L79" i="8"/>
  <c r="K79" i="8"/>
  <c r="J79" i="8"/>
  <c r="M78" i="8"/>
  <c r="L78" i="8"/>
  <c r="K78" i="8"/>
  <c r="J78" i="8"/>
  <c r="M77" i="8"/>
  <c r="L77" i="8"/>
  <c r="K77" i="8"/>
  <c r="J77" i="8"/>
  <c r="M76" i="8"/>
  <c r="L76" i="8"/>
  <c r="K76" i="8"/>
  <c r="J76" i="8"/>
  <c r="M75" i="8"/>
  <c r="L75" i="8"/>
  <c r="K75" i="8"/>
  <c r="J75" i="8"/>
  <c r="M74" i="8"/>
  <c r="L74" i="8"/>
  <c r="K74" i="8"/>
  <c r="J74" i="8"/>
  <c r="M73" i="8"/>
  <c r="L73" i="8"/>
  <c r="K73" i="8"/>
  <c r="J73" i="8"/>
  <c r="M72" i="8"/>
  <c r="L72" i="8"/>
  <c r="K72" i="8"/>
  <c r="J72" i="8"/>
  <c r="M71" i="8"/>
  <c r="L71" i="8"/>
  <c r="K71" i="8"/>
  <c r="J71" i="8"/>
  <c r="M70" i="8"/>
  <c r="L70" i="8"/>
  <c r="K70" i="8"/>
  <c r="J70" i="8"/>
  <c r="M69" i="8"/>
  <c r="L69" i="8"/>
  <c r="K69" i="8"/>
  <c r="J69" i="8"/>
  <c r="M68" i="8"/>
  <c r="L68" i="8"/>
  <c r="K68" i="8"/>
  <c r="J68" i="8"/>
  <c r="M67" i="8"/>
  <c r="L67" i="8"/>
  <c r="K67" i="8"/>
  <c r="J67" i="8"/>
  <c r="M66" i="8"/>
  <c r="L66" i="8"/>
  <c r="K66" i="8"/>
  <c r="J66" i="8"/>
  <c r="M65" i="8"/>
  <c r="L65" i="8"/>
  <c r="K65" i="8"/>
  <c r="J65" i="8"/>
  <c r="M64" i="8"/>
  <c r="L64" i="8"/>
  <c r="K64" i="8"/>
  <c r="J64" i="8"/>
  <c r="M63" i="8"/>
  <c r="L63" i="8"/>
  <c r="K63" i="8"/>
  <c r="J63" i="8"/>
  <c r="M62" i="8"/>
  <c r="L62" i="8"/>
  <c r="K62" i="8"/>
  <c r="J62" i="8"/>
  <c r="M61" i="8"/>
  <c r="L61" i="8"/>
  <c r="K61" i="8"/>
  <c r="J61" i="8"/>
  <c r="M60" i="8"/>
  <c r="L60" i="8"/>
  <c r="K60" i="8"/>
  <c r="J60" i="8"/>
  <c r="M59" i="8"/>
  <c r="L59" i="8"/>
  <c r="K59" i="8"/>
  <c r="J59" i="8"/>
  <c r="M58" i="8"/>
  <c r="L58" i="8"/>
  <c r="K58" i="8"/>
  <c r="J58" i="8"/>
  <c r="M57" i="8"/>
  <c r="L57" i="8"/>
  <c r="K57" i="8"/>
  <c r="J57" i="8"/>
  <c r="M56" i="8"/>
  <c r="L56" i="8"/>
  <c r="K56" i="8"/>
  <c r="J56" i="8"/>
  <c r="M55" i="8"/>
  <c r="L55" i="8"/>
  <c r="K55" i="8"/>
  <c r="J55" i="8"/>
  <c r="M54" i="8"/>
  <c r="L54" i="8"/>
  <c r="K54" i="8"/>
  <c r="J54" i="8"/>
  <c r="M53" i="8"/>
  <c r="L53" i="8"/>
  <c r="K53" i="8"/>
  <c r="J53" i="8"/>
  <c r="M52" i="8"/>
  <c r="L52" i="8"/>
  <c r="K52" i="8"/>
  <c r="J52" i="8"/>
  <c r="M51" i="8"/>
  <c r="L51" i="8"/>
  <c r="K51" i="8"/>
  <c r="J51" i="8"/>
  <c r="M50" i="8"/>
  <c r="L50" i="8"/>
  <c r="K50" i="8"/>
  <c r="J50" i="8"/>
  <c r="M49" i="8"/>
  <c r="L49" i="8"/>
  <c r="K49" i="8"/>
  <c r="J49" i="8"/>
  <c r="M48" i="8"/>
  <c r="L48" i="8"/>
  <c r="K48" i="8"/>
  <c r="J48" i="8"/>
  <c r="M47" i="8"/>
  <c r="L47" i="8"/>
  <c r="K47" i="8"/>
  <c r="J47" i="8"/>
  <c r="M46" i="8"/>
  <c r="L46" i="8"/>
  <c r="K46" i="8"/>
  <c r="J46" i="8"/>
  <c r="M45" i="8"/>
  <c r="L45" i="8"/>
  <c r="K45" i="8"/>
  <c r="J45" i="8"/>
  <c r="M44" i="8"/>
  <c r="L44" i="8"/>
  <c r="K44" i="8"/>
  <c r="J44" i="8"/>
  <c r="M43" i="8"/>
  <c r="L43" i="8"/>
  <c r="K43" i="8"/>
  <c r="J43" i="8"/>
  <c r="M42" i="8"/>
  <c r="L42" i="8"/>
  <c r="K42" i="8"/>
  <c r="J42" i="8"/>
  <c r="M41" i="8"/>
  <c r="L41" i="8"/>
  <c r="K41" i="8"/>
  <c r="J41" i="8"/>
  <c r="M40" i="8"/>
  <c r="L40" i="8"/>
  <c r="K40" i="8"/>
  <c r="J40" i="8"/>
  <c r="M39" i="8"/>
  <c r="L39" i="8"/>
  <c r="K39" i="8"/>
  <c r="J39" i="8"/>
  <c r="M38" i="8"/>
  <c r="L38" i="8"/>
  <c r="K38" i="8"/>
  <c r="J38" i="8"/>
  <c r="M37" i="8"/>
  <c r="L37" i="8"/>
  <c r="K37" i="8"/>
  <c r="J37" i="8"/>
  <c r="M36" i="8"/>
  <c r="L36" i="8"/>
  <c r="K36" i="8"/>
  <c r="J36" i="8"/>
  <c r="M35" i="8"/>
  <c r="L35" i="8"/>
  <c r="K35" i="8"/>
  <c r="J35" i="8"/>
  <c r="M34" i="8"/>
  <c r="L34" i="8"/>
  <c r="K34" i="8"/>
  <c r="J34" i="8"/>
  <c r="M33" i="8"/>
  <c r="L33" i="8"/>
  <c r="K33" i="8"/>
  <c r="J33" i="8"/>
  <c r="M32" i="8"/>
  <c r="L32" i="8"/>
  <c r="K32" i="8"/>
  <c r="J32" i="8"/>
  <c r="M31" i="8"/>
  <c r="L31" i="8"/>
  <c r="K31" i="8"/>
  <c r="J31" i="8"/>
  <c r="M30" i="8"/>
  <c r="L30" i="8"/>
  <c r="K30" i="8"/>
  <c r="J30" i="8"/>
  <c r="M29" i="8"/>
  <c r="L29" i="8"/>
  <c r="K29" i="8"/>
  <c r="J29" i="8"/>
  <c r="M28" i="8"/>
  <c r="L28" i="8"/>
  <c r="K28" i="8"/>
  <c r="J28" i="8"/>
  <c r="M27" i="8"/>
  <c r="L27" i="8"/>
  <c r="K27" i="8"/>
  <c r="J27" i="8"/>
  <c r="M26" i="8"/>
  <c r="L26" i="8"/>
  <c r="K26" i="8"/>
  <c r="J26" i="8"/>
  <c r="M25" i="8"/>
  <c r="L25" i="8"/>
  <c r="K25" i="8"/>
  <c r="J25" i="8"/>
  <c r="M24" i="8"/>
  <c r="L24" i="8"/>
  <c r="K24" i="8"/>
  <c r="J24" i="8"/>
  <c r="M23" i="8"/>
  <c r="L23" i="8"/>
  <c r="K23" i="8"/>
  <c r="J23" i="8"/>
  <c r="M22" i="8"/>
  <c r="L22" i="8"/>
  <c r="K22" i="8"/>
  <c r="J22" i="8"/>
  <c r="M21" i="8"/>
  <c r="L21" i="8"/>
  <c r="K21" i="8"/>
  <c r="J21" i="8"/>
  <c r="M20" i="8"/>
  <c r="L20" i="8"/>
  <c r="K20" i="8"/>
  <c r="J20" i="8"/>
  <c r="M19" i="8"/>
  <c r="L19" i="8"/>
  <c r="K19" i="8"/>
  <c r="J19" i="8"/>
  <c r="M18" i="8"/>
  <c r="L18" i="8"/>
  <c r="K18" i="8"/>
  <c r="J18" i="8"/>
  <c r="M17" i="8"/>
  <c r="L17" i="8"/>
  <c r="K17" i="8"/>
  <c r="J17" i="8"/>
  <c r="M16" i="8"/>
  <c r="L16" i="8"/>
  <c r="K16" i="8"/>
  <c r="J16" i="8"/>
  <c r="M15" i="8"/>
  <c r="L15" i="8"/>
  <c r="K15" i="8"/>
  <c r="J15" i="8"/>
  <c r="M14" i="8"/>
  <c r="L14" i="8"/>
  <c r="K14" i="8"/>
  <c r="J14" i="8"/>
  <c r="M13" i="8"/>
  <c r="L13" i="8"/>
  <c r="K13" i="8"/>
  <c r="J13" i="8"/>
  <c r="M12" i="8"/>
  <c r="L12" i="8"/>
  <c r="K12" i="8"/>
  <c r="J12" i="8"/>
  <c r="M11" i="8"/>
  <c r="L11" i="8"/>
  <c r="K11" i="8"/>
  <c r="J11" i="8"/>
  <c r="M10" i="8"/>
  <c r="L10" i="8"/>
  <c r="K10" i="8"/>
  <c r="J10" i="8"/>
  <c r="M9" i="8"/>
  <c r="L9" i="8"/>
  <c r="K9" i="8"/>
  <c r="J9" i="8"/>
  <c r="M8" i="8"/>
  <c r="L8" i="8"/>
  <c r="K8" i="8"/>
  <c r="J8" i="8"/>
  <c r="M7" i="8"/>
  <c r="L7" i="8"/>
  <c r="K7" i="8"/>
  <c r="J7" i="8"/>
  <c r="M6" i="8"/>
  <c r="L6" i="8"/>
  <c r="K6" i="8"/>
  <c r="J6" i="8"/>
  <c r="M5" i="8"/>
  <c r="L5" i="8"/>
  <c r="K5" i="8"/>
  <c r="J5" i="8"/>
  <c r="M4" i="8"/>
  <c r="L4" i="8"/>
  <c r="K4" i="8"/>
  <c r="J4" i="8"/>
  <c r="M3" i="8"/>
  <c r="L3" i="8"/>
  <c r="K3" i="8"/>
  <c r="J3" i="8"/>
  <c r="M2" i="8"/>
  <c r="L2" i="8"/>
  <c r="K2" i="8"/>
  <c r="J2" i="8"/>
  <c r="M410" i="8"/>
  <c r="L410" i="8"/>
  <c r="K410" i="8"/>
  <c r="J410" i="8"/>
  <c r="M409" i="8"/>
  <c r="L409" i="8"/>
  <c r="I410" i="8"/>
  <c r="G410" i="8"/>
  <c r="H410" i="8" s="1"/>
  <c r="I409" i="8"/>
  <c r="G409" i="8"/>
  <c r="H409" i="8" s="1"/>
  <c r="I408" i="8"/>
  <c r="G408" i="8"/>
  <c r="H408" i="8" s="1"/>
  <c r="I407" i="8"/>
  <c r="G407" i="8"/>
  <c r="H407" i="8" s="1"/>
  <c r="I406" i="8"/>
  <c r="G406" i="8"/>
  <c r="H406" i="8" s="1"/>
  <c r="I405" i="8"/>
  <c r="G405" i="8"/>
  <c r="H405" i="8" s="1"/>
  <c r="I404" i="8"/>
  <c r="G404" i="8"/>
  <c r="H404" i="8" s="1"/>
  <c r="I403" i="8"/>
  <c r="G403" i="8"/>
  <c r="H403" i="8" s="1"/>
  <c r="I402" i="8"/>
  <c r="G402" i="8"/>
  <c r="H402" i="8" s="1"/>
  <c r="I401" i="8"/>
  <c r="G401" i="8"/>
  <c r="H401" i="8" s="1"/>
  <c r="I400" i="8"/>
  <c r="G400" i="8"/>
  <c r="H400" i="8" s="1"/>
  <c r="I399" i="8"/>
  <c r="G399" i="8"/>
  <c r="H399" i="8" s="1"/>
  <c r="I398" i="8"/>
  <c r="G398" i="8"/>
  <c r="H398" i="8" s="1"/>
  <c r="I397" i="8"/>
  <c r="G397" i="8"/>
  <c r="H397" i="8" s="1"/>
  <c r="I396" i="8"/>
  <c r="G396" i="8"/>
  <c r="H396" i="8" s="1"/>
  <c r="I395" i="8"/>
  <c r="G395" i="8"/>
  <c r="H395" i="8" s="1"/>
  <c r="I394" i="8"/>
  <c r="G394" i="8"/>
  <c r="H394" i="8" s="1"/>
  <c r="I393" i="8"/>
  <c r="G393" i="8"/>
  <c r="H393" i="8" s="1"/>
  <c r="I392" i="8"/>
  <c r="G392" i="8"/>
  <c r="H392" i="8" s="1"/>
  <c r="I391" i="8"/>
  <c r="G391" i="8"/>
  <c r="H391" i="8" s="1"/>
  <c r="I390" i="8"/>
  <c r="G390" i="8"/>
  <c r="H390" i="8" s="1"/>
  <c r="I389" i="8"/>
  <c r="G389" i="8"/>
  <c r="H389" i="8" s="1"/>
  <c r="I388" i="8"/>
  <c r="G388" i="8"/>
  <c r="H388" i="8" s="1"/>
  <c r="I387" i="8"/>
  <c r="G387" i="8"/>
  <c r="H387" i="8" s="1"/>
  <c r="I386" i="8"/>
  <c r="G386" i="8"/>
  <c r="H386" i="8" s="1"/>
  <c r="I385" i="8"/>
  <c r="G385" i="8"/>
  <c r="H385" i="8" s="1"/>
  <c r="I384" i="8"/>
  <c r="G384" i="8"/>
  <c r="H384" i="8" s="1"/>
  <c r="I383" i="8"/>
  <c r="G383" i="8"/>
  <c r="H383" i="8" s="1"/>
  <c r="I382" i="8"/>
  <c r="G382" i="8"/>
  <c r="H382" i="8" s="1"/>
  <c r="I381" i="8"/>
  <c r="G381" i="8"/>
  <c r="H381" i="8" s="1"/>
  <c r="I380" i="8"/>
  <c r="G380" i="8"/>
  <c r="H380" i="8" s="1"/>
  <c r="I379" i="8"/>
  <c r="G379" i="8"/>
  <c r="H379" i="8" s="1"/>
  <c r="I378" i="8"/>
  <c r="G378" i="8"/>
  <c r="H378" i="8" s="1"/>
  <c r="I377" i="8"/>
  <c r="G377" i="8"/>
  <c r="H377" i="8" s="1"/>
  <c r="I376" i="8"/>
  <c r="G376" i="8"/>
  <c r="H376" i="8" s="1"/>
  <c r="I375" i="8"/>
  <c r="G375" i="8"/>
  <c r="H375" i="8" s="1"/>
  <c r="I374" i="8"/>
  <c r="G374" i="8"/>
  <c r="H374" i="8" s="1"/>
  <c r="I373" i="8"/>
  <c r="G373" i="8"/>
  <c r="H373" i="8" s="1"/>
  <c r="I372" i="8"/>
  <c r="G372" i="8"/>
  <c r="H372" i="8" s="1"/>
  <c r="I371" i="8"/>
  <c r="G371" i="8"/>
  <c r="H371" i="8" s="1"/>
  <c r="I370" i="8"/>
  <c r="G370" i="8"/>
  <c r="H370" i="8" s="1"/>
  <c r="I369" i="8"/>
  <c r="G369" i="8"/>
  <c r="H369" i="8" s="1"/>
  <c r="I368" i="8"/>
  <c r="G368" i="8"/>
  <c r="H368" i="8" s="1"/>
  <c r="I367" i="8"/>
  <c r="G367" i="8"/>
  <c r="H367" i="8" s="1"/>
  <c r="I366" i="8"/>
  <c r="G366" i="8"/>
  <c r="H366" i="8" s="1"/>
  <c r="I365" i="8"/>
  <c r="G365" i="8"/>
  <c r="H365" i="8" s="1"/>
  <c r="I364" i="8"/>
  <c r="G364" i="8"/>
  <c r="H364" i="8" s="1"/>
  <c r="I363" i="8"/>
  <c r="G363" i="8"/>
  <c r="H363" i="8" s="1"/>
  <c r="I362" i="8"/>
  <c r="G362" i="8"/>
  <c r="H362" i="8" s="1"/>
  <c r="I361" i="8"/>
  <c r="G361" i="8"/>
  <c r="H361" i="8" s="1"/>
  <c r="I360" i="8"/>
  <c r="G360" i="8"/>
  <c r="H360" i="8" s="1"/>
  <c r="I359" i="8"/>
  <c r="G359" i="8"/>
  <c r="H359" i="8" s="1"/>
  <c r="I358" i="8"/>
  <c r="G358" i="8"/>
  <c r="H358" i="8" s="1"/>
  <c r="I357" i="8"/>
  <c r="G357" i="8"/>
  <c r="H357" i="8" s="1"/>
  <c r="I356" i="8"/>
  <c r="G356" i="8"/>
  <c r="H356" i="8" s="1"/>
  <c r="I355" i="8"/>
  <c r="G355" i="8"/>
  <c r="H355" i="8" s="1"/>
  <c r="I354" i="8"/>
  <c r="G354" i="8"/>
  <c r="H354" i="8" s="1"/>
  <c r="I353" i="8"/>
  <c r="G353" i="8"/>
  <c r="H353" i="8" s="1"/>
  <c r="I352" i="8"/>
  <c r="G352" i="8"/>
  <c r="H352" i="8" s="1"/>
  <c r="I351" i="8"/>
  <c r="G351" i="8"/>
  <c r="H351" i="8" s="1"/>
  <c r="I350" i="8"/>
  <c r="G350" i="8"/>
  <c r="H350" i="8" s="1"/>
  <c r="I349" i="8"/>
  <c r="G349" i="8"/>
  <c r="H349" i="8" s="1"/>
  <c r="I348" i="8"/>
  <c r="G348" i="8"/>
  <c r="H348" i="8" s="1"/>
  <c r="I347" i="8"/>
  <c r="G347" i="8"/>
  <c r="H347" i="8" s="1"/>
  <c r="I346" i="8"/>
  <c r="G346" i="8"/>
  <c r="H346" i="8" s="1"/>
  <c r="I345" i="8"/>
  <c r="G345" i="8"/>
  <c r="H345" i="8" s="1"/>
  <c r="I344" i="8"/>
  <c r="G344" i="8"/>
  <c r="H344" i="8" s="1"/>
  <c r="I343" i="8"/>
  <c r="G343" i="8"/>
  <c r="H343" i="8" s="1"/>
  <c r="I342" i="8"/>
  <c r="G342" i="8"/>
  <c r="H342" i="8" s="1"/>
  <c r="I341" i="8"/>
  <c r="G341" i="8"/>
  <c r="H341" i="8" s="1"/>
  <c r="I340" i="8"/>
  <c r="G340" i="8"/>
  <c r="H340" i="8" s="1"/>
  <c r="I339" i="8"/>
  <c r="G339" i="8"/>
  <c r="H339" i="8" s="1"/>
  <c r="I338" i="8"/>
  <c r="G338" i="8"/>
  <c r="H338" i="8" s="1"/>
  <c r="I337" i="8"/>
  <c r="G337" i="8"/>
  <c r="H337" i="8" s="1"/>
  <c r="I336" i="8"/>
  <c r="G336" i="8"/>
  <c r="H336" i="8" s="1"/>
  <c r="I335" i="8"/>
  <c r="G335" i="8"/>
  <c r="H335" i="8" s="1"/>
  <c r="I334" i="8"/>
  <c r="G334" i="8"/>
  <c r="H334" i="8" s="1"/>
  <c r="I333" i="8"/>
  <c r="G333" i="8"/>
  <c r="H333" i="8" s="1"/>
  <c r="I332" i="8"/>
  <c r="G332" i="8"/>
  <c r="H332" i="8" s="1"/>
  <c r="I331" i="8"/>
  <c r="G331" i="8"/>
  <c r="H331" i="8" s="1"/>
  <c r="I330" i="8"/>
  <c r="G330" i="8"/>
  <c r="H330" i="8" s="1"/>
  <c r="I329" i="8"/>
  <c r="G329" i="8"/>
  <c r="H329" i="8" s="1"/>
  <c r="I328" i="8"/>
  <c r="G328" i="8"/>
  <c r="H328" i="8" s="1"/>
  <c r="I327" i="8"/>
  <c r="G327" i="8"/>
  <c r="H327" i="8" s="1"/>
  <c r="I326" i="8"/>
  <c r="G326" i="8"/>
  <c r="H326" i="8" s="1"/>
  <c r="I325" i="8"/>
  <c r="G325" i="8"/>
  <c r="H325" i="8" s="1"/>
  <c r="I324" i="8"/>
  <c r="G324" i="8"/>
  <c r="H324" i="8" s="1"/>
  <c r="I323" i="8"/>
  <c r="G323" i="8"/>
  <c r="H323" i="8" s="1"/>
  <c r="I322" i="8"/>
  <c r="G322" i="8"/>
  <c r="H322" i="8" s="1"/>
  <c r="I321" i="8"/>
  <c r="G321" i="8"/>
  <c r="H321" i="8" s="1"/>
  <c r="I320" i="8"/>
  <c r="G320" i="8"/>
  <c r="H320" i="8" s="1"/>
  <c r="I319" i="8"/>
  <c r="G319" i="8"/>
  <c r="H319" i="8" s="1"/>
  <c r="I318" i="8"/>
  <c r="G318" i="8"/>
  <c r="H318" i="8" s="1"/>
  <c r="I317" i="8"/>
  <c r="G317" i="8"/>
  <c r="H317" i="8" s="1"/>
  <c r="I316" i="8"/>
  <c r="G316" i="8"/>
  <c r="H316" i="8" s="1"/>
  <c r="I315" i="8"/>
  <c r="G315" i="8"/>
  <c r="H315" i="8" s="1"/>
  <c r="I314" i="8"/>
  <c r="G314" i="8"/>
  <c r="H314" i="8" s="1"/>
  <c r="I313" i="8"/>
  <c r="G313" i="8"/>
  <c r="H313" i="8" s="1"/>
  <c r="I312" i="8"/>
  <c r="G312" i="8"/>
  <c r="H312" i="8" s="1"/>
  <c r="I311" i="8"/>
  <c r="G311" i="8"/>
  <c r="H311" i="8" s="1"/>
  <c r="I310" i="8"/>
  <c r="G310" i="8"/>
  <c r="H310" i="8" s="1"/>
  <c r="I309" i="8"/>
  <c r="G309" i="8"/>
  <c r="H309" i="8" s="1"/>
  <c r="I308" i="8"/>
  <c r="G308" i="8"/>
  <c r="H308" i="8" s="1"/>
  <c r="I307" i="8"/>
  <c r="G307" i="8"/>
  <c r="H307" i="8" s="1"/>
  <c r="I306" i="8"/>
  <c r="G306" i="8"/>
  <c r="H306" i="8" s="1"/>
  <c r="I305" i="8"/>
  <c r="G305" i="8"/>
  <c r="H305" i="8" s="1"/>
  <c r="I304" i="8"/>
  <c r="G304" i="8"/>
  <c r="H304" i="8" s="1"/>
  <c r="I303" i="8"/>
  <c r="G303" i="8"/>
  <c r="H303" i="8" s="1"/>
  <c r="I302" i="8"/>
  <c r="G302" i="8"/>
  <c r="H302" i="8" s="1"/>
  <c r="I301" i="8"/>
  <c r="G301" i="8"/>
  <c r="H301" i="8" s="1"/>
  <c r="I300" i="8"/>
  <c r="G300" i="8"/>
  <c r="H300" i="8" s="1"/>
  <c r="I299" i="8"/>
  <c r="G299" i="8"/>
  <c r="H299" i="8" s="1"/>
  <c r="I298" i="8"/>
  <c r="G298" i="8"/>
  <c r="H298" i="8" s="1"/>
  <c r="I297" i="8"/>
  <c r="G297" i="8"/>
  <c r="H297" i="8" s="1"/>
  <c r="I296" i="8"/>
  <c r="G296" i="8"/>
  <c r="H296" i="8" s="1"/>
  <c r="I295" i="8"/>
  <c r="G295" i="8"/>
  <c r="H295" i="8" s="1"/>
  <c r="I294" i="8"/>
  <c r="G294" i="8"/>
  <c r="H294" i="8" s="1"/>
  <c r="I293" i="8"/>
  <c r="G293" i="8"/>
  <c r="H293" i="8" s="1"/>
  <c r="I292" i="8"/>
  <c r="G292" i="8"/>
  <c r="H292" i="8" s="1"/>
  <c r="I291" i="8"/>
  <c r="G291" i="8"/>
  <c r="H291" i="8" s="1"/>
  <c r="I290" i="8"/>
  <c r="G290" i="8"/>
  <c r="H290" i="8" s="1"/>
  <c r="I289" i="8"/>
  <c r="G289" i="8"/>
  <c r="H289" i="8" s="1"/>
  <c r="I288" i="8"/>
  <c r="G288" i="8"/>
  <c r="H288" i="8" s="1"/>
  <c r="I287" i="8"/>
  <c r="G287" i="8"/>
  <c r="H287" i="8" s="1"/>
  <c r="I286" i="8"/>
  <c r="G286" i="8"/>
  <c r="H286" i="8" s="1"/>
  <c r="I285" i="8"/>
  <c r="G285" i="8"/>
  <c r="H285" i="8" s="1"/>
  <c r="I284" i="8"/>
  <c r="G284" i="8"/>
  <c r="H284" i="8" s="1"/>
  <c r="I283" i="8"/>
  <c r="G283" i="8"/>
  <c r="H283" i="8" s="1"/>
  <c r="I282" i="8"/>
  <c r="G282" i="8"/>
  <c r="H282" i="8" s="1"/>
  <c r="I281" i="8"/>
  <c r="G281" i="8"/>
  <c r="H281" i="8" s="1"/>
  <c r="I280" i="8"/>
  <c r="G280" i="8"/>
  <c r="H280" i="8" s="1"/>
  <c r="I279" i="8"/>
  <c r="G279" i="8"/>
  <c r="H279" i="8" s="1"/>
  <c r="I278" i="8"/>
  <c r="G278" i="8"/>
  <c r="H278" i="8" s="1"/>
  <c r="I277" i="8"/>
  <c r="G277" i="8"/>
  <c r="H277" i="8" s="1"/>
  <c r="I276" i="8"/>
  <c r="G276" i="8"/>
  <c r="H276" i="8" s="1"/>
  <c r="I275" i="8"/>
  <c r="G275" i="8"/>
  <c r="H275" i="8" s="1"/>
  <c r="I274" i="8"/>
  <c r="G274" i="8"/>
  <c r="H274" i="8" s="1"/>
  <c r="I273" i="8"/>
  <c r="G273" i="8"/>
  <c r="H273" i="8" s="1"/>
  <c r="I272" i="8"/>
  <c r="G272" i="8"/>
  <c r="H272" i="8" s="1"/>
  <c r="I271" i="8"/>
  <c r="G271" i="8"/>
  <c r="H271" i="8" s="1"/>
  <c r="I270" i="8"/>
  <c r="G270" i="8"/>
  <c r="H270" i="8" s="1"/>
  <c r="I269" i="8"/>
  <c r="G269" i="8"/>
  <c r="H269" i="8" s="1"/>
  <c r="I268" i="8"/>
  <c r="G268" i="8"/>
  <c r="H268" i="8" s="1"/>
  <c r="I267" i="8"/>
  <c r="G267" i="8"/>
  <c r="H267" i="8" s="1"/>
  <c r="I266" i="8"/>
  <c r="G266" i="8"/>
  <c r="H266" i="8" s="1"/>
  <c r="I265" i="8"/>
  <c r="G265" i="8"/>
  <c r="H265" i="8" s="1"/>
  <c r="I264" i="8"/>
  <c r="G264" i="8"/>
  <c r="H264" i="8" s="1"/>
  <c r="I263" i="8"/>
  <c r="G263" i="8"/>
  <c r="H263" i="8" s="1"/>
  <c r="I262" i="8"/>
  <c r="G262" i="8"/>
  <c r="H262" i="8" s="1"/>
  <c r="I261" i="8"/>
  <c r="G261" i="8"/>
  <c r="H261" i="8" s="1"/>
  <c r="I260" i="8"/>
  <c r="G260" i="8"/>
  <c r="H260" i="8" s="1"/>
  <c r="I259" i="8"/>
  <c r="G259" i="8"/>
  <c r="H259" i="8" s="1"/>
  <c r="I258" i="8"/>
  <c r="G258" i="8"/>
  <c r="H258" i="8" s="1"/>
  <c r="I257" i="8"/>
  <c r="G257" i="8"/>
  <c r="H257" i="8" s="1"/>
  <c r="I256" i="8"/>
  <c r="G256" i="8"/>
  <c r="H256" i="8" s="1"/>
  <c r="I255" i="8"/>
  <c r="G255" i="8"/>
  <c r="H255" i="8" s="1"/>
  <c r="I254" i="8"/>
  <c r="G254" i="8"/>
  <c r="H254" i="8" s="1"/>
  <c r="I253" i="8"/>
  <c r="G253" i="8"/>
  <c r="H253" i="8" s="1"/>
  <c r="I252" i="8"/>
  <c r="G252" i="8"/>
  <c r="H252" i="8" s="1"/>
  <c r="I251" i="8"/>
  <c r="G251" i="8"/>
  <c r="H251" i="8" s="1"/>
  <c r="I250" i="8"/>
  <c r="G250" i="8"/>
  <c r="H250" i="8" s="1"/>
  <c r="I249" i="8"/>
  <c r="G249" i="8"/>
  <c r="H249" i="8" s="1"/>
  <c r="I248" i="8"/>
  <c r="G248" i="8"/>
  <c r="H248" i="8" s="1"/>
  <c r="I247" i="8"/>
  <c r="G247" i="8"/>
  <c r="H247" i="8" s="1"/>
  <c r="I246" i="8"/>
  <c r="G246" i="8"/>
  <c r="H246" i="8" s="1"/>
  <c r="I245" i="8"/>
  <c r="G245" i="8"/>
  <c r="H245" i="8" s="1"/>
  <c r="I244" i="8"/>
  <c r="G244" i="8"/>
  <c r="H244" i="8" s="1"/>
  <c r="I243" i="8"/>
  <c r="G243" i="8"/>
  <c r="H243" i="8" s="1"/>
  <c r="I242" i="8"/>
  <c r="G242" i="8"/>
  <c r="H242" i="8" s="1"/>
  <c r="I241" i="8"/>
  <c r="G241" i="8"/>
  <c r="H241" i="8" s="1"/>
  <c r="I240" i="8"/>
  <c r="G240" i="8"/>
  <c r="H240" i="8" s="1"/>
  <c r="I239" i="8"/>
  <c r="G239" i="8"/>
  <c r="H239" i="8" s="1"/>
  <c r="I238" i="8"/>
  <c r="G238" i="8"/>
  <c r="H238" i="8" s="1"/>
  <c r="I237" i="8"/>
  <c r="G237" i="8"/>
  <c r="H237" i="8" s="1"/>
  <c r="I236" i="8"/>
  <c r="G236" i="8"/>
  <c r="H236" i="8" s="1"/>
  <c r="I235" i="8"/>
  <c r="G235" i="8"/>
  <c r="H235" i="8" s="1"/>
  <c r="I234" i="8"/>
  <c r="G234" i="8"/>
  <c r="H234" i="8" s="1"/>
  <c r="I233" i="8"/>
  <c r="G233" i="8"/>
  <c r="H233" i="8" s="1"/>
  <c r="I232" i="8"/>
  <c r="G232" i="8"/>
  <c r="H232" i="8" s="1"/>
  <c r="I231" i="8"/>
  <c r="G231" i="8"/>
  <c r="H231" i="8" s="1"/>
  <c r="I230" i="8"/>
  <c r="G230" i="8"/>
  <c r="H230" i="8" s="1"/>
  <c r="I229" i="8"/>
  <c r="G229" i="8"/>
  <c r="H229" i="8" s="1"/>
  <c r="I228" i="8"/>
  <c r="G228" i="8"/>
  <c r="H228" i="8" s="1"/>
  <c r="I227" i="8"/>
  <c r="G227" i="8"/>
  <c r="H227" i="8" s="1"/>
  <c r="I226" i="8"/>
  <c r="G226" i="8"/>
  <c r="H226" i="8" s="1"/>
  <c r="I225" i="8"/>
  <c r="G225" i="8"/>
  <c r="H225" i="8" s="1"/>
  <c r="I224" i="8"/>
  <c r="G224" i="8"/>
  <c r="H224" i="8" s="1"/>
  <c r="I223" i="8"/>
  <c r="G223" i="8"/>
  <c r="H223" i="8" s="1"/>
  <c r="I222" i="8"/>
  <c r="G222" i="8"/>
  <c r="H222" i="8" s="1"/>
  <c r="I221" i="8"/>
  <c r="G221" i="8"/>
  <c r="H221" i="8" s="1"/>
  <c r="I220" i="8"/>
  <c r="G220" i="8"/>
  <c r="H220" i="8" s="1"/>
  <c r="I219" i="8"/>
  <c r="G219" i="8"/>
  <c r="H219" i="8" s="1"/>
  <c r="I218" i="8"/>
  <c r="G218" i="8"/>
  <c r="H218" i="8" s="1"/>
  <c r="I217" i="8"/>
  <c r="G217" i="8"/>
  <c r="H217" i="8" s="1"/>
  <c r="I216" i="8"/>
  <c r="G216" i="8"/>
  <c r="H216" i="8" s="1"/>
  <c r="I215" i="8"/>
  <c r="G215" i="8"/>
  <c r="H215" i="8" s="1"/>
  <c r="I214" i="8"/>
  <c r="G214" i="8"/>
  <c r="H214" i="8" s="1"/>
  <c r="I213" i="8"/>
  <c r="G213" i="8"/>
  <c r="H213" i="8" s="1"/>
  <c r="I212" i="8"/>
  <c r="G212" i="8"/>
  <c r="H212" i="8" s="1"/>
  <c r="I211" i="8"/>
  <c r="G211" i="8"/>
  <c r="H211" i="8" s="1"/>
  <c r="I210" i="8"/>
  <c r="G210" i="8"/>
  <c r="H210" i="8" s="1"/>
  <c r="I209" i="8"/>
  <c r="G209" i="8"/>
  <c r="H209" i="8" s="1"/>
  <c r="I208" i="8"/>
  <c r="G208" i="8"/>
  <c r="H208" i="8" s="1"/>
  <c r="I207" i="8"/>
  <c r="G207" i="8"/>
  <c r="H207" i="8" s="1"/>
  <c r="I206" i="8"/>
  <c r="G206" i="8"/>
  <c r="H206" i="8" s="1"/>
  <c r="I205" i="8"/>
  <c r="G205" i="8"/>
  <c r="H205" i="8" s="1"/>
  <c r="I204" i="8"/>
  <c r="G204" i="8"/>
  <c r="H204" i="8" s="1"/>
  <c r="I203" i="8"/>
  <c r="G203" i="8"/>
  <c r="H203" i="8" s="1"/>
  <c r="I202" i="8"/>
  <c r="G202" i="8"/>
  <c r="H202" i="8" s="1"/>
  <c r="I201" i="8"/>
  <c r="G201" i="8"/>
  <c r="H201" i="8" s="1"/>
  <c r="I200" i="8"/>
  <c r="G200" i="8"/>
  <c r="H200" i="8" s="1"/>
  <c r="I199" i="8"/>
  <c r="G199" i="8"/>
  <c r="H199" i="8" s="1"/>
  <c r="I198" i="8"/>
  <c r="G198" i="8"/>
  <c r="H198" i="8" s="1"/>
  <c r="I197" i="8"/>
  <c r="G197" i="8"/>
  <c r="H197" i="8" s="1"/>
  <c r="I196" i="8"/>
  <c r="G196" i="8"/>
  <c r="H196" i="8" s="1"/>
  <c r="I195" i="8"/>
  <c r="G195" i="8"/>
  <c r="H195" i="8" s="1"/>
  <c r="I194" i="8"/>
  <c r="G194" i="8"/>
  <c r="H194" i="8" s="1"/>
  <c r="I193" i="8"/>
  <c r="G193" i="8"/>
  <c r="H193" i="8" s="1"/>
  <c r="I192" i="8"/>
  <c r="G192" i="8"/>
  <c r="H192" i="8" s="1"/>
  <c r="I191" i="8"/>
  <c r="G191" i="8"/>
  <c r="H191" i="8" s="1"/>
  <c r="I190" i="8"/>
  <c r="G190" i="8"/>
  <c r="H190" i="8" s="1"/>
  <c r="I189" i="8"/>
  <c r="G189" i="8"/>
  <c r="H189" i="8" s="1"/>
  <c r="I188" i="8"/>
  <c r="G188" i="8"/>
  <c r="H188" i="8" s="1"/>
  <c r="I187" i="8"/>
  <c r="G187" i="8"/>
  <c r="H187" i="8" s="1"/>
  <c r="I186" i="8"/>
  <c r="G186" i="8"/>
  <c r="H186" i="8" s="1"/>
  <c r="I185" i="8"/>
  <c r="G185" i="8"/>
  <c r="H185" i="8" s="1"/>
  <c r="I184" i="8"/>
  <c r="G184" i="8"/>
  <c r="H184" i="8" s="1"/>
  <c r="I183" i="8"/>
  <c r="G183" i="8"/>
  <c r="H183" i="8" s="1"/>
  <c r="I182" i="8"/>
  <c r="G182" i="8"/>
  <c r="H182" i="8" s="1"/>
  <c r="I181" i="8"/>
  <c r="G181" i="8"/>
  <c r="H181" i="8" s="1"/>
  <c r="I180" i="8"/>
  <c r="G180" i="8"/>
  <c r="H180" i="8" s="1"/>
  <c r="I179" i="8"/>
  <c r="G179" i="8"/>
  <c r="H179" i="8" s="1"/>
  <c r="I178" i="8"/>
  <c r="G178" i="8"/>
  <c r="H178" i="8" s="1"/>
  <c r="I177" i="8"/>
  <c r="G177" i="8"/>
  <c r="H177" i="8" s="1"/>
  <c r="I176" i="8"/>
  <c r="G176" i="8"/>
  <c r="H176" i="8" s="1"/>
  <c r="I175" i="8"/>
  <c r="G175" i="8"/>
  <c r="H175" i="8" s="1"/>
  <c r="I174" i="8"/>
  <c r="G174" i="8"/>
  <c r="H174" i="8" s="1"/>
  <c r="I173" i="8"/>
  <c r="G173" i="8"/>
  <c r="H173" i="8" s="1"/>
  <c r="I172" i="8"/>
  <c r="G172" i="8"/>
  <c r="H172" i="8" s="1"/>
  <c r="I171" i="8"/>
  <c r="G171" i="8"/>
  <c r="H171" i="8" s="1"/>
  <c r="I170" i="8"/>
  <c r="G170" i="8"/>
  <c r="H170" i="8" s="1"/>
  <c r="I169" i="8"/>
  <c r="G169" i="8"/>
  <c r="H169" i="8" s="1"/>
  <c r="I168" i="8"/>
  <c r="G168" i="8"/>
  <c r="H168" i="8" s="1"/>
  <c r="I167" i="8"/>
  <c r="G167" i="8"/>
  <c r="H167" i="8" s="1"/>
  <c r="I166" i="8"/>
  <c r="G166" i="8"/>
  <c r="H166" i="8" s="1"/>
  <c r="I165" i="8"/>
  <c r="G165" i="8"/>
  <c r="H165" i="8" s="1"/>
  <c r="I164" i="8"/>
  <c r="G164" i="8"/>
  <c r="H164" i="8" s="1"/>
  <c r="I163" i="8"/>
  <c r="G163" i="8"/>
  <c r="H163" i="8" s="1"/>
  <c r="I162" i="8"/>
  <c r="G162" i="8"/>
  <c r="H162" i="8" s="1"/>
  <c r="I161" i="8"/>
  <c r="G161" i="8"/>
  <c r="H161" i="8" s="1"/>
  <c r="I160" i="8"/>
  <c r="G160" i="8"/>
  <c r="H160" i="8" s="1"/>
  <c r="I159" i="8"/>
  <c r="G159" i="8"/>
  <c r="H159" i="8" s="1"/>
  <c r="I158" i="8"/>
  <c r="G158" i="8"/>
  <c r="H158" i="8" s="1"/>
  <c r="I157" i="8"/>
  <c r="G157" i="8"/>
  <c r="H157" i="8" s="1"/>
  <c r="I156" i="8"/>
  <c r="G156" i="8"/>
  <c r="H156" i="8" s="1"/>
  <c r="I155" i="8"/>
  <c r="G155" i="8"/>
  <c r="H155" i="8" s="1"/>
  <c r="I154" i="8"/>
  <c r="G154" i="8"/>
  <c r="H154" i="8" s="1"/>
  <c r="I153" i="8"/>
  <c r="G153" i="8"/>
  <c r="H153" i="8" s="1"/>
  <c r="I152" i="8"/>
  <c r="G152" i="8"/>
  <c r="H152" i="8" s="1"/>
  <c r="I151" i="8"/>
  <c r="G151" i="8"/>
  <c r="H151" i="8" s="1"/>
  <c r="I150" i="8"/>
  <c r="G150" i="8"/>
  <c r="H150" i="8" s="1"/>
  <c r="I149" i="8"/>
  <c r="G149" i="8"/>
  <c r="H149" i="8" s="1"/>
  <c r="I148" i="8"/>
  <c r="G148" i="8"/>
  <c r="H148" i="8" s="1"/>
  <c r="I147" i="8"/>
  <c r="G147" i="8"/>
  <c r="H147" i="8" s="1"/>
  <c r="I146" i="8"/>
  <c r="G146" i="8"/>
  <c r="H146" i="8" s="1"/>
  <c r="I145" i="8"/>
  <c r="G145" i="8"/>
  <c r="H145" i="8" s="1"/>
  <c r="I144" i="8"/>
  <c r="G144" i="8"/>
  <c r="H144" i="8" s="1"/>
  <c r="I143" i="8"/>
  <c r="G143" i="8"/>
  <c r="H143" i="8" s="1"/>
  <c r="I142" i="8"/>
  <c r="G142" i="8"/>
  <c r="H142" i="8" s="1"/>
  <c r="I141" i="8"/>
  <c r="G141" i="8"/>
  <c r="H141" i="8" s="1"/>
  <c r="I140" i="8"/>
  <c r="G140" i="8"/>
  <c r="H140" i="8" s="1"/>
  <c r="I139" i="8"/>
  <c r="G139" i="8"/>
  <c r="H139" i="8" s="1"/>
  <c r="I138" i="8"/>
  <c r="G138" i="8"/>
  <c r="H138" i="8" s="1"/>
  <c r="I137" i="8"/>
  <c r="G137" i="8"/>
  <c r="H137" i="8" s="1"/>
  <c r="I136" i="8"/>
  <c r="G136" i="8"/>
  <c r="H136" i="8" s="1"/>
  <c r="I135" i="8"/>
  <c r="G135" i="8"/>
  <c r="H135" i="8" s="1"/>
  <c r="I134" i="8"/>
  <c r="G134" i="8"/>
  <c r="H134" i="8" s="1"/>
  <c r="I133" i="8"/>
  <c r="G133" i="8"/>
  <c r="H133" i="8" s="1"/>
  <c r="I132" i="8"/>
  <c r="G132" i="8"/>
  <c r="H132" i="8" s="1"/>
  <c r="I131" i="8"/>
  <c r="G131" i="8"/>
  <c r="H131" i="8" s="1"/>
  <c r="I130" i="8"/>
  <c r="G130" i="8"/>
  <c r="H130" i="8" s="1"/>
  <c r="I129" i="8"/>
  <c r="G129" i="8"/>
  <c r="H129" i="8" s="1"/>
  <c r="I128" i="8"/>
  <c r="G128" i="8"/>
  <c r="H128" i="8" s="1"/>
  <c r="I127" i="8"/>
  <c r="G127" i="8"/>
  <c r="H127" i="8" s="1"/>
  <c r="I126" i="8"/>
  <c r="G126" i="8"/>
  <c r="H126" i="8" s="1"/>
  <c r="I125" i="8"/>
  <c r="G125" i="8"/>
  <c r="H125" i="8" s="1"/>
  <c r="I124" i="8"/>
  <c r="G124" i="8"/>
  <c r="H124" i="8" s="1"/>
  <c r="I123" i="8"/>
  <c r="G123" i="8"/>
  <c r="H123" i="8" s="1"/>
  <c r="I122" i="8"/>
  <c r="G122" i="8"/>
  <c r="H122" i="8" s="1"/>
  <c r="I121" i="8"/>
  <c r="G121" i="8"/>
  <c r="H121" i="8" s="1"/>
  <c r="I120" i="8"/>
  <c r="G120" i="8"/>
  <c r="H120" i="8" s="1"/>
  <c r="I119" i="8"/>
  <c r="G119" i="8"/>
  <c r="H119" i="8" s="1"/>
  <c r="I118" i="8"/>
  <c r="G118" i="8"/>
  <c r="H118" i="8" s="1"/>
  <c r="I117" i="8"/>
  <c r="G117" i="8"/>
  <c r="H117" i="8" s="1"/>
  <c r="I116" i="8"/>
  <c r="G116" i="8"/>
  <c r="H116" i="8" s="1"/>
  <c r="I115" i="8"/>
  <c r="G115" i="8"/>
  <c r="H115" i="8" s="1"/>
  <c r="I114" i="8"/>
  <c r="G114" i="8"/>
  <c r="H114" i="8" s="1"/>
  <c r="I113" i="8"/>
  <c r="G113" i="8"/>
  <c r="H113" i="8" s="1"/>
  <c r="I112" i="8"/>
  <c r="G112" i="8"/>
  <c r="H112" i="8" s="1"/>
  <c r="I111" i="8"/>
  <c r="G111" i="8"/>
  <c r="H111" i="8" s="1"/>
  <c r="I110" i="8"/>
  <c r="G110" i="8"/>
  <c r="H110" i="8" s="1"/>
  <c r="I109" i="8"/>
  <c r="G109" i="8"/>
  <c r="H109" i="8" s="1"/>
  <c r="I108" i="8"/>
  <c r="G108" i="8"/>
  <c r="H108" i="8" s="1"/>
  <c r="I107" i="8"/>
  <c r="G107" i="8"/>
  <c r="H107" i="8" s="1"/>
  <c r="I106" i="8"/>
  <c r="G106" i="8"/>
  <c r="H106" i="8" s="1"/>
  <c r="I105" i="8"/>
  <c r="G105" i="8"/>
  <c r="H105" i="8" s="1"/>
  <c r="I104" i="8"/>
  <c r="G104" i="8"/>
  <c r="H104" i="8" s="1"/>
  <c r="I103" i="8"/>
  <c r="G103" i="8"/>
  <c r="H103" i="8" s="1"/>
  <c r="I102" i="8"/>
  <c r="G102" i="8"/>
  <c r="H102" i="8" s="1"/>
  <c r="I101" i="8"/>
  <c r="G101" i="8"/>
  <c r="H101" i="8" s="1"/>
  <c r="I100" i="8"/>
  <c r="G100" i="8"/>
  <c r="H100" i="8" s="1"/>
  <c r="I99" i="8"/>
  <c r="G99" i="8"/>
  <c r="H99" i="8" s="1"/>
  <c r="I98" i="8"/>
  <c r="G98" i="8"/>
  <c r="H98" i="8" s="1"/>
  <c r="I97" i="8"/>
  <c r="G97" i="8"/>
  <c r="H97" i="8" s="1"/>
  <c r="I96" i="8"/>
  <c r="G96" i="8"/>
  <c r="H96" i="8" s="1"/>
  <c r="I95" i="8"/>
  <c r="G95" i="8"/>
  <c r="H95" i="8" s="1"/>
  <c r="I94" i="8"/>
  <c r="G94" i="8"/>
  <c r="H94" i="8" s="1"/>
  <c r="I93" i="8"/>
  <c r="G93" i="8"/>
  <c r="H93" i="8" s="1"/>
  <c r="I92" i="8"/>
  <c r="G92" i="8"/>
  <c r="H92" i="8" s="1"/>
  <c r="I91" i="8"/>
  <c r="G91" i="8"/>
  <c r="H91" i="8" s="1"/>
  <c r="I90" i="8"/>
  <c r="G90" i="8"/>
  <c r="H90" i="8" s="1"/>
  <c r="I89" i="8"/>
  <c r="G89" i="8"/>
  <c r="H89" i="8" s="1"/>
  <c r="I88" i="8"/>
  <c r="G88" i="8"/>
  <c r="H88" i="8" s="1"/>
  <c r="I87" i="8"/>
  <c r="G87" i="8"/>
  <c r="H87" i="8" s="1"/>
  <c r="I86" i="8"/>
  <c r="G86" i="8"/>
  <c r="H86" i="8" s="1"/>
  <c r="I85" i="8"/>
  <c r="G85" i="8"/>
  <c r="H85" i="8" s="1"/>
  <c r="I84" i="8"/>
  <c r="G84" i="8"/>
  <c r="H84" i="8" s="1"/>
  <c r="I83" i="8"/>
  <c r="G83" i="8"/>
  <c r="H83" i="8" s="1"/>
  <c r="I82" i="8"/>
  <c r="G82" i="8"/>
  <c r="H82" i="8" s="1"/>
  <c r="I81" i="8"/>
  <c r="G81" i="8"/>
  <c r="H81" i="8" s="1"/>
  <c r="I80" i="8"/>
  <c r="G80" i="8"/>
  <c r="H80" i="8" s="1"/>
  <c r="I79" i="8"/>
  <c r="G79" i="8"/>
  <c r="H79" i="8" s="1"/>
  <c r="I78" i="8"/>
  <c r="G78" i="8"/>
  <c r="H78" i="8" s="1"/>
  <c r="I77" i="8"/>
  <c r="G77" i="8"/>
  <c r="H77" i="8" s="1"/>
  <c r="I76" i="8"/>
  <c r="G76" i="8"/>
  <c r="H76" i="8" s="1"/>
  <c r="I75" i="8"/>
  <c r="G75" i="8"/>
  <c r="H75" i="8" s="1"/>
  <c r="I74" i="8"/>
  <c r="G74" i="8"/>
  <c r="H74" i="8" s="1"/>
  <c r="I73" i="8"/>
  <c r="G73" i="8"/>
  <c r="H73" i="8" s="1"/>
  <c r="I72" i="8"/>
  <c r="G72" i="8"/>
  <c r="H72" i="8" s="1"/>
  <c r="I71" i="8"/>
  <c r="G71" i="8"/>
  <c r="H71" i="8" s="1"/>
  <c r="I70" i="8"/>
  <c r="G70" i="8"/>
  <c r="H70" i="8" s="1"/>
  <c r="I69" i="8"/>
  <c r="G69" i="8"/>
  <c r="H69" i="8" s="1"/>
  <c r="I68" i="8"/>
  <c r="G68" i="8"/>
  <c r="H68" i="8" s="1"/>
  <c r="I67" i="8"/>
  <c r="G67" i="8"/>
  <c r="H67" i="8" s="1"/>
  <c r="I66" i="8"/>
  <c r="G66" i="8"/>
  <c r="H66" i="8" s="1"/>
  <c r="I65" i="8"/>
  <c r="G65" i="8"/>
  <c r="H65" i="8" s="1"/>
  <c r="I64" i="8"/>
  <c r="G64" i="8"/>
  <c r="H64" i="8" s="1"/>
  <c r="I63" i="8"/>
  <c r="G63" i="8"/>
  <c r="H63" i="8" s="1"/>
  <c r="I62" i="8"/>
  <c r="G62" i="8"/>
  <c r="H62" i="8" s="1"/>
  <c r="I61" i="8"/>
  <c r="G61" i="8"/>
  <c r="H61" i="8" s="1"/>
  <c r="I60" i="8"/>
  <c r="G60" i="8"/>
  <c r="H60" i="8" s="1"/>
  <c r="I59" i="8"/>
  <c r="G59" i="8"/>
  <c r="H59" i="8" s="1"/>
  <c r="I58" i="8"/>
  <c r="G58" i="8"/>
  <c r="H58" i="8" s="1"/>
  <c r="I57" i="8"/>
  <c r="G57" i="8"/>
  <c r="H57" i="8" s="1"/>
  <c r="I56" i="8"/>
  <c r="G56" i="8"/>
  <c r="H56" i="8" s="1"/>
  <c r="I55" i="8"/>
  <c r="G55" i="8"/>
  <c r="H55" i="8" s="1"/>
  <c r="I54" i="8"/>
  <c r="G54" i="8"/>
  <c r="H54" i="8" s="1"/>
  <c r="I53" i="8"/>
  <c r="G53" i="8"/>
  <c r="H53" i="8" s="1"/>
  <c r="I52" i="8"/>
  <c r="G52" i="8"/>
  <c r="H52" i="8" s="1"/>
  <c r="I51" i="8"/>
  <c r="G51" i="8"/>
  <c r="H51" i="8" s="1"/>
  <c r="I50" i="8"/>
  <c r="G50" i="8"/>
  <c r="H50" i="8" s="1"/>
  <c r="I49" i="8"/>
  <c r="G49" i="8"/>
  <c r="H49" i="8" s="1"/>
  <c r="I48" i="8"/>
  <c r="G48" i="8"/>
  <c r="H48" i="8" s="1"/>
  <c r="I47" i="8"/>
  <c r="G47" i="8"/>
  <c r="H47" i="8" s="1"/>
  <c r="I46" i="8"/>
  <c r="G46" i="8"/>
  <c r="H46" i="8" s="1"/>
  <c r="I45" i="8"/>
  <c r="G45" i="8"/>
  <c r="H45" i="8" s="1"/>
  <c r="I44" i="8"/>
  <c r="G44" i="8"/>
  <c r="H44" i="8" s="1"/>
  <c r="I43" i="8"/>
  <c r="G43" i="8"/>
  <c r="H43" i="8" s="1"/>
  <c r="I42" i="8"/>
  <c r="G42" i="8"/>
  <c r="H42" i="8" s="1"/>
  <c r="I41" i="8"/>
  <c r="G41" i="8"/>
  <c r="H41" i="8" s="1"/>
  <c r="I40" i="8"/>
  <c r="G40" i="8"/>
  <c r="H40" i="8" s="1"/>
  <c r="I39" i="8"/>
  <c r="G39" i="8"/>
  <c r="H39" i="8" s="1"/>
  <c r="I38" i="8"/>
  <c r="G38" i="8"/>
  <c r="H38" i="8" s="1"/>
  <c r="I37" i="8"/>
  <c r="G37" i="8"/>
  <c r="H37" i="8" s="1"/>
  <c r="I36" i="8"/>
  <c r="G36" i="8"/>
  <c r="H36" i="8" s="1"/>
  <c r="I35" i="8"/>
  <c r="G35" i="8"/>
  <c r="H35" i="8" s="1"/>
  <c r="I34" i="8"/>
  <c r="G34" i="8"/>
  <c r="H34" i="8" s="1"/>
  <c r="I33" i="8"/>
  <c r="G33" i="8"/>
  <c r="H33" i="8" s="1"/>
  <c r="I32" i="8"/>
  <c r="G32" i="8"/>
  <c r="H32" i="8" s="1"/>
  <c r="I31" i="8"/>
  <c r="G31" i="8"/>
  <c r="H31" i="8" s="1"/>
  <c r="I30" i="8"/>
  <c r="G30" i="8"/>
  <c r="H30" i="8" s="1"/>
  <c r="I29" i="8"/>
  <c r="G29" i="8"/>
  <c r="H29" i="8" s="1"/>
  <c r="I28" i="8"/>
  <c r="G28" i="8"/>
  <c r="I27" i="8"/>
  <c r="G27" i="8"/>
  <c r="H27" i="8" s="1"/>
  <c r="I26" i="8"/>
  <c r="G26" i="8"/>
  <c r="H26" i="8" s="1"/>
  <c r="I25" i="8"/>
  <c r="G25" i="8"/>
  <c r="H25" i="8" s="1"/>
  <c r="I24" i="8"/>
  <c r="G24" i="8"/>
  <c r="H24" i="8" s="1"/>
  <c r="I23" i="8"/>
  <c r="G23" i="8"/>
  <c r="H23" i="8" s="1"/>
  <c r="I22" i="8"/>
  <c r="G22" i="8"/>
  <c r="H22" i="8" s="1"/>
  <c r="I21" i="8"/>
  <c r="G21" i="8"/>
  <c r="H21" i="8" s="1"/>
  <c r="I20" i="8"/>
  <c r="G20" i="8"/>
  <c r="H20" i="8" s="1"/>
  <c r="I19" i="8"/>
  <c r="G19" i="8"/>
  <c r="H19" i="8" s="1"/>
  <c r="I18" i="8"/>
  <c r="G18" i="8"/>
  <c r="H18" i="8" s="1"/>
  <c r="I17" i="8"/>
  <c r="G17" i="8"/>
  <c r="H17" i="8" s="1"/>
  <c r="I16" i="8"/>
  <c r="G16" i="8"/>
  <c r="H16" i="8" s="1"/>
  <c r="I15" i="8"/>
  <c r="G15" i="8"/>
  <c r="H15" i="8" s="1"/>
  <c r="I14" i="8"/>
  <c r="G14" i="8"/>
  <c r="H14" i="8" s="1"/>
  <c r="I13" i="8"/>
  <c r="G13" i="8"/>
  <c r="H13" i="8" s="1"/>
  <c r="I12" i="8"/>
  <c r="G12" i="8"/>
  <c r="H12" i="8" s="1"/>
  <c r="I11" i="8"/>
  <c r="G11" i="8"/>
  <c r="H11" i="8" s="1"/>
  <c r="I10" i="8"/>
  <c r="G10" i="8"/>
  <c r="H10" i="8" s="1"/>
  <c r="I9" i="8"/>
  <c r="G9" i="8"/>
  <c r="H9" i="8" s="1"/>
  <c r="I8" i="8"/>
  <c r="G8" i="8"/>
  <c r="H8" i="8" s="1"/>
  <c r="I7" i="8"/>
  <c r="G7" i="8"/>
  <c r="H7" i="8" s="1"/>
  <c r="I6" i="8"/>
  <c r="G6" i="8"/>
  <c r="I5" i="8"/>
  <c r="G5" i="8"/>
  <c r="H5" i="8" s="1"/>
  <c r="I4" i="8"/>
  <c r="G4" i="8"/>
  <c r="H4" i="8" s="1"/>
  <c r="I3" i="8"/>
  <c r="G3" i="8"/>
  <c r="H3" i="8" s="1"/>
  <c r="I2" i="8"/>
  <c r="G2" i="8"/>
  <c r="H2" i="8" s="1"/>
  <c r="B3" i="12"/>
  <c r="C12" i="12" l="1"/>
  <c r="N404" i="8"/>
  <c r="H28" i="8"/>
  <c r="H6" i="8"/>
  <c r="N328" i="8"/>
  <c r="O156" i="8"/>
  <c r="O250" i="8"/>
  <c r="N293" i="8"/>
  <c r="O369" i="8"/>
  <c r="N382" i="8"/>
  <c r="N393" i="8"/>
  <c r="O100" i="8"/>
  <c r="O208" i="8"/>
  <c r="O271" i="8"/>
  <c r="N315" i="8"/>
  <c r="O347" i="8"/>
  <c r="N5" i="8"/>
  <c r="N16" i="8"/>
  <c r="N35" i="8"/>
  <c r="O55" i="8"/>
  <c r="O69" i="8"/>
  <c r="O82" i="8"/>
  <c r="O86" i="8"/>
  <c r="O107" i="8"/>
  <c r="O127" i="8"/>
  <c r="O134" i="8"/>
  <c r="O164" i="8"/>
  <c r="O182" i="8"/>
  <c r="O187" i="8"/>
  <c r="O218" i="8"/>
  <c r="O239" i="8"/>
  <c r="O242" i="8"/>
  <c r="O252" i="8"/>
  <c r="O260" i="8"/>
  <c r="O263" i="8"/>
  <c r="O274" i="8"/>
  <c r="O282" i="8"/>
  <c r="N285" i="8"/>
  <c r="N296" i="8"/>
  <c r="N304" i="8"/>
  <c r="N307" i="8"/>
  <c r="N317" i="8"/>
  <c r="N323" i="8"/>
  <c r="N325" i="8"/>
  <c r="N333" i="8"/>
  <c r="O337" i="8"/>
  <c r="O343" i="8"/>
  <c r="O353" i="8"/>
  <c r="O359" i="8"/>
  <c r="O363" i="8"/>
  <c r="N374" i="8"/>
  <c r="N376" i="8"/>
  <c r="N379" i="8"/>
  <c r="N384" i="8"/>
  <c r="N387" i="8"/>
  <c r="N391" i="8"/>
  <c r="N396" i="8"/>
  <c r="N399" i="8"/>
  <c r="N401" i="8"/>
  <c r="N408" i="8"/>
  <c r="O410" i="8"/>
  <c r="O27" i="8"/>
  <c r="O29" i="8"/>
  <c r="O30" i="8"/>
  <c r="O31" i="8"/>
  <c r="O33" i="8"/>
  <c r="O34" i="8"/>
  <c r="O35" i="8"/>
  <c r="O36" i="8"/>
  <c r="O37" i="8"/>
  <c r="O38" i="8"/>
  <c r="O39" i="8"/>
  <c r="O40" i="8"/>
  <c r="O41" i="8"/>
  <c r="N42" i="8"/>
  <c r="N43" i="8"/>
  <c r="N44" i="8"/>
  <c r="O45" i="8"/>
  <c r="N46" i="8"/>
  <c r="O47" i="8"/>
  <c r="N48" i="8"/>
  <c r="O49" i="8"/>
  <c r="N50" i="8"/>
  <c r="N51" i="8"/>
  <c r="N52" i="8"/>
  <c r="N53" i="8"/>
  <c r="O54" i="8"/>
  <c r="O56" i="8"/>
  <c r="N57" i="8"/>
  <c r="N58" i="8"/>
  <c r="O59" i="8"/>
  <c r="N60" i="8"/>
  <c r="N61" i="8"/>
  <c r="O62" i="8"/>
  <c r="O6" i="8"/>
  <c r="O7" i="8"/>
  <c r="O8" i="8"/>
  <c r="O9" i="8"/>
  <c r="N10" i="8"/>
  <c r="N11" i="8"/>
  <c r="O12" i="8"/>
  <c r="O13" i="8"/>
  <c r="O14" i="8"/>
  <c r="N15" i="8"/>
  <c r="O16" i="8"/>
  <c r="O17" i="8"/>
  <c r="N18" i="8"/>
  <c r="O19" i="8"/>
  <c r="O20" i="8"/>
  <c r="O21" i="8"/>
  <c r="O22" i="8"/>
  <c r="N23" i="8"/>
  <c r="O24" i="8"/>
  <c r="O25" i="8"/>
  <c r="N26" i="8"/>
  <c r="O28" i="8"/>
  <c r="O32" i="8"/>
  <c r="O43" i="8"/>
  <c r="O76" i="8"/>
  <c r="N79" i="8"/>
  <c r="N90" i="8"/>
  <c r="N93" i="8"/>
  <c r="O113" i="8"/>
  <c r="O121" i="8"/>
  <c r="O142" i="8"/>
  <c r="O149" i="8"/>
  <c r="O171" i="8"/>
  <c r="O176" i="8"/>
  <c r="O192" i="8"/>
  <c r="O198" i="8"/>
  <c r="O230" i="8"/>
  <c r="O234" i="8"/>
  <c r="O244" i="8"/>
  <c r="O247" i="8"/>
  <c r="O255" i="8"/>
  <c r="O258" i="8"/>
  <c r="O266" i="8"/>
  <c r="O268" i="8"/>
  <c r="O276" i="8"/>
  <c r="O279" i="8"/>
  <c r="N288" i="8"/>
  <c r="N291" i="8"/>
  <c r="N299" i="8"/>
  <c r="N301" i="8"/>
  <c r="N309" i="8"/>
  <c r="N312" i="8"/>
  <c r="N320" i="8"/>
  <c r="N331" i="8"/>
  <c r="O26" i="8"/>
  <c r="O63" i="8"/>
  <c r="O64" i="8"/>
  <c r="O65" i="8"/>
  <c r="O66" i="8"/>
  <c r="N67" i="8"/>
  <c r="N68" i="8"/>
  <c r="O70" i="8"/>
  <c r="O71" i="8"/>
  <c r="N72" i="8"/>
  <c r="N73" i="8"/>
  <c r="O74" i="8"/>
  <c r="O2" i="8"/>
  <c r="N4" i="8"/>
  <c r="O72" i="8"/>
  <c r="O18" i="8"/>
  <c r="N29" i="8"/>
  <c r="O46" i="8"/>
  <c r="O10" i="8"/>
  <c r="N31" i="8"/>
  <c r="N39" i="8"/>
  <c r="N49" i="8"/>
  <c r="N62" i="8"/>
  <c r="N2" i="8"/>
  <c r="O3" i="8"/>
  <c r="O4" i="8"/>
  <c r="N8" i="8"/>
  <c r="N37" i="8"/>
  <c r="O58" i="8"/>
  <c r="N24" i="8"/>
  <c r="N33" i="8"/>
  <c r="N41" i="8"/>
  <c r="O51" i="8"/>
  <c r="N66" i="8"/>
  <c r="O75" i="8"/>
  <c r="N76" i="8"/>
  <c r="N77" i="8"/>
  <c r="N78" i="8"/>
  <c r="O80" i="8"/>
  <c r="O81" i="8"/>
  <c r="N82" i="8"/>
  <c r="O83" i="8"/>
  <c r="O84" i="8"/>
  <c r="N85" i="8"/>
  <c r="N86" i="8"/>
  <c r="O87" i="8"/>
  <c r="O88" i="8"/>
  <c r="N89" i="8"/>
  <c r="O90" i="8"/>
  <c r="N91" i="8"/>
  <c r="O92" i="8"/>
  <c r="N94" i="8"/>
  <c r="O95" i="8"/>
  <c r="O97" i="8"/>
  <c r="O99" i="8"/>
  <c r="O101" i="8"/>
  <c r="O102" i="8"/>
  <c r="O103" i="8"/>
  <c r="O105" i="8"/>
  <c r="O108" i="8"/>
  <c r="O109" i="8"/>
  <c r="O110" i="8"/>
  <c r="O111" i="8"/>
  <c r="O115" i="8"/>
  <c r="O116" i="8"/>
  <c r="O117" i="8"/>
  <c r="O118" i="8"/>
  <c r="O119" i="8"/>
  <c r="O123" i="8"/>
  <c r="O124" i="8"/>
  <c r="O125" i="8"/>
  <c r="O126" i="8"/>
  <c r="O129" i="8"/>
  <c r="O131" i="8"/>
  <c r="O132" i="8"/>
  <c r="O133" i="8"/>
  <c r="O135" i="8"/>
  <c r="O137" i="8"/>
  <c r="O139" i="8"/>
  <c r="O140" i="8"/>
  <c r="O141" i="8"/>
  <c r="O143" i="8"/>
  <c r="O145" i="8"/>
  <c r="O147" i="8"/>
  <c r="O148" i="8"/>
  <c r="O150" i="8"/>
  <c r="O151" i="8"/>
  <c r="O153" i="8"/>
  <c r="O155" i="8"/>
  <c r="O157" i="8"/>
  <c r="O158" i="8"/>
  <c r="O159" i="8"/>
  <c r="O161" i="8"/>
  <c r="O163" i="8"/>
  <c r="O165" i="8"/>
  <c r="O166" i="8"/>
  <c r="O167" i="8"/>
  <c r="O169" i="8"/>
  <c r="O172" i="8"/>
  <c r="N173" i="8"/>
  <c r="O174" i="8"/>
  <c r="O175" i="8"/>
  <c r="O177" i="8"/>
  <c r="O178" i="8"/>
  <c r="N179" i="8"/>
  <c r="O180" i="8"/>
  <c r="N181" i="8"/>
  <c r="N183" i="8"/>
  <c r="O184" i="8"/>
  <c r="N185" i="8"/>
  <c r="O186" i="8"/>
  <c r="O188" i="8"/>
  <c r="N189" i="8"/>
  <c r="O190" i="8"/>
  <c r="N191" i="8"/>
  <c r="O193" i="8"/>
  <c r="O194" i="8"/>
  <c r="N195" i="8"/>
  <c r="O196" i="8"/>
  <c r="N197" i="8"/>
  <c r="N199" i="8"/>
  <c r="O200" i="8"/>
  <c r="N201" i="8"/>
  <c r="O202" i="8"/>
  <c r="O203" i="8"/>
  <c r="O204" i="8"/>
  <c r="N205" i="8"/>
  <c r="O206" i="8"/>
  <c r="N207" i="8"/>
  <c r="O209" i="8"/>
  <c r="O210" i="8"/>
  <c r="N211" i="8"/>
  <c r="O212" i="8"/>
  <c r="N213" i="8"/>
  <c r="O214" i="8"/>
  <c r="O215" i="8"/>
  <c r="O216" i="8"/>
  <c r="N217" i="8"/>
  <c r="N219" i="8"/>
  <c r="O220" i="8"/>
  <c r="O221" i="8"/>
  <c r="O222" i="8"/>
  <c r="N223" i="8"/>
  <c r="O224" i="8"/>
  <c r="O225" i="8"/>
  <c r="O226" i="8"/>
  <c r="N227" i="8"/>
  <c r="O228" i="8"/>
  <c r="N229" i="8"/>
  <c r="O231" i="8"/>
  <c r="O232" i="8"/>
  <c r="N233" i="8"/>
  <c r="N235" i="8"/>
  <c r="O236" i="8"/>
  <c r="N237" i="8"/>
  <c r="O238" i="8"/>
  <c r="N239" i="8"/>
  <c r="N240" i="8"/>
  <c r="N242" i="8"/>
  <c r="N243" i="8"/>
  <c r="N244" i="8"/>
  <c r="N246" i="8"/>
  <c r="N247" i="8"/>
  <c r="N248" i="8"/>
  <c r="N250" i="8"/>
  <c r="N251" i="8"/>
  <c r="N252" i="8"/>
  <c r="N254" i="8"/>
  <c r="N255" i="8"/>
  <c r="N256" i="8"/>
  <c r="N258" i="8"/>
  <c r="N259" i="8"/>
  <c r="N260" i="8"/>
  <c r="N262" i="8"/>
  <c r="N263" i="8"/>
  <c r="N264" i="8"/>
  <c r="N266" i="8"/>
  <c r="N267" i="8"/>
  <c r="N268" i="8"/>
  <c r="N270" i="8"/>
  <c r="N271" i="8"/>
  <c r="N272" i="8"/>
  <c r="N274" i="8"/>
  <c r="N275" i="8"/>
  <c r="N276" i="8"/>
  <c r="N278" i="8"/>
  <c r="N279" i="8"/>
  <c r="N280" i="8"/>
  <c r="N282" i="8"/>
  <c r="O283" i="8"/>
  <c r="O284" i="8"/>
  <c r="O285" i="8"/>
  <c r="O287" i="8"/>
  <c r="O288" i="8"/>
  <c r="O289" i="8"/>
  <c r="O291" i="8"/>
  <c r="O292" i="8"/>
  <c r="O293" i="8"/>
  <c r="O295" i="8"/>
  <c r="O296" i="8"/>
  <c r="O297" i="8"/>
  <c r="O299" i="8"/>
  <c r="O300" i="8"/>
  <c r="O301" i="8"/>
  <c r="O303" i="8"/>
  <c r="O304" i="8"/>
  <c r="O305" i="8"/>
  <c r="O307" i="8"/>
  <c r="O308" i="8"/>
  <c r="O309" i="8"/>
  <c r="O311" i="8"/>
  <c r="O312" i="8"/>
  <c r="O313" i="8"/>
  <c r="O315" i="8"/>
  <c r="O316" i="8"/>
  <c r="O317" i="8"/>
  <c r="O319" i="8"/>
  <c r="O320" i="8"/>
  <c r="O321" i="8"/>
  <c r="O323" i="8"/>
  <c r="O324" i="8"/>
  <c r="O325" i="8"/>
  <c r="O327" i="8"/>
  <c r="O328" i="8"/>
  <c r="O329" i="8"/>
  <c r="O331" i="8"/>
  <c r="O332" i="8"/>
  <c r="O333" i="8"/>
  <c r="O334" i="8"/>
  <c r="N335" i="8"/>
  <c r="O336" i="8"/>
  <c r="O338" i="8"/>
  <c r="O339" i="8"/>
  <c r="O340" i="8"/>
  <c r="O341" i="8"/>
  <c r="O342" i="8"/>
  <c r="O344" i="8"/>
  <c r="O345" i="8"/>
  <c r="O346" i="8"/>
  <c r="O348" i="8"/>
  <c r="O349" i="8"/>
  <c r="O350" i="8"/>
  <c r="O351" i="8"/>
  <c r="O352" i="8"/>
  <c r="O354" i="8"/>
  <c r="O355" i="8"/>
  <c r="O356" i="8"/>
  <c r="O357" i="8"/>
  <c r="O358" i="8"/>
  <c r="O360" i="8"/>
  <c r="O361" i="8"/>
  <c r="O362" i="8"/>
  <c r="O364" i="8"/>
  <c r="O365" i="8"/>
  <c r="O366" i="8"/>
  <c r="O367" i="8"/>
  <c r="O368" i="8"/>
  <c r="O370" i="8"/>
  <c r="O371" i="8"/>
  <c r="O372" i="8"/>
  <c r="O374" i="8"/>
  <c r="O375" i="8"/>
  <c r="O376" i="8"/>
  <c r="O378" i="8"/>
  <c r="O379" i="8"/>
  <c r="O380" i="8"/>
  <c r="O382" i="8"/>
  <c r="O383" i="8"/>
  <c r="O384" i="8"/>
  <c r="O386" i="8"/>
  <c r="O387" i="8"/>
  <c r="O388" i="8"/>
  <c r="O390" i="8"/>
  <c r="O391" i="8"/>
  <c r="O392" i="8"/>
  <c r="O393" i="8"/>
  <c r="O395" i="8"/>
  <c r="O396" i="8"/>
  <c r="O397" i="8"/>
  <c r="O399" i="8"/>
  <c r="O400" i="8"/>
  <c r="O401" i="8"/>
  <c r="O403" i="8"/>
  <c r="O404" i="8"/>
  <c r="O405" i="8"/>
  <c r="O407" i="8"/>
  <c r="O408" i="8"/>
  <c r="O409" i="8"/>
  <c r="N410" i="8"/>
  <c r="N241" i="8"/>
  <c r="O241" i="8"/>
  <c r="N245" i="8"/>
  <c r="O245" i="8"/>
  <c r="N249" i="8"/>
  <c r="O249" i="8"/>
  <c r="N253" i="8"/>
  <c r="O253" i="8"/>
  <c r="N257" i="8"/>
  <c r="O257" i="8"/>
  <c r="N261" i="8"/>
  <c r="O261" i="8"/>
  <c r="N265" i="8"/>
  <c r="O265" i="8"/>
  <c r="N269" i="8"/>
  <c r="O269" i="8"/>
  <c r="N273" i="8"/>
  <c r="O273" i="8"/>
  <c r="N277" i="8"/>
  <c r="O277" i="8"/>
  <c r="N281" i="8"/>
  <c r="O281" i="8"/>
  <c r="O286" i="8"/>
  <c r="N286" i="8"/>
  <c r="O290" i="8"/>
  <c r="N290" i="8"/>
  <c r="O294" i="8"/>
  <c r="N294" i="8"/>
  <c r="O298" i="8"/>
  <c r="N298" i="8"/>
  <c r="O302" i="8"/>
  <c r="N302" i="8"/>
  <c r="O306" i="8"/>
  <c r="N306" i="8"/>
  <c r="O310" i="8"/>
  <c r="N310" i="8"/>
  <c r="O314" i="8"/>
  <c r="N314" i="8"/>
  <c r="O318" i="8"/>
  <c r="N318" i="8"/>
  <c r="O322" i="8"/>
  <c r="N322" i="8"/>
  <c r="O326" i="8"/>
  <c r="N326" i="8"/>
  <c r="O330" i="8"/>
  <c r="N330" i="8"/>
  <c r="O373" i="8"/>
  <c r="N373" i="8"/>
  <c r="O377" i="8"/>
  <c r="N377" i="8"/>
  <c r="O381" i="8"/>
  <c r="N381" i="8"/>
  <c r="O385" i="8"/>
  <c r="N385" i="8"/>
  <c r="N389" i="8"/>
  <c r="O389" i="8"/>
  <c r="O394" i="8"/>
  <c r="N394" i="8"/>
  <c r="O398" i="8"/>
  <c r="N398" i="8"/>
  <c r="O402" i="8"/>
  <c r="N402" i="8"/>
  <c r="N406" i="8"/>
  <c r="O406" i="8"/>
  <c r="N6" i="8"/>
  <c r="N14" i="8"/>
  <c r="N22" i="8"/>
  <c r="O44" i="8"/>
  <c r="N47" i="8"/>
  <c r="O52" i="8"/>
  <c r="N56" i="8"/>
  <c r="N70" i="8"/>
  <c r="N74" i="8"/>
  <c r="O77" i="8"/>
  <c r="N80" i="8"/>
  <c r="N84" i="8"/>
  <c r="O94" i="8"/>
  <c r="O240" i="8"/>
  <c r="O246" i="8"/>
  <c r="O251" i="8"/>
  <c r="O256" i="8"/>
  <c r="O262" i="8"/>
  <c r="O267" i="8"/>
  <c r="O272" i="8"/>
  <c r="O278" i="8"/>
  <c r="N284" i="8"/>
  <c r="N289" i="8"/>
  <c r="N295" i="8"/>
  <c r="N300" i="8"/>
  <c r="N305" i="8"/>
  <c r="N311" i="8"/>
  <c r="N316" i="8"/>
  <c r="N321" i="8"/>
  <c r="N327" i="8"/>
  <c r="N332" i="8"/>
  <c r="N378" i="8"/>
  <c r="N383" i="8"/>
  <c r="N395" i="8"/>
  <c r="N400" i="8"/>
  <c r="N12" i="8"/>
  <c r="N28" i="8"/>
  <c r="N34" i="8"/>
  <c r="N38" i="8"/>
  <c r="O42" i="8"/>
  <c r="O60" i="8"/>
  <c r="N92" i="8"/>
  <c r="N20" i="8"/>
  <c r="N30" i="8"/>
  <c r="N32" i="8"/>
  <c r="N36" i="8"/>
  <c r="N40" i="8"/>
  <c r="N45" i="8"/>
  <c r="O50" i="8"/>
  <c r="N64" i="8"/>
  <c r="N88" i="8"/>
  <c r="O48" i="8"/>
  <c r="N54" i="8"/>
  <c r="O68" i="8"/>
  <c r="O78" i="8"/>
  <c r="O243" i="8"/>
  <c r="O248" i="8"/>
  <c r="O254" i="8"/>
  <c r="O259" i="8"/>
  <c r="O264" i="8"/>
  <c r="O270" i="8"/>
  <c r="O275" i="8"/>
  <c r="O280" i="8"/>
  <c r="N287" i="8"/>
  <c r="N292" i="8"/>
  <c r="N297" i="8"/>
  <c r="N303" i="8"/>
  <c r="N308" i="8"/>
  <c r="N313" i="8"/>
  <c r="N319" i="8"/>
  <c r="N324" i="8"/>
  <c r="N329" i="8"/>
  <c r="O335" i="8"/>
  <c r="N375" i="8"/>
  <c r="N380" i="8"/>
  <c r="N386" i="8"/>
  <c r="N392" i="8"/>
  <c r="N397" i="8"/>
  <c r="N403" i="8"/>
  <c r="N405" i="8"/>
  <c r="N407" i="8"/>
  <c r="N409" i="8"/>
  <c r="N388" i="8"/>
  <c r="N390" i="8"/>
  <c r="N338" i="8"/>
  <c r="N344" i="8"/>
  <c r="N348" i="8"/>
  <c r="N352" i="8"/>
  <c r="N360" i="8"/>
  <c r="N366" i="8"/>
  <c r="N337" i="8"/>
  <c r="N339" i="8"/>
  <c r="N341" i="8"/>
  <c r="N343" i="8"/>
  <c r="N345" i="8"/>
  <c r="N347" i="8"/>
  <c r="N349" i="8"/>
  <c r="N351" i="8"/>
  <c r="N353" i="8"/>
  <c r="N355" i="8"/>
  <c r="N357" i="8"/>
  <c r="N359" i="8"/>
  <c r="N361" i="8"/>
  <c r="N363" i="8"/>
  <c r="N365" i="8"/>
  <c r="N367" i="8"/>
  <c r="N369" i="8"/>
  <c r="N371" i="8"/>
  <c r="N336" i="8"/>
  <c r="N340" i="8"/>
  <c r="N346" i="8"/>
  <c r="N354" i="8"/>
  <c r="N358" i="8"/>
  <c r="N368" i="8"/>
  <c r="N342" i="8"/>
  <c r="N350" i="8"/>
  <c r="N356" i="8"/>
  <c r="N362" i="8"/>
  <c r="N364" i="8"/>
  <c r="N370" i="8"/>
  <c r="N372" i="8"/>
  <c r="N334" i="8"/>
  <c r="N283" i="8"/>
  <c r="N103" i="8"/>
  <c r="N101" i="8"/>
  <c r="N109" i="8"/>
  <c r="N117" i="8"/>
  <c r="N125" i="8"/>
  <c r="N133" i="8"/>
  <c r="N141" i="8"/>
  <c r="N149" i="8"/>
  <c r="N157" i="8"/>
  <c r="N165" i="8"/>
  <c r="N95" i="8"/>
  <c r="N111" i="8"/>
  <c r="N119" i="8"/>
  <c r="N127" i="8"/>
  <c r="N135" i="8"/>
  <c r="N143" i="8"/>
  <c r="N151" i="8"/>
  <c r="N159" i="8"/>
  <c r="N167" i="8"/>
  <c r="O96" i="8"/>
  <c r="N97" i="8"/>
  <c r="O104" i="8"/>
  <c r="N105" i="8"/>
  <c r="O112" i="8"/>
  <c r="N113" i="8"/>
  <c r="O120" i="8"/>
  <c r="N121" i="8"/>
  <c r="O128" i="8"/>
  <c r="N129" i="8"/>
  <c r="O136" i="8"/>
  <c r="N137" i="8"/>
  <c r="O144" i="8"/>
  <c r="N145" i="8"/>
  <c r="O152" i="8"/>
  <c r="N153" i="8"/>
  <c r="O160" i="8"/>
  <c r="N161" i="8"/>
  <c r="O168" i="8"/>
  <c r="N169" i="8"/>
  <c r="O98" i="8"/>
  <c r="N99" i="8"/>
  <c r="O106" i="8"/>
  <c r="N107" i="8"/>
  <c r="O114" i="8"/>
  <c r="N115" i="8"/>
  <c r="O122" i="8"/>
  <c r="N123" i="8"/>
  <c r="O130" i="8"/>
  <c r="N131" i="8"/>
  <c r="O138" i="8"/>
  <c r="N139" i="8"/>
  <c r="O146" i="8"/>
  <c r="N147" i="8"/>
  <c r="O154" i="8"/>
  <c r="N155" i="8"/>
  <c r="O162" i="8"/>
  <c r="N163" i="8"/>
  <c r="O170" i="8"/>
  <c r="N171" i="8"/>
  <c r="N175" i="8"/>
  <c r="N177" i="8"/>
  <c r="N187" i="8"/>
  <c r="N193" i="8"/>
  <c r="N203" i="8"/>
  <c r="N209" i="8"/>
  <c r="N215" i="8"/>
  <c r="N221" i="8"/>
  <c r="N225" i="8"/>
  <c r="N231" i="8"/>
  <c r="O173" i="8"/>
  <c r="O179" i="8"/>
  <c r="O181" i="8"/>
  <c r="O183" i="8"/>
  <c r="O185" i="8"/>
  <c r="O189" i="8"/>
  <c r="O191" i="8"/>
  <c r="O195" i="8"/>
  <c r="O197" i="8"/>
  <c r="O199" i="8"/>
  <c r="O201" i="8"/>
  <c r="O205" i="8"/>
  <c r="O207" i="8"/>
  <c r="O211" i="8"/>
  <c r="O213" i="8"/>
  <c r="O217" i="8"/>
  <c r="O219" i="8"/>
  <c r="O223" i="8"/>
  <c r="O227" i="8"/>
  <c r="O229" i="8"/>
  <c r="O233" i="8"/>
  <c r="O235" i="8"/>
  <c r="O237" i="8"/>
  <c r="N96" i="8"/>
  <c r="N98" i="8"/>
  <c r="N100" i="8"/>
  <c r="N102" i="8"/>
  <c r="N104" i="8"/>
  <c r="N106" i="8"/>
  <c r="N108" i="8"/>
  <c r="N110" i="8"/>
  <c r="N112" i="8"/>
  <c r="N114" i="8"/>
  <c r="N116" i="8"/>
  <c r="N118" i="8"/>
  <c r="N120" i="8"/>
  <c r="N122" i="8"/>
  <c r="N124" i="8"/>
  <c r="N126" i="8"/>
  <c r="N128" i="8"/>
  <c r="N130" i="8"/>
  <c r="N132" i="8"/>
  <c r="N134" i="8"/>
  <c r="N136" i="8"/>
  <c r="N138" i="8"/>
  <c r="N140" i="8"/>
  <c r="N142" i="8"/>
  <c r="N144" i="8"/>
  <c r="N146" i="8"/>
  <c r="N148" i="8"/>
  <c r="N150" i="8"/>
  <c r="N152" i="8"/>
  <c r="N154" i="8"/>
  <c r="N156" i="8"/>
  <c r="N158" i="8"/>
  <c r="N160" i="8"/>
  <c r="N162" i="8"/>
  <c r="N164" i="8"/>
  <c r="N166" i="8"/>
  <c r="N168" i="8"/>
  <c r="N170" i="8"/>
  <c r="N172" i="8"/>
  <c r="N174" i="8"/>
  <c r="N176" i="8"/>
  <c r="N178" i="8"/>
  <c r="N180" i="8"/>
  <c r="N182" i="8"/>
  <c r="N184" i="8"/>
  <c r="N186" i="8"/>
  <c r="N188" i="8"/>
  <c r="N190" i="8"/>
  <c r="N192" i="8"/>
  <c r="N194" i="8"/>
  <c r="N196" i="8"/>
  <c r="N198" i="8"/>
  <c r="N200" i="8"/>
  <c r="N202" i="8"/>
  <c r="N204" i="8"/>
  <c r="N206" i="8"/>
  <c r="N208" i="8"/>
  <c r="N210" i="8"/>
  <c r="N212" i="8"/>
  <c r="N214" i="8"/>
  <c r="N216" i="8"/>
  <c r="N218" i="8"/>
  <c r="N220" i="8"/>
  <c r="N222" i="8"/>
  <c r="N224" i="8"/>
  <c r="N226" i="8"/>
  <c r="N228" i="8"/>
  <c r="N230" i="8"/>
  <c r="N232" i="8"/>
  <c r="N234" i="8"/>
  <c r="N236" i="8"/>
  <c r="N238" i="8"/>
  <c r="N55" i="8"/>
  <c r="N59" i="8"/>
  <c r="N63" i="8"/>
  <c r="N65" i="8"/>
  <c r="N69" i="8"/>
  <c r="N71" i="8"/>
  <c r="N75" i="8"/>
  <c r="N81" i="8"/>
  <c r="N83" i="8"/>
  <c r="N87" i="8"/>
  <c r="O53" i="8"/>
  <c r="O57" i="8"/>
  <c r="O61" i="8"/>
  <c r="O67" i="8"/>
  <c r="O73" i="8"/>
  <c r="O79" i="8"/>
  <c r="O85" i="8"/>
  <c r="O89" i="8"/>
  <c r="O91" i="8"/>
  <c r="O93" i="8"/>
  <c r="N3" i="8"/>
  <c r="N7" i="8"/>
  <c r="N9" i="8"/>
  <c r="N13" i="8"/>
  <c r="N17" i="8"/>
  <c r="N19" i="8"/>
  <c r="N21" i="8"/>
  <c r="N25" i="8"/>
  <c r="N27" i="8"/>
  <c r="O5" i="8"/>
  <c r="O11" i="8"/>
  <c r="O15" i="8"/>
  <c r="O23" i="8"/>
  <c r="C13" i="12" l="1"/>
  <c r="F47" i="10"/>
  <c r="F46" i="10"/>
  <c r="F45" i="10"/>
  <c r="F44" i="10"/>
  <c r="F43" i="10"/>
  <c r="F42" i="10"/>
  <c r="F41" i="10"/>
  <c r="F40" i="10"/>
  <c r="G40" i="10" s="1"/>
  <c r="C287" i="5" s="1"/>
  <c r="F39" i="10"/>
  <c r="G39" i="10" s="1"/>
  <c r="C160" i="5" s="1"/>
  <c r="F38" i="10"/>
  <c r="G38" i="10" s="1"/>
  <c r="C285" i="5" s="1"/>
  <c r="F37" i="10"/>
  <c r="G37" i="10" s="1"/>
  <c r="C284" i="5" s="1"/>
  <c r="F36" i="10"/>
  <c r="G36" i="10" s="1"/>
  <c r="C304" i="5" s="1"/>
  <c r="F35" i="10"/>
  <c r="G35" i="10" s="1"/>
  <c r="C114" i="5" s="1"/>
  <c r="F34" i="10"/>
  <c r="G34" i="10" s="1"/>
  <c r="C71" i="5" s="1"/>
  <c r="F33" i="10"/>
  <c r="G33" i="10" s="1"/>
  <c r="C238" i="5" s="1"/>
  <c r="F32" i="10"/>
  <c r="G32" i="10" s="1"/>
  <c r="C258" i="5" s="1"/>
  <c r="F31" i="10"/>
  <c r="G31" i="10" s="1"/>
  <c r="C5" i="5" s="1"/>
  <c r="F30" i="10"/>
  <c r="G30" i="10" s="1"/>
  <c r="C193" i="5" s="1"/>
  <c r="F29" i="10"/>
  <c r="G29" i="10" s="1"/>
  <c r="C213" i="5" s="1"/>
  <c r="F28" i="10"/>
  <c r="G28" i="10" s="1"/>
  <c r="C296" i="5" s="1"/>
  <c r="E296" i="5" s="1"/>
  <c r="M11" i="10"/>
  <c r="M10" i="10"/>
  <c r="M9" i="10"/>
  <c r="M8" i="10"/>
  <c r="M7" i="10"/>
  <c r="M6" i="10"/>
  <c r="P5" i="10"/>
  <c r="P6" i="10" s="1"/>
  <c r="P7" i="10" s="1"/>
  <c r="P8" i="10" s="1"/>
  <c r="P9" i="10" s="1"/>
  <c r="P10" i="10" s="1"/>
  <c r="P11" i="10" s="1"/>
  <c r="M5" i="10"/>
  <c r="M4" i="10"/>
  <c r="G4" i="10"/>
  <c r="G5" i="10" s="1"/>
  <c r="M3" i="10"/>
  <c r="K3" i="10"/>
  <c r="K4" i="10" s="1"/>
  <c r="K5" i="10" s="1"/>
  <c r="K6" i="10" s="1"/>
  <c r="K7" i="10" s="1"/>
  <c r="K8" i="10" s="1"/>
  <c r="K9" i="10" s="1"/>
  <c r="K10" i="10" s="1"/>
  <c r="K11" i="10" s="1"/>
  <c r="M2" i="10"/>
  <c r="R252" i="6"/>
  <c r="O252" i="6"/>
  <c r="L252" i="6"/>
  <c r="G252" i="6"/>
  <c r="E252" i="6"/>
  <c r="R231" i="6"/>
  <c r="O231" i="6"/>
  <c r="L231" i="6"/>
  <c r="G231" i="6"/>
  <c r="E231" i="6"/>
  <c r="R210" i="6"/>
  <c r="O210" i="6"/>
  <c r="L210" i="6"/>
  <c r="E210" i="6"/>
  <c r="R189" i="6"/>
  <c r="O189" i="6"/>
  <c r="L189" i="6"/>
  <c r="G189" i="6"/>
  <c r="E189" i="6"/>
  <c r="R168" i="6"/>
  <c r="O168" i="6"/>
  <c r="L168" i="6"/>
  <c r="G168" i="6"/>
  <c r="E168" i="6"/>
  <c r="R147" i="6"/>
  <c r="O147" i="6"/>
  <c r="L147" i="6"/>
  <c r="F147" i="6"/>
  <c r="G147" i="6" s="1"/>
  <c r="E147" i="6"/>
  <c r="F146" i="6"/>
  <c r="F145" i="6"/>
  <c r="F144" i="6"/>
  <c r="F143" i="6"/>
  <c r="F142" i="6"/>
  <c r="F141" i="6"/>
  <c r="F140" i="6"/>
  <c r="F139" i="6"/>
  <c r="F138" i="6"/>
  <c r="F137" i="6"/>
  <c r="F136" i="6"/>
  <c r="F135" i="6"/>
  <c r="F134" i="6"/>
  <c r="F133" i="6"/>
  <c r="F132" i="6"/>
  <c r="F131" i="6"/>
  <c r="F130" i="6"/>
  <c r="F129" i="6"/>
  <c r="F128" i="6"/>
  <c r="R126" i="6"/>
  <c r="O126" i="6"/>
  <c r="L126" i="6"/>
  <c r="G126" i="6"/>
  <c r="F126" i="6"/>
  <c r="F210" i="6" s="1"/>
  <c r="G210" i="6" s="1"/>
  <c r="E126" i="6"/>
  <c r="F125" i="6"/>
  <c r="F209" i="6" s="1"/>
  <c r="F124" i="6"/>
  <c r="F208" i="6" s="1"/>
  <c r="F123" i="6"/>
  <c r="F207" i="6" s="1"/>
  <c r="F122" i="6"/>
  <c r="F206" i="6" s="1"/>
  <c r="F121" i="6"/>
  <c r="F205" i="6" s="1"/>
  <c r="F120" i="6"/>
  <c r="F204" i="6" s="1"/>
  <c r="F119" i="6"/>
  <c r="F203" i="6" s="1"/>
  <c r="F118" i="6"/>
  <c r="F202" i="6" s="1"/>
  <c r="F117" i="6"/>
  <c r="F201" i="6" s="1"/>
  <c r="F116" i="6"/>
  <c r="F200" i="6" s="1"/>
  <c r="F115" i="6"/>
  <c r="F199" i="6" s="1"/>
  <c r="F114" i="6"/>
  <c r="F198" i="6" s="1"/>
  <c r="F113" i="6"/>
  <c r="F197" i="6" s="1"/>
  <c r="F112" i="6"/>
  <c r="F196" i="6" s="1"/>
  <c r="F111" i="6"/>
  <c r="F195" i="6" s="1"/>
  <c r="F110" i="6"/>
  <c r="F194" i="6" s="1"/>
  <c r="F109" i="6"/>
  <c r="F193" i="6" s="1"/>
  <c r="F108" i="6"/>
  <c r="F192" i="6" s="1"/>
  <c r="F107" i="6"/>
  <c r="F191" i="6" s="1"/>
  <c r="R105" i="6"/>
  <c r="O105" i="6"/>
  <c r="L105" i="6"/>
  <c r="F105" i="6"/>
  <c r="G105" i="6" s="1"/>
  <c r="E105" i="6"/>
  <c r="F104" i="6"/>
  <c r="F103" i="6"/>
  <c r="F102" i="6"/>
  <c r="F101" i="6"/>
  <c r="F100" i="6"/>
  <c r="F99" i="6"/>
  <c r="F98" i="6"/>
  <c r="F97" i="6"/>
  <c r="F96" i="6"/>
  <c r="F95" i="6"/>
  <c r="F94" i="6"/>
  <c r="F93" i="6"/>
  <c r="F92" i="6"/>
  <c r="F91" i="6"/>
  <c r="F90" i="6"/>
  <c r="F89" i="6"/>
  <c r="F88" i="6"/>
  <c r="F87" i="6"/>
  <c r="F86" i="6"/>
  <c r="R84" i="6"/>
  <c r="O84" i="6"/>
  <c r="L84" i="6"/>
  <c r="G84" i="6"/>
  <c r="E84" i="6"/>
  <c r="R63" i="6"/>
  <c r="O63" i="6"/>
  <c r="L63" i="6"/>
  <c r="G63" i="6"/>
  <c r="E63" i="6"/>
  <c r="R42" i="6"/>
  <c r="O42" i="6"/>
  <c r="L42" i="6"/>
  <c r="G42" i="6"/>
  <c r="E42" i="6"/>
  <c r="R21" i="6"/>
  <c r="O21" i="6"/>
  <c r="L21" i="6"/>
  <c r="G21" i="6"/>
  <c r="E21" i="6"/>
  <c r="K58" i="5"/>
  <c r="P58" i="5" s="1"/>
  <c r="K57" i="5"/>
  <c r="P57" i="5" s="1"/>
  <c r="J53" i="5"/>
  <c r="O53" i="5" s="1"/>
  <c r="I48" i="5"/>
  <c r="N48" i="5" s="1"/>
  <c r="H2" i="4"/>
  <c r="F2" i="4"/>
  <c r="D2" i="4"/>
  <c r="L81" i="3"/>
  <c r="M82" i="3" s="1"/>
  <c r="L80" i="3"/>
  <c r="L79" i="3"/>
  <c r="L78" i="3"/>
  <c r="L77" i="3"/>
  <c r="L76" i="3"/>
  <c r="L75" i="3"/>
  <c r="L74" i="3"/>
  <c r="L73" i="3"/>
  <c r="L72" i="3"/>
  <c r="L71" i="3"/>
  <c r="L70" i="3"/>
  <c r="I70" i="3"/>
  <c r="I71" i="3" s="1"/>
  <c r="I72" i="3" s="1"/>
  <c r="I73" i="3" s="1"/>
  <c r="I74" i="3" s="1"/>
  <c r="I75" i="3" s="1"/>
  <c r="I76" i="3" s="1"/>
  <c r="I77" i="3" s="1"/>
  <c r="I78" i="3" s="1"/>
  <c r="I79" i="3" s="1"/>
  <c r="I80" i="3" s="1"/>
  <c r="I81" i="3" s="1"/>
  <c r="I82" i="3" s="1"/>
  <c r="I83" i="3" s="1"/>
  <c r="I84" i="3" s="1"/>
  <c r="I85" i="3" s="1"/>
  <c r="I86" i="3" s="1"/>
  <c r="I87" i="3" s="1"/>
  <c r="I88" i="3" s="1"/>
  <c r="L69" i="3"/>
  <c r="D66" i="3"/>
  <c r="I65" i="3"/>
  <c r="I64" i="3" s="1"/>
  <c r="L59" i="3"/>
  <c r="M60" i="3" s="1"/>
  <c r="L58" i="3"/>
  <c r="L57" i="3"/>
  <c r="L56" i="3"/>
  <c r="L55" i="3"/>
  <c r="L54" i="3"/>
  <c r="L53" i="3"/>
  <c r="L52" i="3"/>
  <c r="L51" i="3"/>
  <c r="L50" i="3"/>
  <c r="L49" i="3"/>
  <c r="L48" i="3"/>
  <c r="C48" i="3"/>
  <c r="C49" i="3" s="1"/>
  <c r="C50" i="3" s="1"/>
  <c r="L47" i="3"/>
  <c r="D44" i="3"/>
  <c r="I43" i="3"/>
  <c r="D43" i="3" s="1"/>
  <c r="L37" i="3"/>
  <c r="M38" i="3" s="1"/>
  <c r="L36" i="3"/>
  <c r="L35" i="3"/>
  <c r="L34" i="3"/>
  <c r="L33" i="3"/>
  <c r="L32" i="3"/>
  <c r="L31" i="3"/>
  <c r="L30" i="3"/>
  <c r="L29" i="3"/>
  <c r="L28" i="3"/>
  <c r="L27" i="3"/>
  <c r="L26" i="3"/>
  <c r="C26" i="3"/>
  <c r="C27" i="3" s="1"/>
  <c r="L25" i="3"/>
  <c r="K22" i="3"/>
  <c r="D22" i="3"/>
  <c r="K21" i="3"/>
  <c r="I21" i="3"/>
  <c r="D21" i="3" s="1"/>
  <c r="K20" i="3"/>
  <c r="K19" i="3"/>
  <c r="K18" i="3"/>
  <c r="K17" i="3"/>
  <c r="K16" i="3"/>
  <c r="L15" i="3"/>
  <c r="M16" i="3" s="1"/>
  <c r="L16" i="3" s="1"/>
  <c r="M17" i="3" s="1"/>
  <c r="K15" i="3"/>
  <c r="L14" i="3"/>
  <c r="L13" i="3"/>
  <c r="L12" i="3"/>
  <c r="L11" i="3"/>
  <c r="L10" i="3"/>
  <c r="L9" i="3"/>
  <c r="L8" i="3"/>
  <c r="L7" i="3"/>
  <c r="L6" i="3"/>
  <c r="L5" i="3"/>
  <c r="L4" i="3"/>
  <c r="C4" i="3"/>
  <c r="C5" i="3" s="1"/>
  <c r="C6" i="3" s="1"/>
  <c r="C7" i="3" s="1"/>
  <c r="L3" i="3"/>
  <c r="K3" i="3"/>
  <c r="Y1" i="3"/>
  <c r="X1" i="3"/>
  <c r="W1" i="3"/>
  <c r="V1" i="3"/>
  <c r="U1" i="3"/>
  <c r="T1" i="3"/>
  <c r="S1" i="3"/>
  <c r="R1" i="3"/>
  <c r="Q1" i="3"/>
  <c r="P125" i="2"/>
  <c r="N125" i="2"/>
  <c r="J125" i="2"/>
  <c r="E125" i="2"/>
  <c r="Q125" i="2" s="1"/>
  <c r="P124" i="2"/>
  <c r="N124" i="2"/>
  <c r="J124" i="2"/>
  <c r="E124" i="2"/>
  <c r="Q124" i="2" s="1"/>
  <c r="P123" i="2"/>
  <c r="N123" i="2"/>
  <c r="J123" i="2"/>
  <c r="E123" i="2"/>
  <c r="Q123" i="2" s="1"/>
  <c r="P122" i="2"/>
  <c r="N122" i="2"/>
  <c r="J122" i="2"/>
  <c r="E122" i="2"/>
  <c r="Q122" i="2" s="1"/>
  <c r="P121" i="2"/>
  <c r="N121" i="2"/>
  <c r="J121" i="2"/>
  <c r="E121" i="2"/>
  <c r="Q121" i="2" s="1"/>
  <c r="P120" i="2"/>
  <c r="N120" i="2"/>
  <c r="J120" i="2"/>
  <c r="E120" i="2"/>
  <c r="Q120" i="2" s="1"/>
  <c r="P117" i="2"/>
  <c r="N117" i="2"/>
  <c r="J117" i="2"/>
  <c r="E117" i="2"/>
  <c r="Q117" i="2" s="1"/>
  <c r="P116" i="2"/>
  <c r="N116" i="2"/>
  <c r="J116" i="2"/>
  <c r="E116" i="2"/>
  <c r="Q116" i="2" s="1"/>
  <c r="P115" i="2"/>
  <c r="N115" i="2"/>
  <c r="J115" i="2"/>
  <c r="E115" i="2"/>
  <c r="Q115" i="2" s="1"/>
  <c r="P114" i="2"/>
  <c r="N114" i="2"/>
  <c r="J114" i="2"/>
  <c r="E114" i="2"/>
  <c r="Q114" i="2" s="1"/>
  <c r="P113" i="2"/>
  <c r="N113" i="2"/>
  <c r="J113" i="2"/>
  <c r="E113" i="2"/>
  <c r="Q113" i="2" s="1"/>
  <c r="P112" i="2"/>
  <c r="N112" i="2"/>
  <c r="J112" i="2"/>
  <c r="E112" i="2"/>
  <c r="Q112" i="2" s="1"/>
  <c r="C112" i="2"/>
  <c r="P109" i="2"/>
  <c r="N109" i="2"/>
  <c r="J109" i="2"/>
  <c r="E109" i="2"/>
  <c r="P108" i="2"/>
  <c r="N108" i="2"/>
  <c r="J108" i="2"/>
  <c r="E108" i="2"/>
  <c r="P107" i="2"/>
  <c r="N107" i="2"/>
  <c r="J107" i="2"/>
  <c r="E107" i="2"/>
  <c r="P106" i="2"/>
  <c r="N106" i="2"/>
  <c r="J106" i="2"/>
  <c r="E106" i="2"/>
  <c r="P105" i="2"/>
  <c r="N105" i="2"/>
  <c r="J105" i="2"/>
  <c r="E105" i="2"/>
  <c r="P104" i="2"/>
  <c r="N104" i="2"/>
  <c r="J104" i="2"/>
  <c r="E104" i="2"/>
  <c r="BF101" i="2"/>
  <c r="BB101" i="2" s="1"/>
  <c r="BE101" i="2"/>
  <c r="P101" i="2"/>
  <c r="J101" i="2"/>
  <c r="E101" i="2"/>
  <c r="Q101" i="2" s="1"/>
  <c r="BF100" i="2"/>
  <c r="BB100" i="2" s="1"/>
  <c r="BE100" i="2"/>
  <c r="BA100" i="2" s="1"/>
  <c r="P100" i="2"/>
  <c r="J100" i="2"/>
  <c r="E100" i="2"/>
  <c r="Q100" i="2" s="1"/>
  <c r="BF99" i="2"/>
  <c r="BE99" i="2"/>
  <c r="BA99" i="2" s="1"/>
  <c r="P99" i="2"/>
  <c r="J99" i="2"/>
  <c r="E99" i="2"/>
  <c r="Q99" i="2" s="1"/>
  <c r="BF98" i="2"/>
  <c r="BB98" i="2" s="1"/>
  <c r="BE98" i="2"/>
  <c r="P98" i="2"/>
  <c r="J98" i="2"/>
  <c r="E98" i="2"/>
  <c r="Q98" i="2" s="1"/>
  <c r="BF97" i="2"/>
  <c r="BE97" i="2"/>
  <c r="BA97" i="2" s="1"/>
  <c r="P97" i="2"/>
  <c r="J97" i="2"/>
  <c r="E97" i="2"/>
  <c r="Q97" i="2" s="1"/>
  <c r="BF96" i="2"/>
  <c r="BB96" i="2" s="1"/>
  <c r="BE96" i="2"/>
  <c r="P96" i="2"/>
  <c r="J96" i="2"/>
  <c r="E96" i="2"/>
  <c r="Q96" i="2" s="1"/>
  <c r="BF93" i="2"/>
  <c r="BB93" i="2" s="1"/>
  <c r="BE93" i="2"/>
  <c r="BA93" i="2" s="1"/>
  <c r="P93" i="2"/>
  <c r="J93" i="2"/>
  <c r="E93" i="2"/>
  <c r="Q93" i="2" s="1"/>
  <c r="BF92" i="2"/>
  <c r="BE92" i="2"/>
  <c r="BA92" i="2" s="1"/>
  <c r="P92" i="2"/>
  <c r="J92" i="2"/>
  <c r="E92" i="2"/>
  <c r="Q92" i="2" s="1"/>
  <c r="BF91" i="2"/>
  <c r="BB91" i="2" s="1"/>
  <c r="BE91" i="2"/>
  <c r="P91" i="2"/>
  <c r="J91" i="2"/>
  <c r="E91" i="2"/>
  <c r="Q91" i="2" s="1"/>
  <c r="BF90" i="2"/>
  <c r="BB90" i="2" s="1"/>
  <c r="BE90" i="2"/>
  <c r="P90" i="2"/>
  <c r="J90" i="2"/>
  <c r="E90" i="2"/>
  <c r="Q90" i="2" s="1"/>
  <c r="BF89" i="2"/>
  <c r="BB89" i="2" s="1"/>
  <c r="BE89" i="2"/>
  <c r="BA89" i="2" s="1"/>
  <c r="P89" i="2"/>
  <c r="J89" i="2"/>
  <c r="E89" i="2"/>
  <c r="Q89" i="2" s="1"/>
  <c r="BF88" i="2"/>
  <c r="BB88" i="2" s="1"/>
  <c r="BE88" i="2"/>
  <c r="P88" i="2"/>
  <c r="J88" i="2"/>
  <c r="E88" i="2"/>
  <c r="Q88" i="2" s="1"/>
  <c r="C88" i="2"/>
  <c r="BF85" i="2"/>
  <c r="BB85" i="2" s="1"/>
  <c r="BE85" i="2"/>
  <c r="P85" i="2"/>
  <c r="J85" i="2"/>
  <c r="G85" i="2"/>
  <c r="E85" i="2"/>
  <c r="BF84" i="2"/>
  <c r="BB84" i="2" s="1"/>
  <c r="BE84" i="2"/>
  <c r="BA84" i="2" s="1"/>
  <c r="P84" i="2"/>
  <c r="J84" i="2"/>
  <c r="E84" i="2"/>
  <c r="BF83" i="2"/>
  <c r="BB83" i="2" s="1"/>
  <c r="BE83" i="2"/>
  <c r="P83" i="2"/>
  <c r="J83" i="2"/>
  <c r="E83" i="2"/>
  <c r="BF82" i="2"/>
  <c r="BE82" i="2"/>
  <c r="BA82" i="2" s="1"/>
  <c r="P82" i="2"/>
  <c r="J82" i="2"/>
  <c r="E82" i="2"/>
  <c r="BF81" i="2"/>
  <c r="BE81" i="2"/>
  <c r="P81" i="2"/>
  <c r="J81" i="2"/>
  <c r="E81" i="2"/>
  <c r="S81" i="2" s="1"/>
  <c r="BF80" i="2"/>
  <c r="BB80" i="2" s="1"/>
  <c r="BE80" i="2"/>
  <c r="P80" i="2"/>
  <c r="J80" i="2"/>
  <c r="E80" i="2"/>
  <c r="BF77" i="2"/>
  <c r="BB77" i="2" s="1"/>
  <c r="BE77" i="2"/>
  <c r="BA77" i="2" s="1"/>
  <c r="P77" i="2"/>
  <c r="J77" i="2"/>
  <c r="E77" i="2"/>
  <c r="S77" i="2" s="1"/>
  <c r="BF76" i="2"/>
  <c r="BB76" i="2" s="1"/>
  <c r="BE76" i="2"/>
  <c r="P76" i="2"/>
  <c r="J76" i="2"/>
  <c r="E76" i="2"/>
  <c r="BF75" i="2"/>
  <c r="BB75" i="2" s="1"/>
  <c r="BE75" i="2"/>
  <c r="BA75" i="2" s="1"/>
  <c r="Q75" i="2"/>
  <c r="P75" i="2"/>
  <c r="J75" i="2"/>
  <c r="H75" i="2"/>
  <c r="E75" i="2"/>
  <c r="G75" i="2" s="1"/>
  <c r="BF74" i="2"/>
  <c r="BB74" i="2" s="1"/>
  <c r="BE74" i="2"/>
  <c r="BA74" i="2" s="1"/>
  <c r="Q74" i="2"/>
  <c r="P74" i="2"/>
  <c r="J74" i="2"/>
  <c r="H74" i="2"/>
  <c r="E74" i="2"/>
  <c r="G74" i="2" s="1"/>
  <c r="BF73" i="2"/>
  <c r="BB73" i="2" s="1"/>
  <c r="BE73" i="2"/>
  <c r="Q73" i="2"/>
  <c r="P73" i="2"/>
  <c r="J73" i="2"/>
  <c r="H73" i="2"/>
  <c r="E73" i="2"/>
  <c r="G73" i="2" s="1"/>
  <c r="BF72" i="2"/>
  <c r="BE72" i="2"/>
  <c r="BA72" i="2" s="1"/>
  <c r="Q72" i="2"/>
  <c r="P72" i="2"/>
  <c r="J72" i="2"/>
  <c r="H72" i="2"/>
  <c r="E72" i="2"/>
  <c r="G72" i="2" s="1"/>
  <c r="BF69" i="2"/>
  <c r="BB69" i="2" s="1"/>
  <c r="BE69" i="2"/>
  <c r="BA69" i="2" s="1"/>
  <c r="Q69" i="2"/>
  <c r="P69" i="2"/>
  <c r="J69" i="2"/>
  <c r="H69" i="2"/>
  <c r="E69" i="2"/>
  <c r="G69" i="2" s="1"/>
  <c r="BF68" i="2"/>
  <c r="BB68" i="2" s="1"/>
  <c r="BE68" i="2"/>
  <c r="Q68" i="2"/>
  <c r="P68" i="2"/>
  <c r="J68" i="2"/>
  <c r="H68" i="2"/>
  <c r="E68" i="2"/>
  <c r="G68" i="2" s="1"/>
  <c r="BF67" i="2"/>
  <c r="BE67" i="2"/>
  <c r="BA67" i="2" s="1"/>
  <c r="Q67" i="2"/>
  <c r="P67" i="2"/>
  <c r="J67" i="2"/>
  <c r="H67" i="2"/>
  <c r="E67" i="2"/>
  <c r="G67" i="2" s="1"/>
  <c r="BF66" i="2"/>
  <c r="BE66" i="2"/>
  <c r="BA66" i="2" s="1"/>
  <c r="Q66" i="2"/>
  <c r="P66" i="2"/>
  <c r="J66" i="2"/>
  <c r="H66" i="2"/>
  <c r="E66" i="2"/>
  <c r="G66" i="2" s="1"/>
  <c r="BF65" i="2"/>
  <c r="BB65" i="2" s="1"/>
  <c r="BE65" i="2"/>
  <c r="Q65" i="2"/>
  <c r="P65" i="2"/>
  <c r="J65" i="2"/>
  <c r="H65" i="2"/>
  <c r="E65" i="2"/>
  <c r="G65" i="2" s="1"/>
  <c r="BF64" i="2"/>
  <c r="BB64" i="2" s="1"/>
  <c r="BE64" i="2"/>
  <c r="BA64" i="2" s="1"/>
  <c r="Q64" i="2"/>
  <c r="P64" i="2"/>
  <c r="J64" i="2"/>
  <c r="H64" i="2"/>
  <c r="E64" i="2"/>
  <c r="G64" i="2" s="1"/>
  <c r="C64" i="2"/>
  <c r="BF61" i="2"/>
  <c r="BE61" i="2"/>
  <c r="P61" i="2"/>
  <c r="N61" i="2"/>
  <c r="J61" i="2"/>
  <c r="E61" i="2"/>
  <c r="S61" i="2" s="1"/>
  <c r="BF60" i="2"/>
  <c r="BB60" i="2" s="1"/>
  <c r="BE60" i="2"/>
  <c r="BA60" i="2" s="1"/>
  <c r="P60" i="2"/>
  <c r="N60" i="2"/>
  <c r="J60" i="2"/>
  <c r="E60" i="2"/>
  <c r="S60" i="2" s="1"/>
  <c r="BF59" i="2"/>
  <c r="BE59" i="2"/>
  <c r="BA59" i="2" s="1"/>
  <c r="P59" i="2"/>
  <c r="N59" i="2"/>
  <c r="J59" i="2"/>
  <c r="E59" i="2"/>
  <c r="BF58" i="2"/>
  <c r="BE58" i="2"/>
  <c r="BA58" i="2" s="1"/>
  <c r="P58" i="2"/>
  <c r="N58" i="2"/>
  <c r="J58" i="2"/>
  <c r="E58" i="2"/>
  <c r="BF57" i="2"/>
  <c r="BB57" i="2" s="1"/>
  <c r="BE57" i="2"/>
  <c r="BA57" i="2" s="1"/>
  <c r="P57" i="2"/>
  <c r="N57" i="2"/>
  <c r="J57" i="2"/>
  <c r="E57" i="2"/>
  <c r="S57" i="2" s="1"/>
  <c r="BF56" i="2"/>
  <c r="BB56" i="2" s="1"/>
  <c r="BE56" i="2"/>
  <c r="BA56" i="2" s="1"/>
  <c r="P56" i="2"/>
  <c r="N56" i="2"/>
  <c r="J56" i="2"/>
  <c r="E56" i="2"/>
  <c r="S56" i="2" s="1"/>
  <c r="BF53" i="2"/>
  <c r="BE53" i="2"/>
  <c r="P53" i="2"/>
  <c r="J53" i="2"/>
  <c r="E53" i="2"/>
  <c r="S53" i="2" s="1"/>
  <c r="BF52" i="2"/>
  <c r="BB52" i="2" s="1"/>
  <c r="BE52" i="2"/>
  <c r="BA52" i="2" s="1"/>
  <c r="P52" i="2"/>
  <c r="J52" i="2"/>
  <c r="E52" i="2"/>
  <c r="S52" i="2" s="1"/>
  <c r="BF51" i="2"/>
  <c r="BE51" i="2"/>
  <c r="BA51" i="2" s="1"/>
  <c r="P51" i="2"/>
  <c r="J51" i="2"/>
  <c r="E51" i="2"/>
  <c r="BF50" i="2"/>
  <c r="BB50" i="2" s="1"/>
  <c r="BE50" i="2"/>
  <c r="P50" i="2"/>
  <c r="J50" i="2"/>
  <c r="E50" i="2"/>
  <c r="BF49" i="2"/>
  <c r="BB49" i="2" s="1"/>
  <c r="BE49" i="2"/>
  <c r="P49" i="2"/>
  <c r="J49" i="2"/>
  <c r="E49" i="2"/>
  <c r="S49" i="2" s="1"/>
  <c r="BF48" i="2"/>
  <c r="BE48" i="2"/>
  <c r="BA48" i="2" s="1"/>
  <c r="P48" i="2"/>
  <c r="J48" i="2"/>
  <c r="E48" i="2"/>
  <c r="S48" i="2" s="1"/>
  <c r="C48" i="2"/>
  <c r="C120" i="2" s="1"/>
  <c r="BF45" i="2"/>
  <c r="BB45" i="2" s="1"/>
  <c r="BE45" i="2"/>
  <c r="BA45" i="2" s="1"/>
  <c r="P45" i="2"/>
  <c r="N45" i="2"/>
  <c r="J45" i="2"/>
  <c r="E45" i="2"/>
  <c r="G45" i="2" s="1"/>
  <c r="BF44" i="2"/>
  <c r="BB44" i="2" s="1"/>
  <c r="BE44" i="2"/>
  <c r="BA44" i="2" s="1"/>
  <c r="P44" i="2"/>
  <c r="N44" i="2"/>
  <c r="J44" i="2"/>
  <c r="E44" i="2"/>
  <c r="G44" i="2" s="1"/>
  <c r="BF43" i="2"/>
  <c r="BE43" i="2"/>
  <c r="BA43" i="2" s="1"/>
  <c r="P43" i="2"/>
  <c r="N43" i="2"/>
  <c r="J43" i="2"/>
  <c r="E43" i="2"/>
  <c r="G43" i="2" s="1"/>
  <c r="BF42" i="2"/>
  <c r="BE42" i="2"/>
  <c r="BA42" i="2" s="1"/>
  <c r="P42" i="2"/>
  <c r="N42" i="2"/>
  <c r="J42" i="2"/>
  <c r="E42" i="2"/>
  <c r="BF41" i="2"/>
  <c r="BB41" i="2" s="1"/>
  <c r="BE41" i="2"/>
  <c r="BA41" i="2" s="1"/>
  <c r="P41" i="2"/>
  <c r="N41" i="2"/>
  <c r="J41" i="2"/>
  <c r="E41" i="2"/>
  <c r="BF40" i="2"/>
  <c r="BE40" i="2"/>
  <c r="BA40" i="2" s="1"/>
  <c r="P40" i="2"/>
  <c r="N40" i="2"/>
  <c r="J40" i="2"/>
  <c r="E40" i="2"/>
  <c r="BF37" i="2"/>
  <c r="BE37" i="2"/>
  <c r="P37" i="2"/>
  <c r="N37" i="2"/>
  <c r="J37" i="2"/>
  <c r="E37" i="2"/>
  <c r="BF36" i="2"/>
  <c r="BE36" i="2"/>
  <c r="BA36" i="2" s="1"/>
  <c r="P36" i="2"/>
  <c r="N36" i="2"/>
  <c r="J36" i="2"/>
  <c r="E36" i="2"/>
  <c r="BF35" i="2"/>
  <c r="BB35" i="2" s="1"/>
  <c r="BE35" i="2"/>
  <c r="BA35" i="2" s="1"/>
  <c r="P35" i="2"/>
  <c r="N35" i="2"/>
  <c r="J35" i="2"/>
  <c r="E35" i="2"/>
  <c r="BF34" i="2"/>
  <c r="BB34" i="2" s="1"/>
  <c r="BE34" i="2"/>
  <c r="P34" i="2"/>
  <c r="N34" i="2"/>
  <c r="J34" i="2"/>
  <c r="E34" i="2"/>
  <c r="BF33" i="2"/>
  <c r="BB33" i="2" s="1"/>
  <c r="BE33" i="2"/>
  <c r="BA33" i="2" s="1"/>
  <c r="P33" i="2"/>
  <c r="N33" i="2"/>
  <c r="J33" i="2"/>
  <c r="E33" i="2"/>
  <c r="BF32" i="2"/>
  <c r="BE32" i="2"/>
  <c r="P32" i="2"/>
  <c r="N32" i="2"/>
  <c r="J32" i="2"/>
  <c r="E32" i="2"/>
  <c r="AC29" i="2"/>
  <c r="T29" i="2"/>
  <c r="P29" i="2"/>
  <c r="N29" i="2"/>
  <c r="J29" i="2"/>
  <c r="S117" i="2" s="1"/>
  <c r="G29" i="2"/>
  <c r="E29" i="2"/>
  <c r="T61" i="2" s="1"/>
  <c r="AD28" i="2"/>
  <c r="AC28" i="2"/>
  <c r="Y28" i="2"/>
  <c r="T28" i="2"/>
  <c r="R28" i="2"/>
  <c r="Q28" i="2"/>
  <c r="P28" i="2"/>
  <c r="N28" i="2"/>
  <c r="J28" i="2"/>
  <c r="S76" i="2" s="1"/>
  <c r="H28" i="2"/>
  <c r="G28" i="2"/>
  <c r="E28" i="2"/>
  <c r="Y27" i="2"/>
  <c r="R27" i="2"/>
  <c r="Q27" i="2"/>
  <c r="P27" i="2"/>
  <c r="N27" i="2"/>
  <c r="J27" i="2"/>
  <c r="Z27" i="2" s="1"/>
  <c r="H27" i="2"/>
  <c r="E27" i="2"/>
  <c r="R59" i="2" s="1"/>
  <c r="P26" i="2"/>
  <c r="N26" i="2"/>
  <c r="J26" i="2"/>
  <c r="E26" i="2"/>
  <c r="AG22" i="2" s="1"/>
  <c r="S25" i="2"/>
  <c r="P25" i="2"/>
  <c r="N25" i="2"/>
  <c r="J25" i="2"/>
  <c r="G25" i="2"/>
  <c r="E25" i="2"/>
  <c r="AD24" i="2"/>
  <c r="AC24" i="2"/>
  <c r="Y24" i="2"/>
  <c r="T24" i="2"/>
  <c r="R24" i="2"/>
  <c r="Q24" i="2"/>
  <c r="P24" i="2"/>
  <c r="N24" i="2"/>
  <c r="J24" i="2"/>
  <c r="S80" i="2" s="1"/>
  <c r="H24" i="2"/>
  <c r="G24" i="2"/>
  <c r="E24" i="2"/>
  <c r="AJ23" i="2"/>
  <c r="S23" i="2"/>
  <c r="R23" i="2"/>
  <c r="P23" i="2"/>
  <c r="N23" i="2"/>
  <c r="J23" i="2"/>
  <c r="T23" i="2" s="1"/>
  <c r="E23" i="2"/>
  <c r="AJ22" i="2"/>
  <c r="AC22" i="2"/>
  <c r="P22" i="2"/>
  <c r="N22" i="2"/>
  <c r="J22" i="2"/>
  <c r="S22" i="2" s="1"/>
  <c r="E22" i="2"/>
  <c r="B187" i="1"/>
  <c r="B178" i="1"/>
  <c r="B137" i="1"/>
  <c r="B136" i="1"/>
  <c r="B117" i="1"/>
  <c r="B80" i="1"/>
  <c r="B79" i="1"/>
  <c r="B75" i="1"/>
  <c r="B74" i="1"/>
  <c r="B73" i="1"/>
  <c r="B49" i="1"/>
  <c r="B48" i="1"/>
  <c r="B47" i="1"/>
  <c r="B46" i="1"/>
  <c r="B39" i="1"/>
  <c r="B26" i="1"/>
  <c r="B17" i="1"/>
  <c r="N10" i="10" l="1"/>
  <c r="N9" i="10" s="1"/>
  <c r="G6" i="10"/>
  <c r="N69" i="2"/>
  <c r="L69" i="2" s="1"/>
  <c r="V69" i="2" s="1"/>
  <c r="X69" i="2" s="1"/>
  <c r="N68" i="2"/>
  <c r="L68" i="2" s="1"/>
  <c r="U68" i="2" s="1"/>
  <c r="W68" i="2" s="1"/>
  <c r="N67" i="2"/>
  <c r="N66" i="2"/>
  <c r="L66" i="2" s="1"/>
  <c r="V66" i="2" s="1"/>
  <c r="X66" i="2" s="1"/>
  <c r="N65" i="2"/>
  <c r="L65" i="2" s="1"/>
  <c r="V65" i="2" s="1"/>
  <c r="X65" i="2" s="1"/>
  <c r="N64" i="2"/>
  <c r="L64" i="2" s="1"/>
  <c r="V64" i="2" s="1"/>
  <c r="X64" i="2" s="1"/>
  <c r="E21" i="3"/>
  <c r="F21" i="3" s="1"/>
  <c r="H21" i="3" s="1"/>
  <c r="E22" i="3"/>
  <c r="F22" i="3" s="1"/>
  <c r="H22" i="3" s="1"/>
  <c r="E43" i="3"/>
  <c r="F43" i="3" s="1"/>
  <c r="H43" i="3" s="1"/>
  <c r="E44" i="3"/>
  <c r="F44" i="3" s="1"/>
  <c r="H44" i="3" s="1"/>
  <c r="E66" i="3"/>
  <c r="F66" i="3" s="1"/>
  <c r="H66" i="3" s="1"/>
  <c r="C6" i="5"/>
  <c r="C90" i="5"/>
  <c r="C283" i="5"/>
  <c r="C14" i="12"/>
  <c r="C116" i="5"/>
  <c r="C13" i="5"/>
  <c r="C91" i="5"/>
  <c r="C221" i="5"/>
  <c r="C24" i="5"/>
  <c r="C154" i="5"/>
  <c r="C297" i="5"/>
  <c r="C3" i="5"/>
  <c r="C192" i="5"/>
  <c r="C301" i="5"/>
  <c r="C234" i="5"/>
  <c r="C171" i="5"/>
  <c r="C259" i="5"/>
  <c r="E259" i="5" s="1"/>
  <c r="C53" i="5"/>
  <c r="C66" i="5"/>
  <c r="C129" i="5"/>
  <c r="C196" i="5"/>
  <c r="C276" i="5"/>
  <c r="C11" i="5"/>
  <c r="C45" i="5"/>
  <c r="C74" i="5"/>
  <c r="C112" i="5"/>
  <c r="C150" i="5"/>
  <c r="C179" i="5"/>
  <c r="C217" i="5"/>
  <c r="C255" i="5"/>
  <c r="C32" i="5"/>
  <c r="C70" i="5"/>
  <c r="C95" i="5"/>
  <c r="C137" i="5"/>
  <c r="C175" i="5"/>
  <c r="C200" i="5"/>
  <c r="C242" i="5"/>
  <c r="C280" i="5"/>
  <c r="C305" i="5"/>
  <c r="C7" i="5"/>
  <c r="C28" i="5"/>
  <c r="C49" i="5"/>
  <c r="C87" i="5"/>
  <c r="C108" i="5"/>
  <c r="C133" i="5"/>
  <c r="C158" i="5"/>
  <c r="C181" i="5"/>
  <c r="C263" i="5"/>
  <c r="AE22" i="2"/>
  <c r="AF22" i="2" s="1"/>
  <c r="T22" i="2"/>
  <c r="AD22" i="2"/>
  <c r="Y22" i="2"/>
  <c r="AA22" i="2" s="1"/>
  <c r="Q22" i="2"/>
  <c r="AK22" i="2" s="1"/>
  <c r="H22" i="2"/>
  <c r="AC23" i="2"/>
  <c r="G23" i="2"/>
  <c r="Y23" i="2"/>
  <c r="AA23" i="2" s="1"/>
  <c r="G22" i="2"/>
  <c r="F22" i="2" s="1"/>
  <c r="R22" i="2"/>
  <c r="H23" i="2"/>
  <c r="Q23" i="2"/>
  <c r="AK23" i="2" s="1"/>
  <c r="Z23" i="2"/>
  <c r="AA28" i="2"/>
  <c r="G32" i="2"/>
  <c r="Q32" i="2"/>
  <c r="H32" i="2"/>
  <c r="F32" i="2" s="1"/>
  <c r="S32" i="2"/>
  <c r="G36" i="2"/>
  <c r="Q36" i="2"/>
  <c r="H36" i="2"/>
  <c r="S36" i="2"/>
  <c r="G42" i="2"/>
  <c r="S42" i="2"/>
  <c r="Q42" i="2"/>
  <c r="H42" i="2"/>
  <c r="AE24" i="2"/>
  <c r="AF24" i="2" s="1"/>
  <c r="R121" i="2"/>
  <c r="R113" i="2"/>
  <c r="R105" i="2"/>
  <c r="T97" i="2"/>
  <c r="T89" i="2"/>
  <c r="T121" i="2"/>
  <c r="T113" i="2"/>
  <c r="T105" i="2"/>
  <c r="R97" i="2"/>
  <c r="R81" i="2"/>
  <c r="R73" i="2"/>
  <c r="R65" i="2"/>
  <c r="T41" i="2"/>
  <c r="T33" i="2"/>
  <c r="AD25" i="2"/>
  <c r="Y25" i="2"/>
  <c r="Q25" i="2"/>
  <c r="H25" i="2"/>
  <c r="F25" i="2" s="1"/>
  <c r="R57" i="2"/>
  <c r="R49" i="2"/>
  <c r="T81" i="2"/>
  <c r="T73" i="2"/>
  <c r="T65" i="2"/>
  <c r="R41" i="2"/>
  <c r="R33" i="2"/>
  <c r="R89" i="2"/>
  <c r="T57" i="2"/>
  <c r="T49" i="2"/>
  <c r="AJ25" i="2"/>
  <c r="Z25" i="2"/>
  <c r="R25" i="2"/>
  <c r="AC25" i="2"/>
  <c r="AE25" i="2" s="1"/>
  <c r="AF25" i="2" s="1"/>
  <c r="R122" i="2"/>
  <c r="R114" i="2"/>
  <c r="R106" i="2"/>
  <c r="T98" i="2"/>
  <c r="T90" i="2"/>
  <c r="T122" i="2"/>
  <c r="T114" i="2"/>
  <c r="T106" i="2"/>
  <c r="R98" i="2"/>
  <c r="T82" i="2"/>
  <c r="R74" i="2"/>
  <c r="R66" i="2"/>
  <c r="T42" i="2"/>
  <c r="T34" i="2"/>
  <c r="AG26" i="2"/>
  <c r="AC26" i="2"/>
  <c r="G26" i="2"/>
  <c r="R90" i="2"/>
  <c r="R58" i="2"/>
  <c r="R50" i="2"/>
  <c r="R82" i="2"/>
  <c r="T74" i="2"/>
  <c r="T66" i="2"/>
  <c r="R42" i="2"/>
  <c r="R34" i="2"/>
  <c r="AG28" i="2"/>
  <c r="AJ26" i="2"/>
  <c r="T58" i="2"/>
  <c r="T50" i="2"/>
  <c r="AG27" i="2"/>
  <c r="AD26" i="2"/>
  <c r="Y26" i="2"/>
  <c r="AA26" i="2" s="1"/>
  <c r="Q26" i="2"/>
  <c r="H26" i="2"/>
  <c r="AG23" i="2"/>
  <c r="R26" i="2"/>
  <c r="AE28" i="2"/>
  <c r="AF28" i="2" s="1"/>
  <c r="G35" i="2"/>
  <c r="Q35" i="2"/>
  <c r="H35" i="2"/>
  <c r="S35" i="2"/>
  <c r="G41" i="2"/>
  <c r="Q41" i="2"/>
  <c r="H41" i="2"/>
  <c r="S41" i="2"/>
  <c r="S50" i="2"/>
  <c r="S58" i="2"/>
  <c r="S83" i="2"/>
  <c r="AD23" i="2"/>
  <c r="S122" i="2"/>
  <c r="S114" i="2"/>
  <c r="AJ28" i="2"/>
  <c r="AK28" i="2" s="1"/>
  <c r="T26" i="2"/>
  <c r="AJ24" i="2"/>
  <c r="AK24" i="2" s="1"/>
  <c r="S82" i="2"/>
  <c r="S26" i="2"/>
  <c r="S123" i="2"/>
  <c r="S115" i="2"/>
  <c r="AD27" i="2"/>
  <c r="T27" i="2"/>
  <c r="AJ27" i="2"/>
  <c r="AK27" i="2" s="1"/>
  <c r="G34" i="2"/>
  <c r="Q34" i="2"/>
  <c r="H34" i="2"/>
  <c r="S34" i="2"/>
  <c r="G40" i="2"/>
  <c r="Q40" i="2"/>
  <c r="H40" i="2"/>
  <c r="S40" i="2"/>
  <c r="Z22" i="2"/>
  <c r="AG24" i="2"/>
  <c r="T25" i="2"/>
  <c r="AG25" i="2"/>
  <c r="Z26" i="2"/>
  <c r="AA27" i="2"/>
  <c r="AG29" i="2"/>
  <c r="G33" i="2"/>
  <c r="Q33" i="2"/>
  <c r="H33" i="2"/>
  <c r="S33" i="2"/>
  <c r="G37" i="2"/>
  <c r="Q37" i="2"/>
  <c r="H37" i="2"/>
  <c r="S37" i="2"/>
  <c r="S51" i="2"/>
  <c r="S59" i="2"/>
  <c r="R120" i="2"/>
  <c r="R112" i="2"/>
  <c r="R104" i="2"/>
  <c r="T96" i="2"/>
  <c r="T88" i="2"/>
  <c r="T120" i="2"/>
  <c r="T112" i="2"/>
  <c r="T104" i="2"/>
  <c r="R96" i="2"/>
  <c r="S24" i="2"/>
  <c r="S121" i="2"/>
  <c r="S113" i="2"/>
  <c r="G27" i="2"/>
  <c r="F27" i="2" s="1"/>
  <c r="AC27" i="2"/>
  <c r="AE27" i="2" s="1"/>
  <c r="AF27" i="2" s="1"/>
  <c r="R124" i="2"/>
  <c r="R116" i="2"/>
  <c r="R84" i="2"/>
  <c r="R108" i="2"/>
  <c r="T100" i="2"/>
  <c r="T92" i="2"/>
  <c r="T124" i="2"/>
  <c r="T116" i="2"/>
  <c r="T108" i="2"/>
  <c r="R100" i="2"/>
  <c r="R92" i="2"/>
  <c r="S28" i="2"/>
  <c r="R29" i="2"/>
  <c r="Z29" i="2"/>
  <c r="AJ29" i="2"/>
  <c r="H43" i="2"/>
  <c r="Q43" i="2"/>
  <c r="H44" i="2"/>
  <c r="F44" i="2" s="1"/>
  <c r="Q44" i="2"/>
  <c r="H45" i="2"/>
  <c r="Q45" i="2"/>
  <c r="G48" i="2"/>
  <c r="T48" i="2"/>
  <c r="G49" i="2"/>
  <c r="G50" i="2"/>
  <c r="G51" i="2"/>
  <c r="F51" i="2" s="1"/>
  <c r="T51" i="2"/>
  <c r="G52" i="2"/>
  <c r="T52" i="2"/>
  <c r="G53" i="2"/>
  <c r="T53" i="2"/>
  <c r="G56" i="2"/>
  <c r="T56" i="2"/>
  <c r="G57" i="2"/>
  <c r="F57" i="2" s="1"/>
  <c r="G58" i="2"/>
  <c r="G59" i="2"/>
  <c r="T59" i="2"/>
  <c r="G60" i="2"/>
  <c r="T60" i="2"/>
  <c r="G61" i="2"/>
  <c r="S64" i="2"/>
  <c r="S65" i="2"/>
  <c r="S66" i="2"/>
  <c r="S67" i="2"/>
  <c r="S68" i="2"/>
  <c r="S69" i="2"/>
  <c r="S72" i="2"/>
  <c r="S73" i="2"/>
  <c r="S74" i="2"/>
  <c r="S75" i="2"/>
  <c r="Q76" i="2"/>
  <c r="H76" i="2"/>
  <c r="Q80" i="2"/>
  <c r="H80" i="2"/>
  <c r="Q82" i="2"/>
  <c r="H82" i="2"/>
  <c r="Q84" i="2"/>
  <c r="H84" i="2"/>
  <c r="R125" i="2"/>
  <c r="R117" i="2"/>
  <c r="R85" i="2"/>
  <c r="R109" i="2"/>
  <c r="T101" i="2"/>
  <c r="T93" i="2"/>
  <c r="T125" i="2"/>
  <c r="T117" i="2"/>
  <c r="T109" i="2"/>
  <c r="R101" i="2"/>
  <c r="R93" i="2"/>
  <c r="S29" i="2"/>
  <c r="R32" i="2"/>
  <c r="R35" i="2"/>
  <c r="R36" i="2"/>
  <c r="R37" i="2"/>
  <c r="R40" i="2"/>
  <c r="R43" i="2"/>
  <c r="R44" i="2"/>
  <c r="R45" i="2"/>
  <c r="H48" i="2"/>
  <c r="Q48" i="2"/>
  <c r="H49" i="2"/>
  <c r="Q49" i="2"/>
  <c r="H50" i="2"/>
  <c r="Q50" i="2"/>
  <c r="H51" i="2"/>
  <c r="Q51" i="2"/>
  <c r="H52" i="2"/>
  <c r="Q52" i="2"/>
  <c r="H53" i="2"/>
  <c r="Q53" i="2"/>
  <c r="H56" i="2"/>
  <c r="Q56" i="2"/>
  <c r="H57" i="2"/>
  <c r="Q57" i="2"/>
  <c r="H58" i="2"/>
  <c r="Q58" i="2"/>
  <c r="H59" i="2"/>
  <c r="Q59" i="2"/>
  <c r="H60" i="2"/>
  <c r="Q60" i="2"/>
  <c r="H61" i="2"/>
  <c r="Q61" i="2"/>
  <c r="T64" i="2"/>
  <c r="T67" i="2"/>
  <c r="T68" i="2"/>
  <c r="T69" i="2"/>
  <c r="T72" i="2"/>
  <c r="T75" i="2"/>
  <c r="G76" i="2"/>
  <c r="R76" i="2"/>
  <c r="T77" i="2"/>
  <c r="G80" i="2"/>
  <c r="R80" i="2"/>
  <c r="G82" i="2"/>
  <c r="T83" i="2"/>
  <c r="G84" i="2"/>
  <c r="S84" i="2"/>
  <c r="Q85" i="2"/>
  <c r="H85" i="2"/>
  <c r="F85" i="2" s="1"/>
  <c r="S43" i="2"/>
  <c r="S44" i="2"/>
  <c r="S45" i="2"/>
  <c r="R48" i="2"/>
  <c r="R51" i="2"/>
  <c r="R52" i="2"/>
  <c r="R53" i="2"/>
  <c r="R56" i="2"/>
  <c r="R60" i="2"/>
  <c r="R61" i="2"/>
  <c r="F74" i="2"/>
  <c r="Q77" i="2"/>
  <c r="H77" i="2"/>
  <c r="Q81" i="2"/>
  <c r="H81" i="2"/>
  <c r="Q83" i="2"/>
  <c r="H83" i="2"/>
  <c r="T84" i="2"/>
  <c r="S85" i="2"/>
  <c r="R88" i="2"/>
  <c r="S104" i="2"/>
  <c r="S105" i="2"/>
  <c r="S106" i="2"/>
  <c r="S107" i="2"/>
  <c r="S108" i="2"/>
  <c r="S109" i="2"/>
  <c r="S120" i="2"/>
  <c r="S112" i="2"/>
  <c r="Z24" i="2"/>
  <c r="AA24" i="2" s="1"/>
  <c r="R123" i="2"/>
  <c r="R115" i="2"/>
  <c r="R107" i="2"/>
  <c r="T99" i="2"/>
  <c r="T91" i="2"/>
  <c r="T123" i="2"/>
  <c r="T115" i="2"/>
  <c r="T107" i="2"/>
  <c r="R99" i="2"/>
  <c r="R91" i="2"/>
  <c r="S27" i="2"/>
  <c r="S124" i="2"/>
  <c r="S116" i="2"/>
  <c r="Z28" i="2"/>
  <c r="H29" i="2"/>
  <c r="F29" i="2" s="1"/>
  <c r="Q29" i="2"/>
  <c r="Y29" i="2"/>
  <c r="AA29" i="2" s="1"/>
  <c r="AD29" i="2"/>
  <c r="AE29" i="2" s="1"/>
  <c r="AF29" i="2" s="1"/>
  <c r="T32" i="2"/>
  <c r="T35" i="2"/>
  <c r="T36" i="2"/>
  <c r="T37" i="2"/>
  <c r="T40" i="2"/>
  <c r="T43" i="2"/>
  <c r="T44" i="2"/>
  <c r="T45" i="2"/>
  <c r="R64" i="2"/>
  <c r="R67" i="2"/>
  <c r="R68" i="2"/>
  <c r="R69" i="2"/>
  <c r="R72" i="2"/>
  <c r="R75" i="2"/>
  <c r="T76" i="2"/>
  <c r="G77" i="2"/>
  <c r="R77" i="2"/>
  <c r="T80" i="2"/>
  <c r="G81" i="2"/>
  <c r="G83" i="2"/>
  <c r="R83" i="2"/>
  <c r="T85" i="2"/>
  <c r="S125" i="2"/>
  <c r="S88" i="2"/>
  <c r="S89" i="2"/>
  <c r="S90" i="2"/>
  <c r="S91" i="2"/>
  <c r="S92" i="2"/>
  <c r="S93" i="2"/>
  <c r="S96" i="2"/>
  <c r="S97" i="2"/>
  <c r="S98" i="2"/>
  <c r="S99" i="2"/>
  <c r="S100" i="2"/>
  <c r="S101" i="2"/>
  <c r="Q104" i="2"/>
  <c r="Q105" i="2"/>
  <c r="Q106" i="2"/>
  <c r="Q107" i="2"/>
  <c r="Q108" i="2"/>
  <c r="Q109" i="2"/>
  <c r="G88" i="2"/>
  <c r="G89" i="2"/>
  <c r="G90" i="2"/>
  <c r="G91" i="2"/>
  <c r="G92" i="2"/>
  <c r="G93" i="2"/>
  <c r="G96" i="2"/>
  <c r="G97" i="2"/>
  <c r="G98" i="2"/>
  <c r="G99" i="2"/>
  <c r="G100" i="2"/>
  <c r="G101" i="2"/>
  <c r="H88" i="2"/>
  <c r="H89" i="2"/>
  <c r="H90" i="2"/>
  <c r="H91" i="2"/>
  <c r="H92" i="2"/>
  <c r="H93" i="2"/>
  <c r="H96" i="2"/>
  <c r="H97" i="2"/>
  <c r="H98" i="2"/>
  <c r="H99" i="2"/>
  <c r="H100" i="2"/>
  <c r="H101" i="2"/>
  <c r="N8" i="10"/>
  <c r="AV51" i="2" s="1"/>
  <c r="AV44" i="2"/>
  <c r="AV45" i="2"/>
  <c r="AV41" i="2"/>
  <c r="AV43" i="2"/>
  <c r="B118" i="1"/>
  <c r="BD61" i="2"/>
  <c r="F24" i="2"/>
  <c r="F28" i="2"/>
  <c r="C72" i="5"/>
  <c r="E72" i="5" s="1"/>
  <c r="C139" i="5"/>
  <c r="C30" i="5"/>
  <c r="C55" i="5"/>
  <c r="C89" i="5"/>
  <c r="E90" i="5" s="1"/>
  <c r="F90" i="5" s="1"/>
  <c r="C97" i="5"/>
  <c r="C118" i="5"/>
  <c r="C135" i="5"/>
  <c r="C47" i="5"/>
  <c r="C134" i="5"/>
  <c r="C173" i="5"/>
  <c r="C130" i="5"/>
  <c r="E130" i="5" s="1"/>
  <c r="F130" i="5" s="1"/>
  <c r="C156" i="5"/>
  <c r="H21" i="6"/>
  <c r="G42" i="5" s="1"/>
  <c r="C67" i="5"/>
  <c r="C131" i="5"/>
  <c r="E131" i="5" s="1"/>
  <c r="I20" i="3"/>
  <c r="I19" i="3" s="1"/>
  <c r="D19" i="3" s="1"/>
  <c r="C2" i="5"/>
  <c r="E2" i="5" s="1"/>
  <c r="D2" i="5" s="1"/>
  <c r="C9" i="5"/>
  <c r="C26" i="5"/>
  <c r="C51" i="5"/>
  <c r="C68" i="5"/>
  <c r="C93" i="5"/>
  <c r="C110" i="5"/>
  <c r="C128" i="5"/>
  <c r="E128" i="5" s="1"/>
  <c r="C132" i="5"/>
  <c r="C136" i="5"/>
  <c r="C152" i="5"/>
  <c r="C170" i="5"/>
  <c r="C177" i="5"/>
  <c r="K4" i="3"/>
  <c r="C33" i="5"/>
  <c r="C199" i="5"/>
  <c r="C243" i="5"/>
  <c r="C275" i="5"/>
  <c r="E275" i="5" s="1"/>
  <c r="F275" i="5" s="1"/>
  <c r="C75" i="5"/>
  <c r="D65" i="3"/>
  <c r="C34" i="5"/>
  <c r="C76" i="5"/>
  <c r="C107" i="5"/>
  <c r="E107" i="5" s="1"/>
  <c r="F107" i="5" s="1"/>
  <c r="C153" i="5"/>
  <c r="E154" i="5" s="1"/>
  <c r="C237" i="5"/>
  <c r="E238" i="5" s="1"/>
  <c r="F238" i="5" s="1"/>
  <c r="I42" i="3"/>
  <c r="L38" i="3"/>
  <c r="M39" i="3" s="1"/>
  <c r="C51" i="3"/>
  <c r="K5" i="3"/>
  <c r="C28" i="3"/>
  <c r="K6" i="3" s="1"/>
  <c r="L17" i="3"/>
  <c r="M18" i="3" s="1"/>
  <c r="I63" i="3"/>
  <c r="D64" i="3"/>
  <c r="L82" i="3"/>
  <c r="M83" i="3" s="1"/>
  <c r="C8" i="3"/>
  <c r="C230" i="6"/>
  <c r="C251" i="6"/>
  <c r="C209" i="6"/>
  <c r="C167" i="6"/>
  <c r="C188" i="6"/>
  <c r="C125" i="6"/>
  <c r="C146" i="6"/>
  <c r="C62" i="6"/>
  <c r="C104" i="6"/>
  <c r="C83" i="6"/>
  <c r="J20" i="6"/>
  <c r="C20" i="6"/>
  <c r="C41" i="6"/>
  <c r="L60" i="3"/>
  <c r="M61" i="3" s="1"/>
  <c r="G41" i="10"/>
  <c r="G42" i="10"/>
  <c r="C310" i="5" s="1"/>
  <c r="BD32" i="2"/>
  <c r="BD72" i="2"/>
  <c r="BC76" i="2"/>
  <c r="BC83" i="2"/>
  <c r="BC88" i="2"/>
  <c r="BD98" i="2"/>
  <c r="AZ98" i="2" s="1"/>
  <c r="BC66" i="2"/>
  <c r="AY66" i="2" s="1"/>
  <c r="F72" i="2"/>
  <c r="F73" i="2"/>
  <c r="BD81" i="2"/>
  <c r="BC33" i="2"/>
  <c r="AY33" i="2" s="1"/>
  <c r="AV42" i="2"/>
  <c r="BD43" i="2"/>
  <c r="BD50" i="2"/>
  <c r="AZ50" i="2" s="1"/>
  <c r="BC61" i="2"/>
  <c r="BD64" i="2"/>
  <c r="AZ64" i="2" s="1"/>
  <c r="BC67" i="2"/>
  <c r="AY67" i="2" s="1"/>
  <c r="BC68" i="2"/>
  <c r="F69" i="2"/>
  <c r="BA88" i="2"/>
  <c r="BD90" i="2"/>
  <c r="AZ90" i="2" s="1"/>
  <c r="C48" i="5"/>
  <c r="C52" i="5"/>
  <c r="C56" i="5"/>
  <c r="C86" i="5"/>
  <c r="E86" i="5" s="1"/>
  <c r="F86" i="5" s="1"/>
  <c r="C119" i="5"/>
  <c r="C149" i="5"/>
  <c r="E149" i="5" s="1"/>
  <c r="F149" i="5" s="1"/>
  <c r="C182" i="5"/>
  <c r="E182" i="5" s="1"/>
  <c r="C216" i="5"/>
  <c r="C224" i="5"/>
  <c r="C245" i="5"/>
  <c r="C254" i="5"/>
  <c r="E254" i="5" s="1"/>
  <c r="F254" i="5" s="1"/>
  <c r="C262" i="5"/>
  <c r="C300" i="5"/>
  <c r="C308" i="5"/>
  <c r="C14" i="5"/>
  <c r="C23" i="5"/>
  <c r="C27" i="5"/>
  <c r="C31" i="5"/>
  <c r="C35" i="5"/>
  <c r="C44" i="5"/>
  <c r="E44" i="5" s="1"/>
  <c r="C65" i="5"/>
  <c r="E65" i="5" s="1"/>
  <c r="F65" i="5" s="1"/>
  <c r="C69" i="5"/>
  <c r="C73" i="5"/>
  <c r="E74" i="5" s="1"/>
  <c r="C77" i="5"/>
  <c r="C98" i="5"/>
  <c r="C115" i="5"/>
  <c r="E115" i="5" s="1"/>
  <c r="C161" i="5"/>
  <c r="E161" i="5" s="1"/>
  <c r="C178" i="5"/>
  <c r="C191" i="5"/>
  <c r="E191" i="5" s="1"/>
  <c r="D191" i="5" s="1"/>
  <c r="C195" i="5"/>
  <c r="C203" i="5"/>
  <c r="C233" i="5"/>
  <c r="E233" i="5" s="1"/>
  <c r="F233" i="5" s="1"/>
  <c r="C241" i="5"/>
  <c r="C279" i="5"/>
  <c r="BA61" i="2"/>
  <c r="AV40" i="2"/>
  <c r="BC42" i="2"/>
  <c r="AY42" i="2" s="1"/>
  <c r="BD48" i="2"/>
  <c r="F68" i="2"/>
  <c r="BA83" i="2"/>
  <c r="BD85" i="2"/>
  <c r="AZ85" i="2" s="1"/>
  <c r="C10" i="5"/>
  <c r="C94" i="5"/>
  <c r="C111" i="5"/>
  <c r="C140" i="5"/>
  <c r="C157" i="5"/>
  <c r="C174" i="5"/>
  <c r="E175" i="5" s="1"/>
  <c r="D175" i="5" s="1"/>
  <c r="C212" i="5"/>
  <c r="E212" i="5" s="1"/>
  <c r="F212" i="5" s="1"/>
  <c r="C220" i="5"/>
  <c r="E221" i="5" s="1"/>
  <c r="C266" i="5"/>
  <c r="BC34" i="2"/>
  <c r="BC36" i="2"/>
  <c r="AY36" i="2" s="1"/>
  <c r="BC37" i="2"/>
  <c r="BC43" i="2"/>
  <c r="AY43" i="2" s="1"/>
  <c r="BD44" i="2"/>
  <c r="BB48" i="2"/>
  <c r="BC49" i="2"/>
  <c r="BC52" i="2"/>
  <c r="AY52" i="2" s="1"/>
  <c r="BC58" i="2"/>
  <c r="AY58" i="2" s="1"/>
  <c r="F67" i="2"/>
  <c r="F75" i="2"/>
  <c r="BD77" i="2"/>
  <c r="AZ77" i="2" s="1"/>
  <c r="BC81" i="2"/>
  <c r="BD93" i="2"/>
  <c r="AZ93" i="2" s="1"/>
  <c r="E193" i="5"/>
  <c r="D193" i="5" s="1"/>
  <c r="BB42" i="2"/>
  <c r="BC48" i="2"/>
  <c r="AY48" i="2" s="1"/>
  <c r="BC72" i="2"/>
  <c r="AY72" i="2" s="1"/>
  <c r="BA81" i="2"/>
  <c r="BA98" i="2"/>
  <c r="E6" i="5"/>
  <c r="F6" i="5" s="1"/>
  <c r="BD40" i="2"/>
  <c r="F43" i="2"/>
  <c r="BC53" i="2"/>
  <c r="BB61" i="2"/>
  <c r="BD65" i="2"/>
  <c r="AZ65" i="2" s="1"/>
  <c r="BC100" i="2"/>
  <c r="AY100" i="2" s="1"/>
  <c r="F101" i="2"/>
  <c r="BD82" i="2"/>
  <c r="BC82" i="2"/>
  <c r="AY82" i="2" s="1"/>
  <c r="BB82" i="2"/>
  <c r="BA32" i="2"/>
  <c r="BD34" i="2"/>
  <c r="AZ34" i="2" s="1"/>
  <c r="BA37" i="2"/>
  <c r="BB43" i="2"/>
  <c r="BC51" i="2"/>
  <c r="AY51" i="2" s="1"/>
  <c r="BD75" i="2"/>
  <c r="AZ75" i="2" s="1"/>
  <c r="BD80" i="2"/>
  <c r="AZ80" i="2" s="1"/>
  <c r="BA80" i="2"/>
  <c r="BA91" i="2"/>
  <c r="BC91" i="2"/>
  <c r="BA96" i="2"/>
  <c r="BC96" i="2"/>
  <c r="BC99" i="2"/>
  <c r="AY99" i="2" s="1"/>
  <c r="BD99" i="2"/>
  <c r="BB99" i="2"/>
  <c r="C298" i="5"/>
  <c r="E298" i="5" s="1"/>
  <c r="C235" i="5"/>
  <c r="E235" i="5" s="1"/>
  <c r="D235" i="5" s="1"/>
  <c r="C109" i="5"/>
  <c r="E109" i="5" s="1"/>
  <c r="D109" i="5" s="1"/>
  <c r="C256" i="5"/>
  <c r="E256" i="5" s="1"/>
  <c r="F256" i="5" s="1"/>
  <c r="C172" i="5"/>
  <c r="E172" i="5" s="1"/>
  <c r="C151" i="5"/>
  <c r="E151" i="5" s="1"/>
  <c r="D151" i="5" s="1"/>
  <c r="C88" i="5"/>
  <c r="C25" i="5"/>
  <c r="C4" i="5"/>
  <c r="E4" i="5" s="1"/>
  <c r="D4" i="5" s="1"/>
  <c r="C214" i="5"/>
  <c r="E214" i="5" s="1"/>
  <c r="D214" i="5" s="1"/>
  <c r="C46" i="5"/>
  <c r="E46" i="5" s="1"/>
  <c r="F46" i="5" s="1"/>
  <c r="C260" i="5"/>
  <c r="C218" i="5"/>
  <c r="C113" i="5"/>
  <c r="C8" i="5"/>
  <c r="C281" i="5"/>
  <c r="E281" i="5" s="1"/>
  <c r="D281" i="5" s="1"/>
  <c r="C239" i="5"/>
  <c r="E239" i="5" s="1"/>
  <c r="F239" i="5" s="1"/>
  <c r="C176" i="5"/>
  <c r="E176" i="5" s="1"/>
  <c r="F176" i="5" s="1"/>
  <c r="C155" i="5"/>
  <c r="C92" i="5"/>
  <c r="C50" i="5"/>
  <c r="C302" i="5"/>
  <c r="C197" i="5"/>
  <c r="C29" i="5"/>
  <c r="C306" i="5"/>
  <c r="E306" i="5" s="1"/>
  <c r="D306" i="5" s="1"/>
  <c r="C264" i="5"/>
  <c r="C201" i="5"/>
  <c r="E201" i="5" s="1"/>
  <c r="C54" i="5"/>
  <c r="C222" i="5"/>
  <c r="E222" i="5" s="1"/>
  <c r="D222" i="5" s="1"/>
  <c r="C180" i="5"/>
  <c r="C159" i="5"/>
  <c r="E160" i="5" s="1"/>
  <c r="C138" i="5"/>
  <c r="E138" i="5" s="1"/>
  <c r="F138" i="5" s="1"/>
  <c r="C96" i="5"/>
  <c r="C12" i="5"/>
  <c r="E12" i="5" s="1"/>
  <c r="D12" i="5" s="1"/>
  <c r="C117" i="5"/>
  <c r="E117" i="5" s="1"/>
  <c r="D117" i="5" s="1"/>
  <c r="BD92" i="2"/>
  <c r="BB92" i="2"/>
  <c r="BC32" i="2"/>
  <c r="BB36" i="2"/>
  <c r="BD37" i="2"/>
  <c r="BD42" i="2"/>
  <c r="BD53" i="2"/>
  <c r="BB32" i="2"/>
  <c r="BD33" i="2"/>
  <c r="AZ33" i="2" s="1"/>
  <c r="BA34" i="2"/>
  <c r="BD36" i="2"/>
  <c r="BB37" i="2"/>
  <c r="BB40" i="2"/>
  <c r="BD41" i="2"/>
  <c r="AZ41" i="2" s="1"/>
  <c r="BC44" i="2"/>
  <c r="AY44" i="2" s="1"/>
  <c r="F45" i="2"/>
  <c r="BD49" i="2"/>
  <c r="AZ49" i="2" s="1"/>
  <c r="BA50" i="2"/>
  <c r="BB51" i="2"/>
  <c r="BD52" i="2"/>
  <c r="AZ52" i="2" s="1"/>
  <c r="BA53" i="2"/>
  <c r="BD58" i="2"/>
  <c r="BB58" i="2"/>
  <c r="BA65" i="2"/>
  <c r="BB66" i="2"/>
  <c r="BD67" i="2"/>
  <c r="BB67" i="2"/>
  <c r="BA68" i="2"/>
  <c r="AY68" i="2" s="1"/>
  <c r="BD59" i="2"/>
  <c r="BB59" i="2"/>
  <c r="BD97" i="2"/>
  <c r="BB97" i="2"/>
  <c r="BD35" i="2"/>
  <c r="AZ35" i="2" s="1"/>
  <c r="BC40" i="2"/>
  <c r="AY40" i="2" s="1"/>
  <c r="BA49" i="2"/>
  <c r="BD51" i="2"/>
  <c r="BB53" i="2"/>
  <c r="BD56" i="2"/>
  <c r="AZ56" i="2" s="1"/>
  <c r="BC57" i="2"/>
  <c r="AY57" i="2" s="1"/>
  <c r="BD57" i="2"/>
  <c r="AZ57" i="2" s="1"/>
  <c r="BC59" i="2"/>
  <c r="AY59" i="2" s="1"/>
  <c r="F66" i="2"/>
  <c r="BD66" i="2"/>
  <c r="BC73" i="2"/>
  <c r="BA73" i="2"/>
  <c r="BC101" i="2"/>
  <c r="BA101" i="2"/>
  <c r="F64" i="2"/>
  <c r="BC64" i="2"/>
  <c r="AY64" i="2" s="1"/>
  <c r="F65" i="2"/>
  <c r="BD69" i="2"/>
  <c r="AZ69" i="2" s="1"/>
  <c r="BB72" i="2"/>
  <c r="BD74" i="2"/>
  <c r="AZ74" i="2" s="1"/>
  <c r="BA76" i="2"/>
  <c r="BD76" i="2"/>
  <c r="AZ76" i="2" s="1"/>
  <c r="BB81" i="2"/>
  <c r="AZ81" i="2" s="1"/>
  <c r="BD83" i="2"/>
  <c r="AZ83" i="2" s="1"/>
  <c r="BA85" i="2"/>
  <c r="BC85" i="2"/>
  <c r="BD88" i="2"/>
  <c r="AZ88" i="2" s="1"/>
  <c r="BA90" i="2"/>
  <c r="BC90" i="2"/>
  <c r="BC92" i="2"/>
  <c r="AY92" i="2" s="1"/>
  <c r="F93" i="2"/>
  <c r="F97" i="2"/>
  <c r="BC97" i="2"/>
  <c r="AY97" i="2" s="1"/>
  <c r="E284" i="5"/>
  <c r="F284" i="5" s="1"/>
  <c r="BD68" i="2"/>
  <c r="AZ68" i="2" s="1"/>
  <c r="BD73" i="2"/>
  <c r="AZ73" i="2" s="1"/>
  <c r="BC75" i="2"/>
  <c r="AY75" i="2" s="1"/>
  <c r="BC77" i="2"/>
  <c r="AY77" i="2" s="1"/>
  <c r="BD84" i="2"/>
  <c r="AZ84" i="2" s="1"/>
  <c r="BD89" i="2"/>
  <c r="AZ89" i="2" s="1"/>
  <c r="BD91" i="2"/>
  <c r="AZ91" i="2" s="1"/>
  <c r="BD96" i="2"/>
  <c r="AZ96" i="2" s="1"/>
  <c r="BD101" i="2"/>
  <c r="AZ101" i="2" s="1"/>
  <c r="BD100" i="2"/>
  <c r="AZ100" i="2" s="1"/>
  <c r="AZ44" i="2"/>
  <c r="BC35" i="2"/>
  <c r="AY35" i="2" s="1"/>
  <c r="BC41" i="2"/>
  <c r="AY41" i="2" s="1"/>
  <c r="BC45" i="2"/>
  <c r="AY45" i="2" s="1"/>
  <c r="BC50" i="2"/>
  <c r="BC56" i="2"/>
  <c r="AY56" i="2" s="1"/>
  <c r="BC60" i="2"/>
  <c r="AY60" i="2" s="1"/>
  <c r="BC65" i="2"/>
  <c r="BC69" i="2"/>
  <c r="AY69" i="2" s="1"/>
  <c r="C72" i="2"/>
  <c r="BC74" i="2"/>
  <c r="AY74" i="2" s="1"/>
  <c r="BC80" i="2"/>
  <c r="AY80" i="2" s="1"/>
  <c r="BC84" i="2"/>
  <c r="AY84" i="2" s="1"/>
  <c r="BC89" i="2"/>
  <c r="AY89" i="2" s="1"/>
  <c r="BC93" i="2"/>
  <c r="AY93" i="2" s="1"/>
  <c r="C96" i="2"/>
  <c r="BC98" i="2"/>
  <c r="BD45" i="2"/>
  <c r="AZ45" i="2" s="1"/>
  <c r="BD60" i="2"/>
  <c r="AZ60" i="2" s="1"/>
  <c r="E71" i="5"/>
  <c r="D71" i="5" s="1"/>
  <c r="D107" i="5"/>
  <c r="E7" i="5"/>
  <c r="K59" i="5"/>
  <c r="E91" i="5"/>
  <c r="Q48" i="5"/>
  <c r="R48" i="5"/>
  <c r="S48" i="5"/>
  <c r="U48" i="5"/>
  <c r="T48" i="5"/>
  <c r="I49" i="5"/>
  <c r="J54" i="5"/>
  <c r="E305" i="5"/>
  <c r="F296" i="5"/>
  <c r="D296" i="5"/>
  <c r="F306" i="5"/>
  <c r="E285" i="5"/>
  <c r="C277" i="5"/>
  <c r="C299" i="5"/>
  <c r="C278" i="5"/>
  <c r="C257" i="5"/>
  <c r="C236" i="5"/>
  <c r="C215" i="5"/>
  <c r="E215" i="5" s="1"/>
  <c r="C194" i="5"/>
  <c r="C303" i="5"/>
  <c r="C282" i="5"/>
  <c r="C261" i="5"/>
  <c r="C240" i="5"/>
  <c r="C219" i="5"/>
  <c r="C198" i="5"/>
  <c r="C307" i="5"/>
  <c r="C286" i="5"/>
  <c r="E286" i="5" s="1"/>
  <c r="C265" i="5"/>
  <c r="C244" i="5"/>
  <c r="C223" i="5"/>
  <c r="C202" i="5"/>
  <c r="E297" i="5"/>
  <c r="L120" i="2"/>
  <c r="U120" i="2" s="1"/>
  <c r="W120" i="2" s="1"/>
  <c r="L124" i="2"/>
  <c r="U124" i="2" s="1"/>
  <c r="W124" i="2" s="1"/>
  <c r="L125" i="2"/>
  <c r="L24" i="2"/>
  <c r="L23" i="2"/>
  <c r="AB23" i="2" s="1"/>
  <c r="L25" i="2"/>
  <c r="L27" i="2"/>
  <c r="L104" i="2"/>
  <c r="L37" i="2"/>
  <c r="V37" i="2" s="1"/>
  <c r="X37" i="2" s="1"/>
  <c r="L42" i="2"/>
  <c r="U42" i="2" s="1"/>
  <c r="W42" i="2" s="1"/>
  <c r="L57" i="2"/>
  <c r="U57" i="2" s="1"/>
  <c r="L117" i="2"/>
  <c r="V117" i="2" s="1"/>
  <c r="X117" i="2" s="1"/>
  <c r="L29" i="2"/>
  <c r="AB29" i="2" s="1"/>
  <c r="L43" i="2"/>
  <c r="U43" i="2" s="1"/>
  <c r="W43" i="2" s="1"/>
  <c r="L58" i="2"/>
  <c r="U58" i="2" s="1"/>
  <c r="W58" i="2" s="1"/>
  <c r="L112" i="2"/>
  <c r="L114" i="2"/>
  <c r="U114" i="2" s="1"/>
  <c r="W114" i="2" s="1"/>
  <c r="L32" i="2"/>
  <c r="L60" i="2"/>
  <c r="U60" i="2" s="1"/>
  <c r="W60" i="2" s="1"/>
  <c r="L107" i="2"/>
  <c r="V107" i="2" s="1"/>
  <c r="X107" i="2" s="1"/>
  <c r="L26" i="2"/>
  <c r="AB26" i="2" s="1"/>
  <c r="L36" i="2"/>
  <c r="V36" i="2" s="1"/>
  <c r="X36" i="2" s="1"/>
  <c r="L61" i="2"/>
  <c r="V61" i="2" s="1"/>
  <c r="X61" i="2" s="1"/>
  <c r="L123" i="2"/>
  <c r="V123" i="2" s="1"/>
  <c r="X123" i="2" s="1"/>
  <c r="L34" i="2"/>
  <c r="U34" i="2" s="1"/>
  <c r="W34" i="2" s="1"/>
  <c r="L40" i="2"/>
  <c r="L41" i="2"/>
  <c r="U41" i="2" s="1"/>
  <c r="L105" i="2"/>
  <c r="U105" i="2" s="1"/>
  <c r="L106" i="2"/>
  <c r="U106" i="2" s="1"/>
  <c r="L108" i="2"/>
  <c r="L113" i="2"/>
  <c r="L56" i="2"/>
  <c r="U56" i="2" s="1"/>
  <c r="L59" i="2"/>
  <c r="U59" i="2" s="1"/>
  <c r="L67" i="2"/>
  <c r="V67" i="2" s="1"/>
  <c r="X67" i="2" s="1"/>
  <c r="L109" i="2"/>
  <c r="L115" i="2"/>
  <c r="L116" i="2"/>
  <c r="V116" i="2" s="1"/>
  <c r="X116" i="2" s="1"/>
  <c r="L121" i="2"/>
  <c r="U121" i="2" s="1"/>
  <c r="L122" i="2"/>
  <c r="L44" i="2"/>
  <c r="V44" i="2" s="1"/>
  <c r="X44" i="2" s="1"/>
  <c r="L28" i="2"/>
  <c r="AB28" i="2" s="1"/>
  <c r="L22" i="2"/>
  <c r="AL22" i="2" s="1"/>
  <c r="L33" i="2"/>
  <c r="U33" i="2" s="1"/>
  <c r="L45" i="2"/>
  <c r="V45" i="2" s="1"/>
  <c r="X45" i="2" s="1"/>
  <c r="L35" i="2"/>
  <c r="V35" i="2" s="1"/>
  <c r="X35" i="2" s="1"/>
  <c r="R92" i="8"/>
  <c r="R347" i="8"/>
  <c r="R187" i="8"/>
  <c r="R216" i="8"/>
  <c r="Q24" i="8"/>
  <c r="R407" i="8"/>
  <c r="R399" i="8"/>
  <c r="R59" i="8"/>
  <c r="R295" i="8"/>
  <c r="R18" i="8"/>
  <c r="R58" i="8"/>
  <c r="R37" i="8"/>
  <c r="Q267" i="8"/>
  <c r="Q259" i="8"/>
  <c r="Q380" i="8"/>
  <c r="R105" i="8"/>
  <c r="R107" i="8"/>
  <c r="R282" i="8"/>
  <c r="R225" i="8"/>
  <c r="Q78" i="8"/>
  <c r="Q374" i="8"/>
  <c r="Q242" i="8"/>
  <c r="R121" i="8"/>
  <c r="R266" i="8"/>
  <c r="R218" i="8"/>
  <c r="Q217" i="8"/>
  <c r="Q211" i="8"/>
  <c r="Q400" i="8"/>
  <c r="R285" i="8"/>
  <c r="Q302" i="8"/>
  <c r="Q112" i="8"/>
  <c r="R86" i="8"/>
  <c r="R210" i="8"/>
  <c r="R7" i="8"/>
  <c r="R20" i="8"/>
  <c r="Q404" i="8"/>
  <c r="Q185" i="8"/>
  <c r="R178" i="8"/>
  <c r="Q56" i="8"/>
  <c r="Q62" i="8"/>
  <c r="R397" i="8"/>
  <c r="R166" i="8"/>
  <c r="R184" i="8"/>
  <c r="R63" i="8"/>
  <c r="R370" i="8"/>
  <c r="R362" i="8"/>
  <c r="R239" i="8"/>
  <c r="Q219" i="8"/>
  <c r="Q15" i="8"/>
  <c r="R32" i="8"/>
  <c r="Q382" i="8"/>
  <c r="Q195" i="8"/>
  <c r="R230" i="8"/>
  <c r="R346" i="8"/>
  <c r="R101" i="8"/>
  <c r="R123" i="8"/>
  <c r="R21" i="8"/>
  <c r="R320" i="8"/>
  <c r="R312" i="8"/>
  <c r="Q342" i="8"/>
  <c r="Q117" i="8"/>
  <c r="Q45" i="8"/>
  <c r="R14" i="8"/>
  <c r="R311" i="8"/>
  <c r="Q37" i="8"/>
  <c r="Q82" i="8"/>
  <c r="R49" i="8"/>
  <c r="R283" i="8"/>
  <c r="Q275" i="8"/>
  <c r="Q348" i="8"/>
  <c r="R177" i="8"/>
  <c r="R35" i="8"/>
  <c r="Q48" i="8"/>
  <c r="Q282" i="8"/>
  <c r="R143" i="8"/>
  <c r="R377" i="8"/>
  <c r="R326" i="8"/>
  <c r="R22" i="8"/>
  <c r="R321" i="8"/>
  <c r="Q76" i="8"/>
  <c r="R90" i="8"/>
  <c r="Q58" i="8"/>
  <c r="R293" i="8"/>
  <c r="R111" i="8"/>
  <c r="R182" i="8"/>
  <c r="Q307" i="8"/>
  <c r="Q229" i="8"/>
  <c r="R83" i="8"/>
  <c r="Q257" i="8"/>
  <c r="Q245" i="8"/>
  <c r="Q190" i="8"/>
  <c r="R329" i="8"/>
  <c r="R75" i="8"/>
  <c r="R241" i="8"/>
  <c r="R208" i="8"/>
  <c r="Q199" i="8"/>
  <c r="Q4" i="8"/>
  <c r="R386" i="8"/>
  <c r="R378" i="8"/>
  <c r="Q42" i="8"/>
  <c r="Q274" i="8"/>
  <c r="Q331" i="8"/>
  <c r="R135" i="8"/>
  <c r="R43" i="8"/>
  <c r="R331" i="8"/>
  <c r="R323" i="8"/>
  <c r="Q283" i="8"/>
  <c r="Q181" i="8"/>
  <c r="R39" i="8"/>
  <c r="Q52" i="8"/>
  <c r="R287" i="8"/>
  <c r="R150" i="8"/>
  <c r="R250" i="8"/>
  <c r="Q191" i="8"/>
  <c r="R47" i="8"/>
  <c r="Q61" i="8"/>
  <c r="R297" i="8"/>
  <c r="R163" i="8"/>
  <c r="R402" i="8"/>
  <c r="Q389" i="8"/>
  <c r="Q68" i="8"/>
  <c r="R376" i="8"/>
  <c r="R140" i="8"/>
  <c r="R161" i="8"/>
  <c r="R247" i="8"/>
  <c r="R350" i="8"/>
  <c r="R342" i="8"/>
  <c r="Q315" i="8"/>
  <c r="Q201" i="8"/>
  <c r="R56" i="8"/>
  <c r="R12" i="8"/>
  <c r="R308" i="8"/>
  <c r="R175" i="8"/>
  <c r="Q26" i="8"/>
  <c r="R327" i="8"/>
  <c r="R81" i="8"/>
  <c r="R95" i="8"/>
  <c r="R62" i="8"/>
  <c r="R299" i="8"/>
  <c r="R291" i="8"/>
  <c r="Q353" i="8"/>
  <c r="Q345" i="8"/>
  <c r="Q378" i="8"/>
  <c r="R256" i="8"/>
  <c r="R54" i="8"/>
  <c r="R289" i="8"/>
  <c r="R74" i="8"/>
  <c r="R3" i="8"/>
  <c r="R33" i="8"/>
  <c r="Q262" i="8"/>
  <c r="Q254" i="8"/>
  <c r="Q324" i="8"/>
  <c r="R151" i="8"/>
  <c r="Q376" i="8"/>
  <c r="R31" i="8"/>
  <c r="Q260" i="8"/>
  <c r="R117" i="8"/>
  <c r="R306" i="8"/>
  <c r="R294" i="8"/>
  <c r="R6" i="8"/>
  <c r="R300" i="8"/>
  <c r="Q31" i="8"/>
  <c r="R51" i="8"/>
  <c r="R41" i="8"/>
  <c r="Q272" i="8"/>
  <c r="R88" i="8"/>
  <c r="R100" i="8"/>
  <c r="R127" i="8"/>
  <c r="R212" i="8"/>
  <c r="R4" i="8"/>
  <c r="R401" i="8"/>
  <c r="R393" i="8"/>
  <c r="R227" i="8"/>
  <c r="Q83" i="8"/>
  <c r="Q354" i="8"/>
  <c r="R10" i="8"/>
  <c r="R392" i="8"/>
  <c r="R159" i="8"/>
  <c r="Q179" i="8"/>
  <c r="Q312" i="8"/>
  <c r="R365" i="8"/>
  <c r="R357" i="8"/>
  <c r="Q401" i="8"/>
  <c r="Q252" i="8"/>
  <c r="R234" i="8"/>
  <c r="Q309" i="8"/>
  <c r="Q285" i="8"/>
  <c r="R226" i="8"/>
  <c r="R220" i="8"/>
  <c r="Q20" i="8"/>
  <c r="Q8" i="8"/>
  <c r="R403" i="8"/>
  <c r="Q328" i="8"/>
  <c r="Q189" i="8"/>
  <c r="Q67" i="8"/>
  <c r="Q35" i="8"/>
  <c r="Q205" i="8"/>
  <c r="Q60" i="8"/>
  <c r="R16" i="8"/>
  <c r="R313" i="8"/>
  <c r="R180" i="8"/>
  <c r="Q173" i="8"/>
  <c r="Q22" i="8"/>
  <c r="R314" i="8"/>
  <c r="Q410" i="8"/>
  <c r="R172" i="8"/>
  <c r="R30" i="8"/>
  <c r="Q44" i="8"/>
  <c r="Q276" i="8"/>
  <c r="R137" i="8"/>
  <c r="R330" i="8"/>
  <c r="R318" i="8"/>
  <c r="R276" i="8"/>
  <c r="R356" i="8"/>
  <c r="R115" i="8"/>
  <c r="R221" i="8"/>
  <c r="Q66" i="8"/>
  <c r="Q241" i="8"/>
  <c r="R404" i="8"/>
  <c r="R29" i="8"/>
  <c r="Q258" i="8"/>
  <c r="R258" i="8"/>
  <c r="R26" i="8"/>
  <c r="Q317" i="8"/>
  <c r="R231" i="8"/>
  <c r="R72" i="8"/>
  <c r="R387" i="8"/>
  <c r="R153" i="8"/>
  <c r="R174" i="8"/>
  <c r="Q291" i="8"/>
  <c r="R360" i="8"/>
  <c r="R352" i="8"/>
  <c r="R128" i="8"/>
  <c r="Q175" i="8"/>
  <c r="Q405" i="8"/>
  <c r="Q383" i="8"/>
  <c r="R201" i="8"/>
  <c r="Q137" i="8"/>
  <c r="R388" i="8"/>
  <c r="R255" i="8"/>
  <c r="R351" i="8"/>
  <c r="R108" i="8"/>
  <c r="R129" i="8"/>
  <c r="R25" i="8"/>
  <c r="R325" i="8"/>
  <c r="R317" i="8"/>
  <c r="R164" i="8"/>
  <c r="R214" i="8"/>
  <c r="Q11" i="8"/>
  <c r="R24" i="8"/>
  <c r="R156" i="8"/>
  <c r="R190" i="8"/>
  <c r="Q183" i="8"/>
  <c r="Q80" i="8"/>
  <c r="Q299" i="8"/>
  <c r="R361" i="8"/>
  <c r="R119" i="8"/>
  <c r="R141" i="8"/>
  <c r="Q93" i="8"/>
  <c r="Q335" i="8"/>
  <c r="R165" i="8"/>
  <c r="Q408" i="8"/>
  <c r="R40" i="8"/>
  <c r="Q271" i="8"/>
  <c r="R131" i="8"/>
  <c r="R322" i="8"/>
  <c r="R310" i="8"/>
  <c r="R319" i="8"/>
  <c r="R368" i="8"/>
  <c r="Q161" i="8"/>
  <c r="R104" i="8"/>
  <c r="R118" i="8"/>
  <c r="R242" i="8"/>
  <c r="Q333" i="8"/>
  <c r="Q235" i="8"/>
  <c r="R87" i="8"/>
  <c r="Q265" i="8"/>
  <c r="Q253" i="8"/>
  <c r="Q18" i="8"/>
  <c r="R316" i="8"/>
  <c r="Q41" i="8"/>
  <c r="Q86" i="8"/>
  <c r="Q53" i="8"/>
  <c r="R288" i="8"/>
  <c r="Q280" i="8"/>
  <c r="Q337" i="8"/>
  <c r="R132" i="8"/>
  <c r="Q304" i="8"/>
  <c r="Q379" i="8"/>
  <c r="Q244" i="8"/>
  <c r="R97" i="8"/>
  <c r="R34" i="8"/>
  <c r="Q263" i="8"/>
  <c r="R279" i="8"/>
  <c r="R66" i="8"/>
  <c r="R337" i="8"/>
  <c r="R236" i="8"/>
  <c r="R228" i="8"/>
  <c r="Q88" i="8"/>
  <c r="R367" i="8"/>
  <c r="Q373" i="8"/>
  <c r="Q296" i="8"/>
  <c r="Q227" i="8"/>
  <c r="Q23" i="8"/>
  <c r="R142" i="8"/>
  <c r="Q16" i="8"/>
  <c r="R204" i="8"/>
  <c r="Q197" i="8"/>
  <c r="Q289" i="8"/>
  <c r="R80" i="8"/>
  <c r="R249" i="8"/>
  <c r="Q5" i="8"/>
  <c r="R203" i="8"/>
  <c r="R46" i="8"/>
  <c r="R391" i="8"/>
  <c r="R383" i="8"/>
  <c r="R343" i="8"/>
  <c r="Q237" i="8"/>
  <c r="Q79" i="8"/>
  <c r="R244" i="8"/>
  <c r="R134" i="8"/>
  <c r="Q213" i="8"/>
  <c r="Q320" i="8"/>
  <c r="R366" i="8"/>
  <c r="R126" i="8"/>
  <c r="R148" i="8"/>
  <c r="R149" i="8"/>
  <c r="R340" i="8"/>
  <c r="R333" i="8"/>
  <c r="Q149" i="8"/>
  <c r="R144" i="8"/>
  <c r="R76" i="8"/>
  <c r="R332" i="8"/>
  <c r="Q85" i="8"/>
  <c r="R102" i="8"/>
  <c r="R9" i="8"/>
  <c r="R304" i="8"/>
  <c r="R296" i="8"/>
  <c r="Q393" i="8"/>
  <c r="R196" i="8"/>
  <c r="Q51" i="8"/>
  <c r="R8" i="8"/>
  <c r="Q384" i="8"/>
  <c r="Q246" i="8"/>
  <c r="R238" i="8"/>
  <c r="R259" i="8"/>
  <c r="R84" i="8"/>
  <c r="Q293" i="8"/>
  <c r="R69" i="8"/>
  <c r="Q207" i="8"/>
  <c r="Q49" i="8"/>
  <c r="R263" i="8"/>
  <c r="Q223" i="8"/>
  <c r="R19" i="8"/>
  <c r="Q90" i="8"/>
  <c r="Q268" i="8"/>
  <c r="Q240" i="8"/>
  <c r="R274" i="8"/>
  <c r="Q273" i="8"/>
  <c r="R65" i="8"/>
  <c r="Q33" i="8"/>
  <c r="Q72" i="8"/>
  <c r="Q166" i="8"/>
  <c r="R371" i="8"/>
  <c r="R345" i="8"/>
  <c r="R28" i="8"/>
  <c r="R202" i="8"/>
  <c r="R147" i="8"/>
  <c r="R186" i="8"/>
  <c r="R157" i="8"/>
  <c r="R390" i="8"/>
  <c r="R286" i="8"/>
  <c r="R109" i="8"/>
  <c r="Q369" i="8"/>
  <c r="Q266" i="8"/>
  <c r="R70" i="8"/>
  <c r="Q248" i="8"/>
  <c r="Q247" i="8"/>
  <c r="R222" i="8"/>
  <c r="R55" i="8"/>
  <c r="Q94" i="8"/>
  <c r="Q2" i="8"/>
  <c r="Q278" i="8"/>
  <c r="R206" i="8"/>
  <c r="Q305" i="8"/>
  <c r="Q152" i="8"/>
  <c r="R275" i="8"/>
  <c r="Q301" i="8"/>
  <c r="Q233" i="8"/>
  <c r="R359" i="8"/>
  <c r="Q261" i="8"/>
  <c r="Q29" i="8"/>
  <c r="R408" i="8"/>
  <c r="R380" i="8"/>
  <c r="Q347" i="8"/>
  <c r="R133" i="8"/>
  <c r="R338" i="8"/>
  <c r="R192" i="8"/>
  <c r="Q311" i="8"/>
  <c r="R167" i="8"/>
  <c r="Q43" i="8"/>
  <c r="R394" i="8"/>
  <c r="Q147" i="8"/>
  <c r="Q255" i="8"/>
  <c r="R113" i="8"/>
  <c r="R13" i="8"/>
  <c r="R158" i="8"/>
  <c r="R124" i="8"/>
  <c r="Q39" i="8"/>
  <c r="Q303" i="8"/>
  <c r="R176" i="8"/>
  <c r="R215" i="8"/>
  <c r="R252" i="8"/>
  <c r="R398" i="8"/>
  <c r="R116" i="8"/>
  <c r="R139" i="8"/>
  <c r="Q396" i="8"/>
  <c r="R45" i="8"/>
  <c r="R290" i="8"/>
  <c r="R267" i="8"/>
  <c r="Q332" i="8"/>
  <c r="Q97" i="8"/>
  <c r="R173" i="8"/>
  <c r="Q366" i="8"/>
  <c r="Q143" i="8"/>
  <c r="R48" i="8"/>
  <c r="Q28" i="8"/>
  <c r="Q71" i="8"/>
  <c r="Q109" i="8"/>
  <c r="Q249" i="8"/>
  <c r="R400" i="8"/>
  <c r="Q177" i="8"/>
  <c r="R122" i="8"/>
  <c r="Q14" i="8"/>
  <c r="Q180" i="8"/>
  <c r="Q364" i="8"/>
  <c r="Q30" i="8"/>
  <c r="Q321" i="8"/>
  <c r="Q385" i="8"/>
  <c r="R245" i="8"/>
  <c r="Q167" i="8"/>
  <c r="R248" i="8"/>
  <c r="R324" i="8"/>
  <c r="R52" i="8"/>
  <c r="Q144" i="8"/>
  <c r="Q210" i="8"/>
  <c r="Q132" i="8"/>
  <c r="R334" i="8"/>
  <c r="Q192" i="8"/>
  <c r="Q188" i="8"/>
  <c r="R168" i="8"/>
  <c r="Q394" i="8"/>
  <c r="Q164" i="8"/>
  <c r="R181" i="8"/>
  <c r="Q390" i="8"/>
  <c r="Q313" i="8"/>
  <c r="Q126" i="8"/>
  <c r="Q153" i="8"/>
  <c r="Q243" i="8"/>
  <c r="Q286" i="8"/>
  <c r="Q96" i="8"/>
  <c r="R197" i="8"/>
  <c r="Q395" i="8"/>
  <c r="Q63" i="8"/>
  <c r="R146" i="8"/>
  <c r="Q386" i="8"/>
  <c r="R270" i="8"/>
  <c r="R5" i="8"/>
  <c r="Q121" i="8"/>
  <c r="Q17" i="8"/>
  <c r="Q308" i="8"/>
  <c r="R211" i="8"/>
  <c r="Q187" i="8"/>
  <c r="R112" i="8"/>
  <c r="Q319" i="8"/>
  <c r="Q224" i="8"/>
  <c r="R89" i="8"/>
  <c r="Q135" i="8"/>
  <c r="R307" i="8"/>
  <c r="Q310" i="8"/>
  <c r="Q120" i="8"/>
  <c r="R233" i="8"/>
  <c r="Q36" i="8"/>
  <c r="R73" i="8"/>
  <c r="Q65" i="8"/>
  <c r="Q363" i="8"/>
  <c r="Q360" i="8"/>
  <c r="R57" i="8"/>
  <c r="Q155" i="8"/>
  <c r="Q264" i="8"/>
  <c r="Q294" i="8"/>
  <c r="Q104" i="8"/>
  <c r="R207" i="8"/>
  <c r="Q34" i="8"/>
  <c r="Q75" i="8"/>
  <c r="Q106" i="8"/>
  <c r="Q156" i="8"/>
  <c r="Q206" i="8"/>
  <c r="Q397" i="8"/>
  <c r="R195" i="8"/>
  <c r="Q212" i="8"/>
  <c r="Q336" i="8"/>
  <c r="R38" i="8"/>
  <c r="R363" i="8"/>
  <c r="R125" i="8"/>
  <c r="Q91" i="8"/>
  <c r="Q279" i="8"/>
  <c r="Q251" i="8"/>
  <c r="R194" i="8"/>
  <c r="R130" i="8"/>
  <c r="R64" i="8"/>
  <c r="R198" i="8"/>
  <c r="R232" i="8"/>
  <c r="R209" i="8"/>
  <c r="R382" i="8"/>
  <c r="R355" i="8"/>
  <c r="R292" i="8"/>
  <c r="R375" i="8"/>
  <c r="R353" i="8"/>
  <c r="R298" i="8"/>
  <c r="Q89" i="8"/>
  <c r="R301" i="8"/>
  <c r="R36" i="8"/>
  <c r="R284" i="8"/>
  <c r="Q256" i="8"/>
  <c r="Q387" i="8"/>
  <c r="R260" i="8"/>
  <c r="R99" i="8"/>
  <c r="R169" i="8"/>
  <c r="R341" i="8"/>
  <c r="R315" i="8"/>
  <c r="Q325" i="8"/>
  <c r="Q250" i="8"/>
  <c r="R200" i="8"/>
  <c r="Q270" i="8"/>
  <c r="Q232" i="8"/>
  <c r="R269" i="8"/>
  <c r="R217" i="8"/>
  <c r="Q290" i="8"/>
  <c r="Q21" i="8"/>
  <c r="R395" i="8"/>
  <c r="Q163" i="8"/>
  <c r="R106" i="8"/>
  <c r="Q402" i="8"/>
  <c r="Q172" i="8"/>
  <c r="R96" i="8"/>
  <c r="R243" i="8"/>
  <c r="R60" i="8"/>
  <c r="Q87" i="8"/>
  <c r="Q141" i="8"/>
  <c r="Q81" i="8"/>
  <c r="R384" i="8"/>
  <c r="Q131" i="8"/>
  <c r="R152" i="8"/>
  <c r="Q198" i="8"/>
  <c r="Q356" i="8"/>
  <c r="R339" i="8"/>
  <c r="R223" i="8"/>
  <c r="Q168" i="8"/>
  <c r="R162" i="8"/>
  <c r="Q133" i="8"/>
  <c r="Q367" i="8"/>
  <c r="R373" i="8"/>
  <c r="Q154" i="8"/>
  <c r="R405" i="8"/>
  <c r="Q176" i="8"/>
  <c r="Q59" i="8"/>
  <c r="Q334" i="8"/>
  <c r="R224" i="8"/>
  <c r="R277" i="8"/>
  <c r="R229" i="8"/>
  <c r="R185" i="8"/>
  <c r="Q327" i="8"/>
  <c r="Q236" i="8"/>
  <c r="Q110" i="8"/>
  <c r="Q352" i="8"/>
  <c r="R335" i="8"/>
  <c r="Q158" i="8"/>
  <c r="Q169" i="8"/>
  <c r="R188" i="8"/>
  <c r="R261" i="8"/>
  <c r="R205" i="8"/>
  <c r="Q215" i="8"/>
  <c r="Q284" i="8"/>
  <c r="Q220" i="8"/>
  <c r="Q216" i="8"/>
  <c r="R170" i="8"/>
  <c r="R253" i="8"/>
  <c r="Q105" i="8"/>
  <c r="Q32" i="8"/>
  <c r="Q150" i="8"/>
  <c r="R154" i="8"/>
  <c r="R77" i="8"/>
  <c r="Q228" i="8"/>
  <c r="Q222" i="8"/>
  <c r="Q355" i="8"/>
  <c r="Q338" i="8"/>
  <c r="Q230" i="8"/>
  <c r="Q139" i="8"/>
  <c r="R328" i="8"/>
  <c r="Q318" i="8"/>
  <c r="Q128" i="8"/>
  <c r="Q98" i="8"/>
  <c r="Q64" i="8"/>
  <c r="R91" i="8"/>
  <c r="Q142" i="8"/>
  <c r="Q339" i="8"/>
  <c r="Q392" i="8"/>
  <c r="Q182" i="8"/>
  <c r="Q107" i="8"/>
  <c r="Q196" i="8"/>
  <c r="R68" i="8"/>
  <c r="R53" i="8"/>
  <c r="Q54" i="8"/>
  <c r="R98" i="8"/>
  <c r="Q162" i="8"/>
  <c r="Q398" i="8"/>
  <c r="Q95" i="8"/>
  <c r="R410" i="8"/>
  <c r="Q6" i="8"/>
  <c r="Q10" i="8"/>
  <c r="R271" i="8"/>
  <c r="Q277" i="8"/>
  <c r="R251" i="8"/>
  <c r="Q358" i="8"/>
  <c r="R396" i="8"/>
  <c r="Q381" i="8"/>
  <c r="Q122" i="8"/>
  <c r="R11" i="8"/>
  <c r="Q46" i="8"/>
  <c r="Q407" i="8"/>
  <c r="Q73" i="8"/>
  <c r="R145" i="8"/>
  <c r="Q391" i="8"/>
  <c r="Q288" i="8"/>
  <c r="R17" i="8"/>
  <c r="R193" i="8"/>
  <c r="Q178" i="8"/>
  <c r="Q357" i="8"/>
  <c r="Q27" i="8"/>
  <c r="Q365" i="8"/>
  <c r="R179" i="8"/>
  <c r="Q326" i="8"/>
  <c r="Q234" i="8"/>
  <c r="R265" i="8"/>
  <c r="Q281" i="8"/>
  <c r="Q287" i="8"/>
  <c r="Q123" i="8"/>
  <c r="Q47" i="8"/>
  <c r="Q292" i="8"/>
  <c r="Q193" i="8"/>
  <c r="R272" i="8"/>
  <c r="Q186" i="8"/>
  <c r="R237" i="8"/>
  <c r="Q129" i="8"/>
  <c r="Q306" i="8"/>
  <c r="R246" i="8"/>
  <c r="Q200" i="8"/>
  <c r="Q344" i="8"/>
  <c r="R213" i="8"/>
  <c r="Q119" i="8"/>
  <c r="R67" i="8"/>
  <c r="Q146" i="8"/>
  <c r="Q69" i="8"/>
  <c r="Q99" i="8"/>
  <c r="Q330" i="8"/>
  <c r="Q346" i="8"/>
  <c r="Q300" i="8"/>
  <c r="Q368" i="8"/>
  <c r="R364" i="8"/>
  <c r="Q159" i="8"/>
  <c r="Q124" i="8"/>
  <c r="Q362" i="8"/>
  <c r="Q7" i="8"/>
  <c r="R262" i="8"/>
  <c r="R79" i="8"/>
  <c r="Q399" i="8"/>
  <c r="R155" i="8"/>
  <c r="R268" i="8"/>
  <c r="R110" i="8"/>
  <c r="Q38" i="8"/>
  <c r="Q388" i="8"/>
  <c r="Q208" i="8"/>
  <c r="Q130" i="8"/>
  <c r="Q371" i="8"/>
  <c r="Q203" i="8"/>
  <c r="R50" i="8"/>
  <c r="Q409" i="8"/>
  <c r="Q25" i="8"/>
  <c r="Q298" i="8"/>
  <c r="Q74" i="8"/>
  <c r="Q101" i="8"/>
  <c r="Q184" i="8"/>
  <c r="R114" i="8"/>
  <c r="Q361" i="8"/>
  <c r="Q340" i="8"/>
  <c r="R136" i="8"/>
  <c r="Q316" i="8"/>
  <c r="Q118" i="8"/>
  <c r="Q204" i="8"/>
  <c r="R78" i="8"/>
  <c r="R369" i="8"/>
  <c r="Q323" i="8"/>
  <c r="Q57" i="8"/>
  <c r="R336" i="8"/>
  <c r="R27" i="8"/>
  <c r="R303" i="8"/>
  <c r="Q77" i="8"/>
  <c r="R349" i="8"/>
  <c r="R85" i="8"/>
  <c r="Q221" i="8"/>
  <c r="Q370" i="8"/>
  <c r="Q55" i="8"/>
  <c r="R348" i="8"/>
  <c r="Q136" i="8"/>
  <c r="Q92" i="8"/>
  <c r="Q329" i="8"/>
  <c r="Q138" i="8"/>
  <c r="R219" i="8"/>
  <c r="R160" i="8"/>
  <c r="R138" i="8"/>
  <c r="R15" i="8"/>
  <c r="Q40" i="8"/>
  <c r="R61" i="8"/>
  <c r="Q343" i="8"/>
  <c r="R358" i="8"/>
  <c r="Q127" i="8"/>
  <c r="Q116" i="8"/>
  <c r="Q84" i="8"/>
  <c r="Q170" i="8"/>
  <c r="R191" i="8"/>
  <c r="R240" i="8"/>
  <c r="Q225" i="8"/>
  <c r="Q231" i="8"/>
  <c r="Q375" i="8"/>
  <c r="R374" i="8"/>
  <c r="R120" i="8"/>
  <c r="Q140" i="8"/>
  <c r="R42" i="8"/>
  <c r="Q226" i="8"/>
  <c r="Q174" i="8"/>
  <c r="Q145" i="8"/>
  <c r="Q314" i="8"/>
  <c r="Q214" i="8"/>
  <c r="R23" i="8"/>
  <c r="Q70" i="8"/>
  <c r="Q209" i="8"/>
  <c r="Q151" i="8"/>
  <c r="Q134" i="8"/>
  <c r="R264" i="8"/>
  <c r="R199" i="8"/>
  <c r="Q218" i="8"/>
  <c r="Q115" i="8"/>
  <c r="Q377" i="8"/>
  <c r="R94" i="8"/>
  <c r="Q359" i="8"/>
  <c r="R44" i="8"/>
  <c r="Q3" i="8"/>
  <c r="R71" i="8"/>
  <c r="Q50" i="8"/>
  <c r="Q100" i="8"/>
  <c r="R389" i="8"/>
  <c r="Q111" i="8"/>
  <c r="Q171" i="8"/>
  <c r="Q103" i="8"/>
  <c r="R385" i="8"/>
  <c r="Q114" i="8"/>
  <c r="Q113" i="8"/>
  <c r="R280" i="8"/>
  <c r="Q351" i="8"/>
  <c r="R344" i="8"/>
  <c r="R235" i="8"/>
  <c r="R273" i="8"/>
  <c r="R257" i="8"/>
  <c r="R278" i="8"/>
  <c r="R379" i="8"/>
  <c r="Q148" i="8"/>
  <c r="Q202" i="8"/>
  <c r="Q9" i="8"/>
  <c r="Q269" i="8"/>
  <c r="Q239" i="8"/>
  <c r="R372" i="8"/>
  <c r="R82" i="8"/>
  <c r="R381" i="8"/>
  <c r="R309" i="8"/>
  <c r="R302" i="8"/>
  <c r="R171" i="8"/>
  <c r="R103" i="8"/>
  <c r="R406" i="8"/>
  <c r="Q350" i="8"/>
  <c r="R409" i="8"/>
  <c r="Q160" i="8"/>
  <c r="Q297" i="8"/>
  <c r="R93" i="8"/>
  <c r="Q341" i="8"/>
  <c r="R183" i="8"/>
  <c r="Q19" i="8"/>
  <c r="R189" i="8"/>
  <c r="Q322" i="8"/>
  <c r="Q157" i="8"/>
  <c r="Q125" i="8"/>
  <c r="R254" i="8"/>
  <c r="R354" i="8"/>
  <c r="Q165" i="8"/>
  <c r="Q108" i="8"/>
  <c r="Q295" i="8"/>
  <c r="Q194" i="8"/>
  <c r="Q102" i="8"/>
  <c r="R281" i="8"/>
  <c r="Q406" i="8"/>
  <c r="Q349" i="8"/>
  <c r="Q12" i="8"/>
  <c r="Q238" i="8"/>
  <c r="Q403" i="8"/>
  <c r="Q13" i="8"/>
  <c r="Q372" i="8"/>
  <c r="R305" i="8"/>
  <c r="E153" i="5" l="1"/>
  <c r="D153" i="5" s="1"/>
  <c r="E180" i="5"/>
  <c r="F180" i="5" s="1"/>
  <c r="E264" i="5"/>
  <c r="E70" i="5"/>
  <c r="E33" i="5"/>
  <c r="E67" i="5"/>
  <c r="D67" i="5" s="1"/>
  <c r="G7" i="10"/>
  <c r="N53" i="2"/>
  <c r="L53" i="2" s="1"/>
  <c r="U53" i="2" s="1"/>
  <c r="W53" i="2" s="1"/>
  <c r="N51" i="2"/>
  <c r="L51" i="2" s="1"/>
  <c r="V51" i="2" s="1"/>
  <c r="X51" i="2" s="1"/>
  <c r="N49" i="2"/>
  <c r="L49" i="2" s="1"/>
  <c r="V49" i="2" s="1"/>
  <c r="X49" i="2" s="1"/>
  <c r="N52" i="2"/>
  <c r="L52" i="2" s="1"/>
  <c r="U52" i="2" s="1"/>
  <c r="W52" i="2" s="1"/>
  <c r="N50" i="2"/>
  <c r="L50" i="2" s="1"/>
  <c r="V50" i="2" s="1"/>
  <c r="X50" i="2" s="1"/>
  <c r="N48" i="2"/>
  <c r="L48" i="2" s="1"/>
  <c r="U48" i="2" s="1"/>
  <c r="W48" i="2" s="1"/>
  <c r="E64" i="3"/>
  <c r="F64" i="3" s="1"/>
  <c r="H64" i="3" s="1"/>
  <c r="E65" i="3"/>
  <c r="F65" i="3" s="1"/>
  <c r="H65" i="3" s="1"/>
  <c r="E19" i="3"/>
  <c r="F19" i="3" s="1"/>
  <c r="H19" i="3" s="1"/>
  <c r="F99" i="2"/>
  <c r="E243" i="5"/>
  <c r="D243" i="5" s="1"/>
  <c r="E133" i="5"/>
  <c r="F133" i="5" s="1"/>
  <c r="E134" i="5"/>
  <c r="E301" i="5"/>
  <c r="E156" i="5"/>
  <c r="D156" i="5" s="1"/>
  <c r="E89" i="5"/>
  <c r="D89" i="5" s="1"/>
  <c r="E14" i="5"/>
  <c r="F14" i="5" s="1"/>
  <c r="E302" i="5"/>
  <c r="D302" i="5" s="1"/>
  <c r="E280" i="5"/>
  <c r="E53" i="5"/>
  <c r="D53" i="5" s="1"/>
  <c r="E137" i="5"/>
  <c r="C15" i="12"/>
  <c r="S79" i="8"/>
  <c r="S262" i="8"/>
  <c r="S195" i="8"/>
  <c r="S98" i="8"/>
  <c r="S44" i="8"/>
  <c r="S23" i="8"/>
  <c r="S53" i="8"/>
  <c r="S68" i="8"/>
  <c r="S207" i="8"/>
  <c r="S94" i="8"/>
  <c r="S364" i="8"/>
  <c r="S91" i="8"/>
  <c r="S57" i="8"/>
  <c r="S136" i="8"/>
  <c r="S42" i="8"/>
  <c r="S379" i="8"/>
  <c r="S328" i="8"/>
  <c r="S73" i="8"/>
  <c r="S233" i="8"/>
  <c r="S120" i="8"/>
  <c r="S278" i="8"/>
  <c r="S374" i="8"/>
  <c r="S307" i="8"/>
  <c r="S199" i="8"/>
  <c r="S77" i="8"/>
  <c r="S257" i="8"/>
  <c r="S89" i="8"/>
  <c r="S154" i="8"/>
  <c r="S114" i="8"/>
  <c r="S67" i="8"/>
  <c r="S264" i="8"/>
  <c r="S112" i="8"/>
  <c r="S273" i="8"/>
  <c r="S253" i="8"/>
  <c r="S211" i="8"/>
  <c r="S240" i="8"/>
  <c r="S170" i="8"/>
  <c r="S213" i="8"/>
  <c r="S191" i="8"/>
  <c r="S235" i="8"/>
  <c r="S281" i="8"/>
  <c r="S5" i="8"/>
  <c r="S270" i="8"/>
  <c r="S205" i="8"/>
  <c r="S261" i="8"/>
  <c r="S344" i="8"/>
  <c r="S146" i="8"/>
  <c r="S246" i="8"/>
  <c r="S188" i="8"/>
  <c r="S197" i="8"/>
  <c r="S335" i="8"/>
  <c r="S358" i="8"/>
  <c r="S280" i="8"/>
  <c r="S237" i="8"/>
  <c r="S185" i="8"/>
  <c r="S61" i="8"/>
  <c r="S229" i="8"/>
  <c r="S272" i="8"/>
  <c r="S277" i="8"/>
  <c r="S354" i="8"/>
  <c r="S181" i="8"/>
  <c r="S224" i="8"/>
  <c r="S254" i="8"/>
  <c r="S15" i="8"/>
  <c r="S168" i="8"/>
  <c r="S138" i="8"/>
  <c r="S405" i="8"/>
  <c r="S334" i="8"/>
  <c r="S160" i="8"/>
  <c r="S373" i="8"/>
  <c r="S385" i="8"/>
  <c r="S219" i="8"/>
  <c r="S50" i="8"/>
  <c r="S162" i="8"/>
  <c r="S189" i="8"/>
  <c r="S52" i="8"/>
  <c r="S324" i="8"/>
  <c r="S223" i="8"/>
  <c r="S248" i="8"/>
  <c r="S339" i="8"/>
  <c r="S265" i="8"/>
  <c r="S183" i="8"/>
  <c r="S245" i="8"/>
  <c r="S152" i="8"/>
  <c r="S384" i="8"/>
  <c r="S93" i="8"/>
  <c r="S348" i="8"/>
  <c r="S179" i="8"/>
  <c r="S122" i="8"/>
  <c r="S60" i="8"/>
  <c r="S243" i="8"/>
  <c r="S389" i="8"/>
  <c r="S400" i="8"/>
  <c r="S96" i="8"/>
  <c r="S409" i="8"/>
  <c r="S11" i="8"/>
  <c r="S275" i="8"/>
  <c r="S106" i="8"/>
  <c r="S48" i="8"/>
  <c r="S395" i="8"/>
  <c r="S85" i="8"/>
  <c r="S388" i="8"/>
  <c r="S396" i="8"/>
  <c r="S201" i="8"/>
  <c r="S173" i="8"/>
  <c r="S217" i="8"/>
  <c r="S406" i="8"/>
  <c r="S251" i="8"/>
  <c r="S269" i="8"/>
  <c r="S349" i="8"/>
  <c r="S206" i="8"/>
  <c r="S128" i="8"/>
  <c r="S267" i="8"/>
  <c r="S352" i="8"/>
  <c r="S193" i="8"/>
  <c r="S290" i="8"/>
  <c r="S360" i="8"/>
  <c r="S200" i="8"/>
  <c r="S103" i="8"/>
  <c r="S45" i="8"/>
  <c r="S271" i="8"/>
  <c r="S174" i="8"/>
  <c r="S153" i="8"/>
  <c r="S19" i="8"/>
  <c r="S387" i="8"/>
  <c r="S305" i="8"/>
  <c r="S139" i="8"/>
  <c r="S72" i="8"/>
  <c r="S263" i="8"/>
  <c r="S315" i="8"/>
  <c r="S231" i="8"/>
  <c r="S150" i="8"/>
  <c r="S17" i="8"/>
  <c r="S287" i="8"/>
  <c r="S116" i="8"/>
  <c r="S26" i="8"/>
  <c r="S69" i="8"/>
  <c r="S258" i="8"/>
  <c r="S39" i="8"/>
  <c r="S341" i="8"/>
  <c r="S84" i="8"/>
  <c r="S171" i="8"/>
  <c r="S29" i="8"/>
  <c r="S259" i="8"/>
  <c r="S398" i="8"/>
  <c r="S404" i="8"/>
  <c r="S323" i="8"/>
  <c r="S238" i="8"/>
  <c r="S331" i="8"/>
  <c r="S169" i="8"/>
  <c r="S43" i="8"/>
  <c r="S303" i="8"/>
  <c r="S221" i="8"/>
  <c r="S135" i="8"/>
  <c r="S2" i="8"/>
  <c r="S8" i="8"/>
  <c r="S252" i="8"/>
  <c r="S115" i="8"/>
  <c r="S55" i="8"/>
  <c r="S356" i="8"/>
  <c r="S196" i="8"/>
  <c r="S99" i="8"/>
  <c r="S276" i="8"/>
  <c r="S318" i="8"/>
  <c r="S378" i="8"/>
  <c r="S296" i="8"/>
  <c r="S215" i="8"/>
  <c r="S330" i="8"/>
  <c r="S386" i="8"/>
  <c r="S304" i="8"/>
  <c r="S222" i="8"/>
  <c r="S137" i="8"/>
  <c r="S9" i="8"/>
  <c r="S260" i="8"/>
  <c r="S102" i="8"/>
  <c r="S208" i="8"/>
  <c r="S176" i="8"/>
  <c r="S30" i="8"/>
  <c r="S241" i="8"/>
  <c r="S332" i="8"/>
  <c r="S172" i="8"/>
  <c r="S75" i="8"/>
  <c r="S76" i="8"/>
  <c r="S329" i="8"/>
  <c r="S144" i="8"/>
  <c r="S302" i="8"/>
  <c r="S314" i="8"/>
  <c r="S333" i="8"/>
  <c r="S340" i="8"/>
  <c r="S180" i="8"/>
  <c r="S83" i="8"/>
  <c r="S149" i="8"/>
  <c r="S27" i="8"/>
  <c r="S313" i="8"/>
  <c r="S148" i="8"/>
  <c r="S16" i="8"/>
  <c r="S126" i="8"/>
  <c r="S70" i="8"/>
  <c r="S182" i="8"/>
  <c r="S366" i="8"/>
  <c r="S284" i="8"/>
  <c r="S111" i="8"/>
  <c r="S293" i="8"/>
  <c r="S124" i="8"/>
  <c r="S134" i="8"/>
  <c r="S90" i="8"/>
  <c r="S244" i="8"/>
  <c r="S36" i="8"/>
  <c r="S403" i="8"/>
  <c r="S321" i="8"/>
  <c r="S158" i="8"/>
  <c r="S22" i="8"/>
  <c r="S343" i="8"/>
  <c r="S326" i="8"/>
  <c r="S383" i="8"/>
  <c r="S301" i="8"/>
  <c r="S220" i="8"/>
  <c r="S377" i="8"/>
  <c r="S391" i="8"/>
  <c r="S309" i="8"/>
  <c r="S226" i="8"/>
  <c r="S143" i="8"/>
  <c r="S46" i="8"/>
  <c r="S13" i="8"/>
  <c r="S203" i="8"/>
  <c r="S109" i="8"/>
  <c r="S234" i="8"/>
  <c r="S35" i="8"/>
  <c r="S249" i="8"/>
  <c r="S336" i="8"/>
  <c r="S177" i="8"/>
  <c r="S80" i="8"/>
  <c r="S113" i="8"/>
  <c r="S286" i="8"/>
  <c r="S357" i="8"/>
  <c r="S298" i="8"/>
  <c r="S365" i="8"/>
  <c r="S283" i="8"/>
  <c r="S204" i="8"/>
  <c r="S110" i="8"/>
  <c r="S49" i="8"/>
  <c r="S142" i="8"/>
  <c r="S410" i="8"/>
  <c r="S159" i="8"/>
  <c r="S353" i="8"/>
  <c r="S392" i="8"/>
  <c r="S311" i="8"/>
  <c r="S145" i="8"/>
  <c r="S10" i="8"/>
  <c r="S14" i="8"/>
  <c r="S390" i="8"/>
  <c r="S367" i="8"/>
  <c r="S375" i="8"/>
  <c r="S227" i="8"/>
  <c r="S381" i="8"/>
  <c r="S393" i="8"/>
  <c r="S312" i="8"/>
  <c r="S228" i="8"/>
  <c r="S394" i="8"/>
  <c r="S401" i="8"/>
  <c r="S320" i="8"/>
  <c r="S236" i="8"/>
  <c r="S157" i="8"/>
  <c r="S4" i="8"/>
  <c r="S21" i="8"/>
  <c r="S337" i="8"/>
  <c r="S292" i="8"/>
  <c r="S212" i="8"/>
  <c r="S123" i="8"/>
  <c r="S66" i="8"/>
  <c r="S127" i="8"/>
  <c r="S101" i="8"/>
  <c r="S279" i="8"/>
  <c r="S100" i="8"/>
  <c r="S346" i="8"/>
  <c r="S186" i="8"/>
  <c r="S88" i="8"/>
  <c r="S230" i="8"/>
  <c r="S34" i="8"/>
  <c r="S355" i="8"/>
  <c r="S97" i="8"/>
  <c r="S268" i="8"/>
  <c r="S41" i="8"/>
  <c r="S167" i="8"/>
  <c r="S51" i="8"/>
  <c r="S32" i="8"/>
  <c r="S147" i="8"/>
  <c r="S382" i="8"/>
  <c r="S300" i="8"/>
  <c r="S132" i="8"/>
  <c r="S6" i="8"/>
  <c r="S239" i="8"/>
  <c r="S294" i="8"/>
  <c r="S362" i="8"/>
  <c r="S202" i="8"/>
  <c r="S306" i="8"/>
  <c r="S370" i="8"/>
  <c r="S288" i="8"/>
  <c r="S209" i="8"/>
  <c r="S117" i="8"/>
  <c r="S63" i="8"/>
  <c r="S82" i="8"/>
  <c r="S184" i="8"/>
  <c r="S192" i="8"/>
  <c r="S31" i="8"/>
  <c r="S166" i="8"/>
  <c r="S28" i="8"/>
  <c r="S397" i="8"/>
  <c r="S316" i="8"/>
  <c r="S232" i="8"/>
  <c r="S151" i="8"/>
  <c r="S338" i="8"/>
  <c r="S178" i="8"/>
  <c r="S345" i="8"/>
  <c r="S87" i="8"/>
  <c r="S198" i="8"/>
  <c r="S33" i="8"/>
  <c r="S155" i="8"/>
  <c r="S3" i="8"/>
  <c r="S20" i="8"/>
  <c r="S133" i="8"/>
  <c r="S74" i="8"/>
  <c r="S7" i="8"/>
  <c r="S242" i="8"/>
  <c r="S371" i="8"/>
  <c r="S289" i="8"/>
  <c r="S210" i="8"/>
  <c r="S118" i="8"/>
  <c r="S64" i="8"/>
  <c r="S54" i="8"/>
  <c r="S86" i="8"/>
  <c r="S104" i="8"/>
  <c r="S256" i="8"/>
  <c r="S368" i="8"/>
  <c r="S285" i="8"/>
  <c r="S319" i="8"/>
  <c r="S130" i="8"/>
  <c r="S310" i="8"/>
  <c r="S372" i="8"/>
  <c r="S291" i="8"/>
  <c r="S322" i="8"/>
  <c r="S380" i="8"/>
  <c r="S299" i="8"/>
  <c r="S131" i="8"/>
  <c r="S62" i="8"/>
  <c r="S218" i="8"/>
  <c r="S194" i="8"/>
  <c r="S95" i="8"/>
  <c r="S266" i="8"/>
  <c r="S40" i="8"/>
  <c r="S369" i="8"/>
  <c r="S81" i="8"/>
  <c r="S121" i="8"/>
  <c r="S408" i="8"/>
  <c r="S327" i="8"/>
  <c r="S165" i="8"/>
  <c r="S175" i="8"/>
  <c r="S308" i="8"/>
  <c r="S225" i="8"/>
  <c r="S141" i="8"/>
  <c r="S12" i="8"/>
  <c r="S282" i="8"/>
  <c r="S119" i="8"/>
  <c r="S65" i="8"/>
  <c r="S56" i="8"/>
  <c r="S107" i="8"/>
  <c r="S361" i="8"/>
  <c r="S105" i="8"/>
  <c r="S342" i="8"/>
  <c r="S350" i="8"/>
  <c r="S190" i="8"/>
  <c r="S247" i="8"/>
  <c r="S37" i="8"/>
  <c r="S156" i="8"/>
  <c r="S161" i="8"/>
  <c r="S58" i="8"/>
  <c r="S24" i="8"/>
  <c r="S359" i="8"/>
  <c r="S140" i="8"/>
  <c r="S18" i="8"/>
  <c r="S274" i="8"/>
  <c r="S376" i="8"/>
  <c r="S295" i="8"/>
  <c r="S214" i="8"/>
  <c r="S125" i="8"/>
  <c r="S59" i="8"/>
  <c r="S164" i="8"/>
  <c r="S78" i="8"/>
  <c r="S399" i="8"/>
  <c r="S317" i="8"/>
  <c r="S402" i="8"/>
  <c r="S407" i="8"/>
  <c r="S325" i="8"/>
  <c r="S163" i="8"/>
  <c r="S25" i="8"/>
  <c r="S363" i="8"/>
  <c r="S297" i="8"/>
  <c r="S216" i="8"/>
  <c r="S129" i="8"/>
  <c r="S71" i="8"/>
  <c r="S187" i="8"/>
  <c r="S108" i="8"/>
  <c r="S47" i="8"/>
  <c r="S347" i="8"/>
  <c r="S351" i="8"/>
  <c r="S92" i="8"/>
  <c r="S255" i="8"/>
  <c r="S38" i="8"/>
  <c r="S250" i="8"/>
  <c r="AT56" i="2"/>
  <c r="AY53" i="2"/>
  <c r="AY34" i="2"/>
  <c r="AT34" i="2" s="1"/>
  <c r="F89" i="2"/>
  <c r="AZ32" i="2"/>
  <c r="C121" i="5"/>
  <c r="E55" i="5"/>
  <c r="D55" i="5" s="1"/>
  <c r="AY83" i="2"/>
  <c r="F90" i="2"/>
  <c r="AT93" i="2"/>
  <c r="AZ61" i="2"/>
  <c r="E35" i="5"/>
  <c r="E200" i="5"/>
  <c r="D200" i="5" s="1"/>
  <c r="E171" i="5"/>
  <c r="D171" i="5" s="1"/>
  <c r="F49" i="2"/>
  <c r="AZ43" i="2"/>
  <c r="AT43" i="2" s="1"/>
  <c r="AS43" i="2" s="1"/>
  <c r="AU43" i="2" s="1"/>
  <c r="F91" i="2"/>
  <c r="F83" i="2"/>
  <c r="F77" i="2"/>
  <c r="F84" i="2"/>
  <c r="F80" i="2"/>
  <c r="F82" i="2"/>
  <c r="F56" i="2"/>
  <c r="F40" i="2"/>
  <c r="F34" i="2"/>
  <c r="F41" i="2"/>
  <c r="F36" i="2"/>
  <c r="E95" i="5"/>
  <c r="E75" i="5"/>
  <c r="D75" i="5" s="1"/>
  <c r="AZ72" i="2"/>
  <c r="AZ37" i="2"/>
  <c r="D134" i="5"/>
  <c r="F134" i="5"/>
  <c r="F2" i="5"/>
  <c r="E197" i="5"/>
  <c r="E178" i="5"/>
  <c r="D178" i="5" s="1"/>
  <c r="E24" i="5"/>
  <c r="D24" i="5" s="1"/>
  <c r="E217" i="5"/>
  <c r="D217" i="5" s="1"/>
  <c r="F98" i="2"/>
  <c r="F92" i="2"/>
  <c r="F88" i="2"/>
  <c r="F81" i="2"/>
  <c r="F76" i="2"/>
  <c r="F61" i="2"/>
  <c r="F59" i="2"/>
  <c r="F53" i="2"/>
  <c r="F26" i="2"/>
  <c r="E3" i="5"/>
  <c r="E96" i="5"/>
  <c r="D96" i="5" s="1"/>
  <c r="E218" i="5"/>
  <c r="E140" i="5"/>
  <c r="E196" i="5"/>
  <c r="D196" i="5" s="1"/>
  <c r="F60" i="2"/>
  <c r="F52" i="2"/>
  <c r="E260" i="5"/>
  <c r="F260" i="5" s="1"/>
  <c r="E25" i="5"/>
  <c r="D25" i="5" s="1"/>
  <c r="E242" i="5"/>
  <c r="D242" i="5" s="1"/>
  <c r="E150" i="5"/>
  <c r="AT80" i="2"/>
  <c r="E9" i="5"/>
  <c r="E49" i="5"/>
  <c r="D49" i="5" s="1"/>
  <c r="E277" i="5"/>
  <c r="D275" i="5"/>
  <c r="E113" i="5"/>
  <c r="D113" i="5" s="1"/>
  <c r="E158" i="5"/>
  <c r="D158" i="5" s="1"/>
  <c r="E10" i="5"/>
  <c r="F10" i="5" s="1"/>
  <c r="F50" i="2"/>
  <c r="F48" i="2"/>
  <c r="F37" i="2"/>
  <c r="C54" i="1" s="1"/>
  <c r="F33" i="2"/>
  <c r="F100" i="2"/>
  <c r="AT68" i="2"/>
  <c r="AZ58" i="2"/>
  <c r="AT58" i="2" s="1"/>
  <c r="AT35" i="2"/>
  <c r="F35" i="2"/>
  <c r="E192" i="5"/>
  <c r="AZ59" i="2"/>
  <c r="AT59" i="2" s="1"/>
  <c r="AY37" i="2"/>
  <c r="AZ40" i="2"/>
  <c r="AY88" i="2"/>
  <c r="AT88" i="2" s="1"/>
  <c r="D176" i="5"/>
  <c r="AT89" i="2"/>
  <c r="AT100" i="2"/>
  <c r="AY61" i="2"/>
  <c r="F23" i="2"/>
  <c r="F96" i="2"/>
  <c r="F58" i="2"/>
  <c r="F42" i="2"/>
  <c r="E111" i="5"/>
  <c r="D111" i="5" s="1"/>
  <c r="E282" i="5"/>
  <c r="D256" i="5"/>
  <c r="F151" i="5"/>
  <c r="E69" i="5"/>
  <c r="D69" i="5" s="1"/>
  <c r="E263" i="5"/>
  <c r="F193" i="5"/>
  <c r="D212" i="5"/>
  <c r="E97" i="5"/>
  <c r="F97" i="5" s="1"/>
  <c r="D138" i="5"/>
  <c r="E299" i="5"/>
  <c r="D299" i="5" s="1"/>
  <c r="E54" i="5"/>
  <c r="F54" i="5" s="1"/>
  <c r="E170" i="5"/>
  <c r="D170" i="5" s="1"/>
  <c r="E28" i="5"/>
  <c r="F28" i="5" s="1"/>
  <c r="D284" i="5"/>
  <c r="D131" i="5"/>
  <c r="F131" i="5"/>
  <c r="D239" i="5"/>
  <c r="F117" i="5"/>
  <c r="E98" i="5"/>
  <c r="F98" i="5" s="1"/>
  <c r="E34" i="5"/>
  <c r="D34" i="5" s="1"/>
  <c r="E132" i="5"/>
  <c r="E135" i="5"/>
  <c r="F135" i="5" s="1"/>
  <c r="E52" i="5"/>
  <c r="D52" i="5" s="1"/>
  <c r="V115" i="2"/>
  <c r="X115" i="2" s="1"/>
  <c r="V113" i="2"/>
  <c r="X113" i="2" s="1"/>
  <c r="V32" i="2"/>
  <c r="X32" i="2" s="1"/>
  <c r="U104" i="2"/>
  <c r="W104" i="2" s="1"/>
  <c r="AL24" i="2"/>
  <c r="D233" i="5"/>
  <c r="D46" i="5"/>
  <c r="E8" i="5"/>
  <c r="F8" i="5" s="1"/>
  <c r="AT84" i="2"/>
  <c r="AT69" i="2"/>
  <c r="AY76" i="2"/>
  <c r="C247" i="5"/>
  <c r="AY81" i="2"/>
  <c r="AT81" i="2" s="1"/>
  <c r="AZ48" i="2"/>
  <c r="AT48" i="2" s="1"/>
  <c r="AH29" i="2"/>
  <c r="AH25" i="2"/>
  <c r="AH27" i="2"/>
  <c r="AH26" i="2"/>
  <c r="AH22" i="2"/>
  <c r="AH28" i="2"/>
  <c r="AK26" i="2"/>
  <c r="AH23" i="2"/>
  <c r="AH24" i="2"/>
  <c r="AK25" i="2"/>
  <c r="AE23" i="2"/>
  <c r="AF23" i="2" s="1"/>
  <c r="V122" i="2"/>
  <c r="X122" i="2" s="1"/>
  <c r="V109" i="2"/>
  <c r="X109" i="2" s="1"/>
  <c r="U108" i="2"/>
  <c r="W108" i="2" s="1"/>
  <c r="AB27" i="2"/>
  <c r="V125" i="2"/>
  <c r="X125" i="2" s="1"/>
  <c r="E129" i="5"/>
  <c r="F129" i="5" s="1"/>
  <c r="D90" i="5"/>
  <c r="E179" i="5"/>
  <c r="F179" i="5" s="1"/>
  <c r="E45" i="5"/>
  <c r="F45" i="5" s="1"/>
  <c r="AZ67" i="2"/>
  <c r="AT67" i="2" s="1"/>
  <c r="AZ42" i="2"/>
  <c r="AT42" i="2" s="1"/>
  <c r="AS42" i="2" s="1"/>
  <c r="AU42" i="2" s="1"/>
  <c r="C100" i="5"/>
  <c r="D20" i="3"/>
  <c r="AE26" i="2"/>
  <c r="AF26" i="2" s="1"/>
  <c r="AA25" i="2"/>
  <c r="V40" i="2"/>
  <c r="X40" i="2" s="1"/>
  <c r="U112" i="2"/>
  <c r="W112" i="2" s="1"/>
  <c r="V53" i="2"/>
  <c r="X53" i="2" s="1"/>
  <c r="AB25" i="2"/>
  <c r="D86" i="5"/>
  <c r="E157" i="5"/>
  <c r="D157" i="5" s="1"/>
  <c r="C268" i="5"/>
  <c r="AK29" i="2"/>
  <c r="F182" i="5"/>
  <c r="D182" i="5"/>
  <c r="N7" i="10"/>
  <c r="N6" i="10" s="1"/>
  <c r="AV49" i="2"/>
  <c r="AV52" i="2"/>
  <c r="AV50" i="2"/>
  <c r="AV53" i="2"/>
  <c r="AV48" i="2"/>
  <c r="AT41" i="2"/>
  <c r="AS41" i="2" s="1"/>
  <c r="AU41" i="2" s="1"/>
  <c r="E276" i="5"/>
  <c r="F276" i="5" s="1"/>
  <c r="E234" i="5"/>
  <c r="F234" i="5" s="1"/>
  <c r="E23" i="5"/>
  <c r="F23" i="5" s="1"/>
  <c r="E136" i="5"/>
  <c r="F136" i="5" s="1"/>
  <c r="AY65" i="2"/>
  <c r="AT65" i="2" s="1"/>
  <c r="E30" i="5"/>
  <c r="F30" i="5" s="1"/>
  <c r="E93" i="5"/>
  <c r="F93" i="5" s="1"/>
  <c r="E94" i="5"/>
  <c r="E31" i="5"/>
  <c r="D31" i="5" s="1"/>
  <c r="E119" i="5"/>
  <c r="F119" i="5" s="1"/>
  <c r="AT74" i="2"/>
  <c r="F243" i="5"/>
  <c r="E27" i="5"/>
  <c r="F27" i="5" s="1"/>
  <c r="F191" i="5"/>
  <c r="AY98" i="2"/>
  <c r="AT98" i="2" s="1"/>
  <c r="AY50" i="2"/>
  <c r="AT50" i="2" s="1"/>
  <c r="AT75" i="2"/>
  <c r="AY49" i="2"/>
  <c r="AT49" i="2" s="1"/>
  <c r="AT64" i="2"/>
  <c r="AY32" i="2"/>
  <c r="AZ99" i="2"/>
  <c r="AT99" i="2" s="1"/>
  <c r="F178" i="5"/>
  <c r="D88" i="3"/>
  <c r="E88" i="3" s="1"/>
  <c r="F88" i="3" s="1"/>
  <c r="H42" i="5"/>
  <c r="B294" i="5" s="1"/>
  <c r="F72" i="5"/>
  <c r="D72" i="5"/>
  <c r="E108" i="5"/>
  <c r="F108" i="5" s="1"/>
  <c r="E159" i="5"/>
  <c r="F159" i="5" s="1"/>
  <c r="E92" i="5"/>
  <c r="D92" i="5" s="1"/>
  <c r="E29" i="5"/>
  <c r="E32" i="5"/>
  <c r="F32" i="5" s="1"/>
  <c r="C205" i="5"/>
  <c r="E51" i="5"/>
  <c r="F51" i="5" s="1"/>
  <c r="E73" i="5"/>
  <c r="I21" i="6"/>
  <c r="E76" i="5"/>
  <c r="F76" i="5" s="1"/>
  <c r="D44" i="5"/>
  <c r="F44" i="5"/>
  <c r="E26" i="5"/>
  <c r="F26" i="5" s="1"/>
  <c r="D149" i="5"/>
  <c r="E11" i="5"/>
  <c r="D11" i="5" s="1"/>
  <c r="D6" i="5"/>
  <c r="E174" i="5"/>
  <c r="D174" i="5" s="1"/>
  <c r="E77" i="5"/>
  <c r="D77" i="5" s="1"/>
  <c r="C163" i="5"/>
  <c r="E56" i="5"/>
  <c r="D56" i="5" s="1"/>
  <c r="I18" i="3"/>
  <c r="I17" i="3" s="1"/>
  <c r="E68" i="5"/>
  <c r="F68" i="5" s="1"/>
  <c r="F33" i="5"/>
  <c r="D33" i="5"/>
  <c r="E213" i="5"/>
  <c r="D213" i="5" s="1"/>
  <c r="E265" i="5"/>
  <c r="F265" i="5" s="1"/>
  <c r="E219" i="5"/>
  <c r="D219" i="5" s="1"/>
  <c r="E303" i="5"/>
  <c r="F303" i="5" s="1"/>
  <c r="E173" i="5"/>
  <c r="F173" i="5" s="1"/>
  <c r="F222" i="5"/>
  <c r="D130" i="5"/>
  <c r="E5" i="5"/>
  <c r="D5" i="5" s="1"/>
  <c r="E87" i="5"/>
  <c r="D87" i="5" s="1"/>
  <c r="D65" i="5"/>
  <c r="E110" i="5"/>
  <c r="F110" i="5" s="1"/>
  <c r="C58" i="5"/>
  <c r="C142" i="5"/>
  <c r="C16" i="5"/>
  <c r="E48" i="5"/>
  <c r="E181" i="5"/>
  <c r="D181" i="5" s="1"/>
  <c r="F153" i="5"/>
  <c r="F55" i="5"/>
  <c r="E255" i="5"/>
  <c r="D172" i="5"/>
  <c r="F172" i="5"/>
  <c r="D10" i="5"/>
  <c r="F109" i="5"/>
  <c r="F12" i="5"/>
  <c r="F4" i="5"/>
  <c r="E155" i="5"/>
  <c r="D14" i="5"/>
  <c r="F214" i="5"/>
  <c r="E13" i="5"/>
  <c r="D13" i="5" s="1"/>
  <c r="F156" i="5"/>
  <c r="E112" i="5"/>
  <c r="F112" i="5" s="1"/>
  <c r="E152" i="5"/>
  <c r="F235" i="5"/>
  <c r="F302" i="5"/>
  <c r="F161" i="5"/>
  <c r="D161" i="5"/>
  <c r="D201" i="5"/>
  <c r="F201" i="5"/>
  <c r="F154" i="5"/>
  <c r="D154" i="5"/>
  <c r="E198" i="5"/>
  <c r="F198" i="5" s="1"/>
  <c r="E236" i="5"/>
  <c r="D236" i="5" s="1"/>
  <c r="D238" i="5"/>
  <c r="F196" i="5"/>
  <c r="E177" i="5"/>
  <c r="F177" i="5" s="1"/>
  <c r="F281" i="5"/>
  <c r="F71" i="5"/>
  <c r="E47" i="5"/>
  <c r="F47" i="5" s="1"/>
  <c r="F175" i="5"/>
  <c r="E116" i="5"/>
  <c r="F116" i="5" s="1"/>
  <c r="E66" i="5"/>
  <c r="F66" i="5" s="1"/>
  <c r="D98" i="5"/>
  <c r="D254" i="5"/>
  <c r="E88" i="5"/>
  <c r="E118" i="5"/>
  <c r="E50" i="5"/>
  <c r="F50" i="5" s="1"/>
  <c r="C289" i="5"/>
  <c r="C184" i="5"/>
  <c r="I41" i="3"/>
  <c r="D42" i="3"/>
  <c r="L18" i="3"/>
  <c r="M19" i="3" s="1"/>
  <c r="G43" i="10"/>
  <c r="L39" i="3"/>
  <c r="M40" i="3" s="1"/>
  <c r="L20" i="6"/>
  <c r="G20" i="6"/>
  <c r="R20" i="6"/>
  <c r="O20" i="6"/>
  <c r="E20" i="6"/>
  <c r="J19" i="6"/>
  <c r="C19" i="6"/>
  <c r="R62" i="6"/>
  <c r="E62" i="6"/>
  <c r="O62" i="6"/>
  <c r="L62" i="6"/>
  <c r="C61" i="6"/>
  <c r="G62" i="6"/>
  <c r="R167" i="6"/>
  <c r="E167" i="6"/>
  <c r="O167" i="6"/>
  <c r="C166" i="6"/>
  <c r="L167" i="6"/>
  <c r="G167" i="6"/>
  <c r="C9" i="3"/>
  <c r="D63" i="3"/>
  <c r="I62" i="3"/>
  <c r="C52" i="3"/>
  <c r="C226" i="5"/>
  <c r="C79" i="5"/>
  <c r="C37" i="5"/>
  <c r="L61" i="3"/>
  <c r="M62" i="3" s="1"/>
  <c r="G146" i="6"/>
  <c r="R146" i="6"/>
  <c r="O146" i="6"/>
  <c r="E146" i="6"/>
  <c r="C145" i="6"/>
  <c r="L146" i="6"/>
  <c r="O209" i="6"/>
  <c r="E209" i="6"/>
  <c r="C208" i="6"/>
  <c r="R209" i="6"/>
  <c r="L209" i="6"/>
  <c r="G209" i="6"/>
  <c r="E139" i="5"/>
  <c r="L83" i="6"/>
  <c r="G83" i="6"/>
  <c r="C82" i="6"/>
  <c r="R83" i="6"/>
  <c r="E83" i="6"/>
  <c r="O83" i="6"/>
  <c r="L125" i="6"/>
  <c r="G125" i="6"/>
  <c r="E125" i="6"/>
  <c r="R125" i="6"/>
  <c r="O125" i="6"/>
  <c r="C124" i="6"/>
  <c r="L251" i="6"/>
  <c r="G251" i="6"/>
  <c r="C250" i="6"/>
  <c r="R251" i="6"/>
  <c r="E251" i="6"/>
  <c r="O251" i="6"/>
  <c r="C246" i="5"/>
  <c r="C225" i="5"/>
  <c r="E225" i="5" s="1"/>
  <c r="F225" i="5" s="1"/>
  <c r="C162" i="5"/>
  <c r="C120" i="5"/>
  <c r="C36" i="5"/>
  <c r="E36" i="5" s="1"/>
  <c r="C183" i="5"/>
  <c r="C15" i="5"/>
  <c r="C309" i="5"/>
  <c r="E309" i="5" s="1"/>
  <c r="D309" i="5" s="1"/>
  <c r="C288" i="5"/>
  <c r="E288" i="5" s="1"/>
  <c r="D288" i="5" s="1"/>
  <c r="C267" i="5"/>
  <c r="C204" i="5"/>
  <c r="C141" i="5"/>
  <c r="E141" i="5" s="1"/>
  <c r="F141" i="5" s="1"/>
  <c r="C99" i="5"/>
  <c r="E99" i="5" s="1"/>
  <c r="D99" i="5" s="1"/>
  <c r="C78" i="5"/>
  <c r="E78" i="5" s="1"/>
  <c r="D78" i="5" s="1"/>
  <c r="C57" i="5"/>
  <c r="G41" i="6"/>
  <c r="C40" i="6"/>
  <c r="E41" i="6"/>
  <c r="R41" i="6"/>
  <c r="O41" i="6"/>
  <c r="L41" i="6"/>
  <c r="R104" i="6"/>
  <c r="G104" i="6"/>
  <c r="C103" i="6"/>
  <c r="O104" i="6"/>
  <c r="E104" i="6"/>
  <c r="L104" i="6"/>
  <c r="G188" i="6"/>
  <c r="C187" i="6"/>
  <c r="R188" i="6"/>
  <c r="E188" i="6"/>
  <c r="L188" i="6"/>
  <c r="O188" i="6"/>
  <c r="G230" i="6"/>
  <c r="C229" i="6"/>
  <c r="O230" i="6"/>
  <c r="R230" i="6"/>
  <c r="L230" i="6"/>
  <c r="E230" i="6"/>
  <c r="L83" i="3"/>
  <c r="M84" i="3" s="1"/>
  <c r="C29" i="3"/>
  <c r="AT40" i="2"/>
  <c r="AS40" i="2" s="1"/>
  <c r="AU40" i="2" s="1"/>
  <c r="AY91" i="2"/>
  <c r="AT91" i="2" s="1"/>
  <c r="AY73" i="2"/>
  <c r="AT73" i="2" s="1"/>
  <c r="AT72" i="2"/>
  <c r="AT44" i="2"/>
  <c r="AS44" i="2" s="1"/>
  <c r="AU44" i="2" s="1"/>
  <c r="AT33" i="2"/>
  <c r="AT83" i="2"/>
  <c r="AZ53" i="2"/>
  <c r="AT53" i="2" s="1"/>
  <c r="AZ36" i="2"/>
  <c r="AT36" i="2" s="1"/>
  <c r="AT37" i="2"/>
  <c r="AY101" i="2"/>
  <c r="AT101" i="2" s="1"/>
  <c r="AZ51" i="2"/>
  <c r="AT51" i="2" s="1"/>
  <c r="AS51" i="2" s="1"/>
  <c r="AU51" i="2" s="1"/>
  <c r="E304" i="5"/>
  <c r="D304" i="5" s="1"/>
  <c r="AY85" i="2"/>
  <c r="AT85" i="2" s="1"/>
  <c r="AZ97" i="2"/>
  <c r="AT97" i="2" s="1"/>
  <c r="AZ66" i="2"/>
  <c r="AT66" i="2" s="1"/>
  <c r="AZ92" i="2"/>
  <c r="AT92" i="2" s="1"/>
  <c r="E114" i="5"/>
  <c r="AT60" i="2"/>
  <c r="AY90" i="2"/>
  <c r="AT90" i="2" s="1"/>
  <c r="AT52" i="2"/>
  <c r="AT45" i="2"/>
  <c r="AS45" i="2" s="1"/>
  <c r="AU45" i="2" s="1"/>
  <c r="AT76" i="2"/>
  <c r="AT61" i="2"/>
  <c r="AZ82" i="2"/>
  <c r="AT82" i="2" s="1"/>
  <c r="AT57" i="2"/>
  <c r="AY96" i="2"/>
  <c r="AT96" i="2" s="1"/>
  <c r="E199" i="5"/>
  <c r="D199" i="5" s="1"/>
  <c r="AT77" i="2"/>
  <c r="D264" i="5"/>
  <c r="F264" i="5"/>
  <c r="F115" i="5"/>
  <c r="D115" i="5"/>
  <c r="F221" i="5"/>
  <c r="D221" i="5"/>
  <c r="E237" i="5"/>
  <c r="F237" i="5" s="1"/>
  <c r="D298" i="5"/>
  <c r="F298" i="5"/>
  <c r="F219" i="5"/>
  <c r="E257" i="5"/>
  <c r="E258" i="5"/>
  <c r="D277" i="5"/>
  <c r="F277" i="5"/>
  <c r="D160" i="5"/>
  <c r="F160" i="5"/>
  <c r="E300" i="5"/>
  <c r="E216" i="5"/>
  <c r="D197" i="5"/>
  <c r="F197" i="5"/>
  <c r="D128" i="5"/>
  <c r="F128" i="5"/>
  <c r="D132" i="5"/>
  <c r="F132" i="5"/>
  <c r="D35" i="5"/>
  <c r="F35" i="5"/>
  <c r="F137" i="5"/>
  <c r="D137" i="5"/>
  <c r="F70" i="5"/>
  <c r="D70" i="5"/>
  <c r="P59" i="5"/>
  <c r="K60" i="5"/>
  <c r="D297" i="5"/>
  <c r="F297" i="5"/>
  <c r="E202" i="5"/>
  <c r="E203" i="5"/>
  <c r="F286" i="5"/>
  <c r="D286" i="5"/>
  <c r="E240" i="5"/>
  <c r="E241" i="5"/>
  <c r="E195" i="5"/>
  <c r="E194" i="5"/>
  <c r="E278" i="5"/>
  <c r="E279" i="5"/>
  <c r="E287" i="5"/>
  <c r="O54" i="5"/>
  <c r="J55" i="5"/>
  <c r="D140" i="5"/>
  <c r="F140" i="5"/>
  <c r="D280" i="5"/>
  <c r="F280" i="5"/>
  <c r="E223" i="5"/>
  <c r="E224" i="5"/>
  <c r="E308" i="5"/>
  <c r="E307" i="5"/>
  <c r="E262" i="5"/>
  <c r="E261" i="5"/>
  <c r="D215" i="5"/>
  <c r="F215" i="5"/>
  <c r="F299" i="5"/>
  <c r="F259" i="5"/>
  <c r="D259" i="5"/>
  <c r="F192" i="5"/>
  <c r="D192" i="5"/>
  <c r="D285" i="5"/>
  <c r="F285" i="5"/>
  <c r="F305" i="5"/>
  <c r="D305" i="5"/>
  <c r="N49" i="5"/>
  <c r="I50" i="5"/>
  <c r="F95" i="5"/>
  <c r="D95" i="5"/>
  <c r="D150" i="5"/>
  <c r="F150" i="5"/>
  <c r="D7" i="5"/>
  <c r="F7" i="5"/>
  <c r="D263" i="5"/>
  <c r="F263" i="5"/>
  <c r="E244" i="5"/>
  <c r="E245" i="5"/>
  <c r="D282" i="5"/>
  <c r="F282" i="5"/>
  <c r="D301" i="5"/>
  <c r="F301" i="5"/>
  <c r="E283" i="5"/>
  <c r="E266" i="5"/>
  <c r="E220" i="5"/>
  <c r="D23" i="5"/>
  <c r="D9" i="5"/>
  <c r="F9" i="5"/>
  <c r="D108" i="5"/>
  <c r="F91" i="5"/>
  <c r="D91" i="5"/>
  <c r="F74" i="5"/>
  <c r="D74" i="5"/>
  <c r="D3" i="5"/>
  <c r="F3" i="5"/>
  <c r="U66" i="2"/>
  <c r="W66" i="2" s="1"/>
  <c r="AI24" i="2"/>
  <c r="AB24" i="2"/>
  <c r="AI25" i="2"/>
  <c r="AL27" i="2"/>
  <c r="V120" i="2"/>
  <c r="X120" i="2" s="1"/>
  <c r="V124" i="2"/>
  <c r="X124" i="2" s="1"/>
  <c r="AL25" i="2"/>
  <c r="U125" i="2"/>
  <c r="W125" i="2" s="1"/>
  <c r="V114" i="2"/>
  <c r="X114" i="2" s="1"/>
  <c r="V60" i="2"/>
  <c r="X60" i="2" s="1"/>
  <c r="V43" i="2"/>
  <c r="X43" i="2" s="1"/>
  <c r="U123" i="2"/>
  <c r="W123" i="2" s="1"/>
  <c r="AI27" i="2"/>
  <c r="V121" i="2"/>
  <c r="X121" i="2" s="1"/>
  <c r="AI23" i="2"/>
  <c r="V41" i="2"/>
  <c r="X41" i="2" s="1"/>
  <c r="AL23" i="2"/>
  <c r="U109" i="2"/>
  <c r="W109" i="2" s="1"/>
  <c r="V104" i="2"/>
  <c r="X104" i="2" s="1"/>
  <c r="U122" i="2"/>
  <c r="W122" i="2" s="1"/>
  <c r="U65" i="2"/>
  <c r="W65" i="2" s="1"/>
  <c r="V42" i="2"/>
  <c r="X42" i="2" s="1"/>
  <c r="U107" i="2"/>
  <c r="W107" i="2" s="1"/>
  <c r="U67" i="2"/>
  <c r="W67" i="2" s="1"/>
  <c r="V68" i="2"/>
  <c r="X68" i="2" s="1"/>
  <c r="V108" i="2"/>
  <c r="X108" i="2" s="1"/>
  <c r="V106" i="2"/>
  <c r="X106" i="2" s="1"/>
  <c r="V33" i="2"/>
  <c r="X33" i="2" s="1"/>
  <c r="V112" i="2"/>
  <c r="X112" i="2" s="1"/>
  <c r="V58" i="2"/>
  <c r="X58" i="2" s="1"/>
  <c r="V27" i="2"/>
  <c r="X27" i="2" s="1"/>
  <c r="AI26" i="2"/>
  <c r="V56" i="2"/>
  <c r="X56" i="2" s="1"/>
  <c r="U113" i="2"/>
  <c r="W113" i="2" s="1"/>
  <c r="U115" i="2"/>
  <c r="W115" i="2" s="1"/>
  <c r="U45" i="2"/>
  <c r="W45" i="2" s="1"/>
  <c r="U51" i="2"/>
  <c r="W51" i="2" s="1"/>
  <c r="AL26" i="2"/>
  <c r="U44" i="2"/>
  <c r="W44" i="2" s="1"/>
  <c r="U117" i="2"/>
  <c r="W117" i="2" s="1"/>
  <c r="U116" i="2"/>
  <c r="W116" i="2" s="1"/>
  <c r="U69" i="2"/>
  <c r="W69" i="2" s="1"/>
  <c r="U61" i="2"/>
  <c r="W61" i="2" s="1"/>
  <c r="U22" i="2"/>
  <c r="W22" i="2" s="1"/>
  <c r="U37" i="2"/>
  <c r="W37" i="2" s="1"/>
  <c r="AB22" i="2"/>
  <c r="U40" i="2"/>
  <c r="W40" i="2" s="1"/>
  <c r="V59" i="2"/>
  <c r="X59" i="2" s="1"/>
  <c r="U25" i="2"/>
  <c r="W25" i="2" s="1"/>
  <c r="V26" i="2"/>
  <c r="X26" i="2" s="1"/>
  <c r="V105" i="2"/>
  <c r="X105" i="2" s="1"/>
  <c r="AI22" i="2"/>
  <c r="V25" i="2"/>
  <c r="X25" i="2" s="1"/>
  <c r="U29" i="2"/>
  <c r="U28" i="2"/>
  <c r="W28" i="2" s="1"/>
  <c r="V24" i="2"/>
  <c r="X24" i="2" s="1"/>
  <c r="V57" i="2"/>
  <c r="X57" i="2" s="1"/>
  <c r="U64" i="2"/>
  <c r="W64" i="2" s="1"/>
  <c r="V34" i="2"/>
  <c r="X34" i="2" s="1"/>
  <c r="U35" i="2"/>
  <c r="W35" i="2" s="1"/>
  <c r="U27" i="2"/>
  <c r="W27" i="2" s="1"/>
  <c r="V29" i="2"/>
  <c r="X29" i="2" s="1"/>
  <c r="U24" i="2"/>
  <c r="W24" i="2" s="1"/>
  <c r="V22" i="2"/>
  <c r="X22" i="2" s="1"/>
  <c r="V28" i="2"/>
  <c r="X28" i="2" s="1"/>
  <c r="U36" i="2"/>
  <c r="W36" i="2" s="1"/>
  <c r="AI29" i="2"/>
  <c r="AL29" i="2"/>
  <c r="V23" i="2"/>
  <c r="X23" i="2" s="1"/>
  <c r="U23" i="2"/>
  <c r="W23" i="2" s="1"/>
  <c r="U26" i="2"/>
  <c r="W26" i="2" s="1"/>
  <c r="U32" i="2"/>
  <c r="W32" i="2" s="1"/>
  <c r="AI28" i="2"/>
  <c r="AL28" i="2"/>
  <c r="W41" i="2"/>
  <c r="W59" i="2"/>
  <c r="W121" i="2"/>
  <c r="W106" i="2"/>
  <c r="W33" i="2"/>
  <c r="W105" i="2"/>
  <c r="W56" i="2"/>
  <c r="W57" i="2"/>
  <c r="U50" i="2" l="1"/>
  <c r="W50" i="2" s="1"/>
  <c r="V52" i="2"/>
  <c r="X52" i="2" s="1"/>
  <c r="D26" i="5"/>
  <c r="F96" i="5"/>
  <c r="V48" i="2"/>
  <c r="X48" i="2" s="1"/>
  <c r="F67" i="5"/>
  <c r="U49" i="2"/>
  <c r="W49" i="2" s="1"/>
  <c r="F31" i="5"/>
  <c r="D133" i="5"/>
  <c r="D180" i="5"/>
  <c r="F200" i="5"/>
  <c r="F242" i="5"/>
  <c r="F157" i="5"/>
  <c r="F25" i="5"/>
  <c r="D265" i="5"/>
  <c r="N77" i="2"/>
  <c r="L77" i="2" s="1"/>
  <c r="N75" i="2"/>
  <c r="L75" i="2" s="1"/>
  <c r="N74" i="2"/>
  <c r="L74" i="2" s="1"/>
  <c r="N73" i="2"/>
  <c r="L73" i="2" s="1"/>
  <c r="N72" i="2"/>
  <c r="L72" i="2" s="1"/>
  <c r="N76" i="2"/>
  <c r="L76" i="2" s="1"/>
  <c r="N99" i="2"/>
  <c r="L99" i="2" s="1"/>
  <c r="N93" i="2"/>
  <c r="L93" i="2" s="1"/>
  <c r="N89" i="2"/>
  <c r="L89" i="2" s="1"/>
  <c r="G8" i="10"/>
  <c r="N98" i="2"/>
  <c r="L98" i="2" s="1"/>
  <c r="N92" i="2"/>
  <c r="L92" i="2" s="1"/>
  <c r="N88" i="2"/>
  <c r="L88" i="2" s="1"/>
  <c r="N101" i="2"/>
  <c r="L101" i="2" s="1"/>
  <c r="N97" i="2"/>
  <c r="L97" i="2" s="1"/>
  <c r="N91" i="2"/>
  <c r="L91" i="2" s="1"/>
  <c r="N100" i="2"/>
  <c r="L100" i="2" s="1"/>
  <c r="N96" i="2"/>
  <c r="L96" i="2" s="1"/>
  <c r="N90" i="2"/>
  <c r="L90" i="2" s="1"/>
  <c r="E42" i="3"/>
  <c r="F42" i="3" s="1"/>
  <c r="H42" i="3" s="1"/>
  <c r="F53" i="5"/>
  <c r="E63" i="3"/>
  <c r="F63" i="3" s="1"/>
  <c r="H63" i="3" s="1"/>
  <c r="F24" i="5"/>
  <c r="F111" i="5"/>
  <c r="F89" i="5"/>
  <c r="E20" i="3"/>
  <c r="F20" i="3" s="1"/>
  <c r="H20" i="3" s="1"/>
  <c r="B105" i="5"/>
  <c r="E54" i="1"/>
  <c r="D129" i="5"/>
  <c r="D97" i="5"/>
  <c r="F75" i="5"/>
  <c r="F69" i="5"/>
  <c r="AT32" i="2"/>
  <c r="C16" i="12"/>
  <c r="AS48" i="2"/>
  <c r="AU48" i="2" s="1"/>
  <c r="F181" i="5"/>
  <c r="D198" i="5"/>
  <c r="F34" i="5"/>
  <c r="D234" i="5"/>
  <c r="E268" i="5"/>
  <c r="F268" i="5" s="1"/>
  <c r="D112" i="5"/>
  <c r="D177" i="5"/>
  <c r="F171" i="5"/>
  <c r="D28" i="5"/>
  <c r="F49" i="5"/>
  <c r="D260" i="5"/>
  <c r="D276" i="5"/>
  <c r="F170" i="5"/>
  <c r="B168" i="5"/>
  <c r="F113" i="5"/>
  <c r="D54" i="1"/>
  <c r="D54" i="5"/>
  <c r="D116" i="5"/>
  <c r="D173" i="5"/>
  <c r="D225" i="5"/>
  <c r="D135" i="5"/>
  <c r="D218" i="5"/>
  <c r="F218" i="5"/>
  <c r="F213" i="5"/>
  <c r="F11" i="5"/>
  <c r="F217" i="5"/>
  <c r="F87" i="5"/>
  <c r="F158" i="5"/>
  <c r="D8" i="5"/>
  <c r="D30" i="5"/>
  <c r="D47" i="5"/>
  <c r="F309" i="5"/>
  <c r="D119" i="5"/>
  <c r="F77" i="5"/>
  <c r="D66" i="5"/>
  <c r="F5" i="5"/>
  <c r="F174" i="5"/>
  <c r="D179" i="5"/>
  <c r="D141" i="5"/>
  <c r="D50" i="5"/>
  <c r="D18" i="3"/>
  <c r="D45" i="5"/>
  <c r="D32" i="5"/>
  <c r="F52" i="5"/>
  <c r="AS53" i="2"/>
  <c r="AU53" i="2" s="1"/>
  <c r="AS49" i="2"/>
  <c r="AU49" i="2" s="1"/>
  <c r="AS52" i="2"/>
  <c r="AU52" i="2" s="1"/>
  <c r="AS50" i="2"/>
  <c r="AU50" i="2" s="1"/>
  <c r="D94" i="5"/>
  <c r="F94" i="5"/>
  <c r="F236" i="5"/>
  <c r="D303" i="5"/>
  <c r="F13" i="5"/>
  <c r="D136" i="5"/>
  <c r="D27" i="5"/>
  <c r="N5" i="10"/>
  <c r="N4" i="10" s="1"/>
  <c r="AV35" i="2"/>
  <c r="AS35" i="2" s="1"/>
  <c r="AU35" i="2" s="1"/>
  <c r="AV33" i="2"/>
  <c r="AS33" i="2" s="1"/>
  <c r="AU33" i="2" s="1"/>
  <c r="AV37" i="2"/>
  <c r="AS37" i="2" s="1"/>
  <c r="AU37" i="2" s="1"/>
  <c r="AV34" i="2"/>
  <c r="AS34" i="2" s="1"/>
  <c r="AU34" i="2" s="1"/>
  <c r="AV32" i="2"/>
  <c r="AS32" i="2" s="1"/>
  <c r="AU32" i="2" s="1"/>
  <c r="AV36" i="2"/>
  <c r="AS36" i="2" s="1"/>
  <c r="AU36" i="2" s="1"/>
  <c r="D93" i="5"/>
  <c r="F304" i="5"/>
  <c r="B252" i="5"/>
  <c r="B315" i="5"/>
  <c r="B126" i="5"/>
  <c r="I42" i="5"/>
  <c r="D159" i="5"/>
  <c r="D76" i="5"/>
  <c r="B84" i="5"/>
  <c r="F56" i="5"/>
  <c r="B189" i="5"/>
  <c r="B21" i="5"/>
  <c r="B63" i="5"/>
  <c r="D51" i="5"/>
  <c r="F92" i="5"/>
  <c r="B273" i="5"/>
  <c r="B231" i="5"/>
  <c r="B42" i="5"/>
  <c r="B147" i="5"/>
  <c r="B210" i="5"/>
  <c r="F73" i="5"/>
  <c r="D73" i="5"/>
  <c r="F29" i="5"/>
  <c r="D29" i="5"/>
  <c r="F78" i="5"/>
  <c r="D68" i="5"/>
  <c r="F288" i="5"/>
  <c r="F99" i="5"/>
  <c r="E100" i="5"/>
  <c r="D100" i="5" s="1"/>
  <c r="F48" i="5"/>
  <c r="D48" i="5"/>
  <c r="D110" i="5"/>
  <c r="F199" i="5"/>
  <c r="F255" i="5"/>
  <c r="D255" i="5"/>
  <c r="D155" i="5"/>
  <c r="F155" i="5"/>
  <c r="E267" i="5"/>
  <c r="D267" i="5" s="1"/>
  <c r="F152" i="5"/>
  <c r="D152" i="5"/>
  <c r="E79" i="5"/>
  <c r="D79" i="5" s="1"/>
  <c r="D41" i="3"/>
  <c r="I40" i="3"/>
  <c r="F118" i="5"/>
  <c r="D118" i="5"/>
  <c r="D88" i="5"/>
  <c r="F88" i="5"/>
  <c r="L84" i="3"/>
  <c r="M85" i="3" s="1"/>
  <c r="L62" i="3"/>
  <c r="M63" i="3" s="1"/>
  <c r="P63" i="3" s="1"/>
  <c r="C30" i="3"/>
  <c r="K7" i="3"/>
  <c r="O229" i="6"/>
  <c r="G229" i="6"/>
  <c r="C228" i="6"/>
  <c r="L229" i="6"/>
  <c r="E229" i="6"/>
  <c r="R229" i="6"/>
  <c r="E58" i="5"/>
  <c r="E57" i="5"/>
  <c r="E204" i="5"/>
  <c r="E205" i="5"/>
  <c r="E15" i="5"/>
  <c r="E16" i="5"/>
  <c r="E163" i="5"/>
  <c r="E162" i="5"/>
  <c r="R250" i="6"/>
  <c r="E250" i="6"/>
  <c r="O250" i="6"/>
  <c r="L250" i="6"/>
  <c r="G250" i="6"/>
  <c r="C249" i="6"/>
  <c r="R82" i="6"/>
  <c r="E82" i="6"/>
  <c r="O82" i="6"/>
  <c r="L82" i="6"/>
  <c r="G82" i="6"/>
  <c r="C81" i="6"/>
  <c r="D139" i="5"/>
  <c r="F139" i="5"/>
  <c r="E226" i="5"/>
  <c r="O19" i="6"/>
  <c r="C18" i="6"/>
  <c r="R19" i="6"/>
  <c r="G19" i="6"/>
  <c r="L19" i="6"/>
  <c r="E19" i="6"/>
  <c r="J18" i="6"/>
  <c r="E289" i="5"/>
  <c r="E184" i="5"/>
  <c r="E183" i="5"/>
  <c r="E142" i="5"/>
  <c r="I61" i="3"/>
  <c r="D62" i="3"/>
  <c r="H20" i="6"/>
  <c r="L40" i="3"/>
  <c r="M41" i="3" s="1"/>
  <c r="P19" i="3"/>
  <c r="O19" i="3" s="1"/>
  <c r="S19" i="3" s="1"/>
  <c r="L19" i="3"/>
  <c r="M20" i="3" s="1"/>
  <c r="G44" i="10"/>
  <c r="O187" i="6"/>
  <c r="L187" i="6"/>
  <c r="E187" i="6"/>
  <c r="R187" i="6"/>
  <c r="G187" i="6"/>
  <c r="C186" i="6"/>
  <c r="O40" i="6"/>
  <c r="G40" i="6"/>
  <c r="E40" i="6"/>
  <c r="R40" i="6"/>
  <c r="C39" i="6"/>
  <c r="L40" i="6"/>
  <c r="F36" i="5"/>
  <c r="D36" i="5"/>
  <c r="E246" i="5"/>
  <c r="E247" i="5"/>
  <c r="L208" i="6"/>
  <c r="G208" i="6"/>
  <c r="C207" i="6"/>
  <c r="R208" i="6"/>
  <c r="E208" i="6"/>
  <c r="O208" i="6"/>
  <c r="R145" i="6"/>
  <c r="O145" i="6"/>
  <c r="E145" i="6"/>
  <c r="C144" i="6"/>
  <c r="L145" i="6"/>
  <c r="G145" i="6"/>
  <c r="E37" i="5"/>
  <c r="C10" i="3"/>
  <c r="O166" i="6"/>
  <c r="L166" i="6"/>
  <c r="G166" i="6"/>
  <c r="C165" i="6"/>
  <c r="R166" i="6"/>
  <c r="E166" i="6"/>
  <c r="O103" i="6"/>
  <c r="E103" i="6"/>
  <c r="C102" i="6"/>
  <c r="R103" i="6"/>
  <c r="L103" i="6"/>
  <c r="G103" i="6"/>
  <c r="E121" i="5"/>
  <c r="E120" i="5"/>
  <c r="R124" i="6"/>
  <c r="O124" i="6"/>
  <c r="E124" i="6"/>
  <c r="L124" i="6"/>
  <c r="G124" i="6"/>
  <c r="C123" i="6"/>
  <c r="C53" i="3"/>
  <c r="I16" i="3"/>
  <c r="D17" i="3"/>
  <c r="L61" i="6"/>
  <c r="G61" i="6"/>
  <c r="C60" i="6"/>
  <c r="R61" i="6"/>
  <c r="E61" i="6"/>
  <c r="O61" i="6"/>
  <c r="C59" i="5"/>
  <c r="E59" i="5" s="1"/>
  <c r="C38" i="5"/>
  <c r="E38" i="5" s="1"/>
  <c r="C80" i="5"/>
  <c r="E80" i="5" s="1"/>
  <c r="C143" i="5"/>
  <c r="E143" i="5" s="1"/>
  <c r="C101" i="5"/>
  <c r="E101" i="5" s="1"/>
  <c r="D101" i="5" s="1"/>
  <c r="C164" i="5"/>
  <c r="E164" i="5" s="1"/>
  <c r="C122" i="5"/>
  <c r="E122" i="5" s="1"/>
  <c r="C17" i="5"/>
  <c r="E17" i="5" s="1"/>
  <c r="C311" i="5"/>
  <c r="E311" i="5" s="1"/>
  <c r="C227" i="5"/>
  <c r="E227" i="5" s="1"/>
  <c r="F227" i="5" s="1"/>
  <c r="C290" i="5"/>
  <c r="E290" i="5" s="1"/>
  <c r="F290" i="5" s="1"/>
  <c r="C206" i="5"/>
  <c r="E206" i="5" s="1"/>
  <c r="F206" i="5" s="1"/>
  <c r="C269" i="5"/>
  <c r="E269" i="5" s="1"/>
  <c r="C185" i="5"/>
  <c r="E185" i="5" s="1"/>
  <c r="F185" i="5" s="1"/>
  <c r="C248" i="5"/>
  <c r="E248" i="5" s="1"/>
  <c r="E310" i="5"/>
  <c r="B54" i="1"/>
  <c r="D114" i="5"/>
  <c r="F114" i="5"/>
  <c r="D237" i="5"/>
  <c r="F220" i="5"/>
  <c r="D220" i="5"/>
  <c r="F245" i="5"/>
  <c r="D245" i="5"/>
  <c r="N50" i="5"/>
  <c r="I51" i="5"/>
  <c r="F262" i="5"/>
  <c r="D262" i="5"/>
  <c r="F223" i="5"/>
  <c r="D223" i="5"/>
  <c r="F195" i="5"/>
  <c r="D195" i="5"/>
  <c r="F257" i="5"/>
  <c r="D257" i="5"/>
  <c r="F266" i="5"/>
  <c r="D266" i="5"/>
  <c r="D244" i="5"/>
  <c r="F244" i="5"/>
  <c r="S49" i="5"/>
  <c r="T49" i="5"/>
  <c r="U49" i="5"/>
  <c r="Q49" i="5"/>
  <c r="R49" i="5"/>
  <c r="F307" i="5"/>
  <c r="D307" i="5"/>
  <c r="O55" i="5"/>
  <c r="J56" i="5"/>
  <c r="F279" i="5"/>
  <c r="D279" i="5"/>
  <c r="F241" i="5"/>
  <c r="D241" i="5"/>
  <c r="F203" i="5"/>
  <c r="D203" i="5"/>
  <c r="F308" i="5"/>
  <c r="D308" i="5"/>
  <c r="F287" i="5"/>
  <c r="D287" i="5"/>
  <c r="D278" i="5"/>
  <c r="F278" i="5"/>
  <c r="F240" i="5"/>
  <c r="D240" i="5"/>
  <c r="F202" i="5"/>
  <c r="D202" i="5"/>
  <c r="P60" i="5"/>
  <c r="K61" i="5"/>
  <c r="F216" i="5"/>
  <c r="D216" i="5"/>
  <c r="F283" i="5"/>
  <c r="D283" i="5"/>
  <c r="D261" i="5"/>
  <c r="F261" i="5"/>
  <c r="F224" i="5"/>
  <c r="D224" i="5"/>
  <c r="D194" i="5"/>
  <c r="F194" i="5"/>
  <c r="F300" i="5"/>
  <c r="D300" i="5"/>
  <c r="F258" i="5"/>
  <c r="D258" i="5"/>
  <c r="B42" i="2"/>
  <c r="B123" i="2"/>
  <c r="B116" i="2"/>
  <c r="B35" i="2"/>
  <c r="C107" i="2" s="1"/>
  <c r="B124" i="2"/>
  <c r="B67" i="2"/>
  <c r="B114" i="2"/>
  <c r="B56" i="2"/>
  <c r="B107" i="2"/>
  <c r="B51" i="2"/>
  <c r="B53" i="2"/>
  <c r="B108" i="2"/>
  <c r="B61" i="2"/>
  <c r="B37" i="2"/>
  <c r="C109" i="2" s="1"/>
  <c r="B122" i="2"/>
  <c r="B125" i="2"/>
  <c r="B69" i="2"/>
  <c r="B109" i="2"/>
  <c r="B105" i="2"/>
  <c r="B33" i="2"/>
  <c r="C105" i="2" s="1"/>
  <c r="B66" i="2"/>
  <c r="B64" i="2"/>
  <c r="B106" i="2"/>
  <c r="B117" i="2"/>
  <c r="B65" i="2"/>
  <c r="B45" i="2"/>
  <c r="W29" i="2"/>
  <c r="B68" i="2"/>
  <c r="B57" i="2"/>
  <c r="B34" i="2"/>
  <c r="C34" i="2" s="1"/>
  <c r="B104" i="2"/>
  <c r="B113" i="2"/>
  <c r="B44" i="2"/>
  <c r="B43" i="2"/>
  <c r="B40" i="2"/>
  <c r="B36" i="2"/>
  <c r="C36" i="2" s="1"/>
  <c r="B115" i="2"/>
  <c r="B120" i="2"/>
  <c r="B58" i="2"/>
  <c r="B59" i="2"/>
  <c r="B41" i="2"/>
  <c r="B32" i="2"/>
  <c r="B112" i="2"/>
  <c r="B60" i="2"/>
  <c r="B121" i="2"/>
  <c r="B50" i="2"/>
  <c r="B52" i="2" l="1"/>
  <c r="B49" i="2"/>
  <c r="B48" i="2"/>
  <c r="D268" i="5"/>
  <c r="U100" i="2"/>
  <c r="V100" i="2"/>
  <c r="X100" i="2" s="1"/>
  <c r="U88" i="2"/>
  <c r="V88" i="2"/>
  <c r="X88" i="2" s="1"/>
  <c r="V89" i="2"/>
  <c r="X89" i="2" s="1"/>
  <c r="U89" i="2"/>
  <c r="V72" i="2"/>
  <c r="X72" i="2" s="1"/>
  <c r="U72" i="2"/>
  <c r="V77" i="2"/>
  <c r="X77" i="2" s="1"/>
  <c r="U77" i="2"/>
  <c r="V91" i="2"/>
  <c r="X91" i="2" s="1"/>
  <c r="U91" i="2"/>
  <c r="V92" i="2"/>
  <c r="X92" i="2" s="1"/>
  <c r="U92" i="2"/>
  <c r="U93" i="2"/>
  <c r="V93" i="2"/>
  <c r="X93" i="2" s="1"/>
  <c r="V73" i="2"/>
  <c r="X73" i="2" s="1"/>
  <c r="U73" i="2"/>
  <c r="U90" i="2"/>
  <c r="V90" i="2"/>
  <c r="X90" i="2" s="1"/>
  <c r="V97" i="2"/>
  <c r="X97" i="2" s="1"/>
  <c r="U97" i="2"/>
  <c r="V98" i="2"/>
  <c r="X98" i="2" s="1"/>
  <c r="U98" i="2"/>
  <c r="V99" i="2"/>
  <c r="X99" i="2" s="1"/>
  <c r="U99" i="2"/>
  <c r="U74" i="2"/>
  <c r="V74" i="2"/>
  <c r="X74" i="2" s="1"/>
  <c r="U96" i="2"/>
  <c r="V96" i="2"/>
  <c r="X96" i="2" s="1"/>
  <c r="V101" i="2"/>
  <c r="X101" i="2" s="1"/>
  <c r="U101" i="2"/>
  <c r="N80" i="2"/>
  <c r="L80" i="2" s="1"/>
  <c r="G9" i="10"/>
  <c r="G10" i="10" s="1"/>
  <c r="G11" i="10" s="1"/>
  <c r="G12" i="10" s="1"/>
  <c r="N83" i="2"/>
  <c r="L83" i="2" s="1"/>
  <c r="N84" i="2"/>
  <c r="L84" i="2" s="1"/>
  <c r="N81" i="2"/>
  <c r="L81" i="2" s="1"/>
  <c r="N82" i="2"/>
  <c r="L82" i="2" s="1"/>
  <c r="N85" i="2"/>
  <c r="L85" i="2" s="1"/>
  <c r="V76" i="2"/>
  <c r="X76" i="2" s="1"/>
  <c r="U76" i="2"/>
  <c r="V75" i="2"/>
  <c r="X75" i="2" s="1"/>
  <c r="U75" i="2"/>
  <c r="E17" i="3"/>
  <c r="F17" i="3" s="1"/>
  <c r="E18" i="3"/>
  <c r="F18" i="3" s="1"/>
  <c r="H18" i="3" s="1"/>
  <c r="E41" i="3"/>
  <c r="F41" i="3" s="1"/>
  <c r="H41" i="3" s="1"/>
  <c r="E62" i="3"/>
  <c r="F62" i="3" s="1"/>
  <c r="C17" i="12"/>
  <c r="R19" i="3"/>
  <c r="T19" i="3"/>
  <c r="Q19" i="3"/>
  <c r="F267" i="5"/>
  <c r="P18" i="3"/>
  <c r="O18" i="3" s="1"/>
  <c r="S18" i="3" s="1"/>
  <c r="J42" i="5"/>
  <c r="N3" i="10"/>
  <c r="AV68" i="2"/>
  <c r="AS68" i="2" s="1"/>
  <c r="AU68" i="2" s="1"/>
  <c r="AV65" i="2"/>
  <c r="AS65" i="2" s="1"/>
  <c r="AU65" i="2" s="1"/>
  <c r="AV64" i="2"/>
  <c r="AS64" i="2" s="1"/>
  <c r="AU64" i="2" s="1"/>
  <c r="AV67" i="2"/>
  <c r="AS67" i="2" s="1"/>
  <c r="AU67" i="2" s="1"/>
  <c r="AV66" i="2"/>
  <c r="AS66" i="2" s="1"/>
  <c r="AU66" i="2" s="1"/>
  <c r="AV69" i="2"/>
  <c r="AS69" i="2" s="1"/>
  <c r="AU69" i="2" s="1"/>
  <c r="F100" i="5"/>
  <c r="F79" i="5"/>
  <c r="D290" i="5"/>
  <c r="D185" i="5"/>
  <c r="D227" i="5"/>
  <c r="F101" i="5"/>
  <c r="D206" i="5"/>
  <c r="I39" i="3"/>
  <c r="D40" i="3"/>
  <c r="L63" i="3"/>
  <c r="M64" i="3" s="1"/>
  <c r="P64" i="3" s="1"/>
  <c r="O63" i="3"/>
  <c r="U63" i="3" s="1"/>
  <c r="D248" i="5"/>
  <c r="F248" i="5"/>
  <c r="F122" i="5"/>
  <c r="D122" i="5"/>
  <c r="F80" i="5"/>
  <c r="D80" i="5"/>
  <c r="R60" i="6"/>
  <c r="E60" i="6"/>
  <c r="O60" i="6"/>
  <c r="L60" i="6"/>
  <c r="C59" i="6"/>
  <c r="G60" i="6"/>
  <c r="H17" i="3"/>
  <c r="P17" i="3"/>
  <c r="O17" i="3" s="1"/>
  <c r="S17" i="3" s="1"/>
  <c r="D120" i="5"/>
  <c r="F120" i="5"/>
  <c r="G165" i="6"/>
  <c r="C164" i="6"/>
  <c r="R165" i="6"/>
  <c r="E165" i="6"/>
  <c r="O165" i="6"/>
  <c r="L165" i="6"/>
  <c r="D247" i="5"/>
  <c r="F247" i="5"/>
  <c r="P41" i="3"/>
  <c r="O41" i="3" s="1"/>
  <c r="L41" i="3"/>
  <c r="M42" i="3" s="1"/>
  <c r="D289" i="5"/>
  <c r="F289" i="5"/>
  <c r="R18" i="6"/>
  <c r="J17" i="6"/>
  <c r="H143" i="5" s="1"/>
  <c r="G143" i="5" s="1"/>
  <c r="O18" i="6"/>
  <c r="G18" i="6"/>
  <c r="C17" i="6"/>
  <c r="L18" i="6"/>
  <c r="E18" i="6"/>
  <c r="D226" i="5"/>
  <c r="F226" i="5"/>
  <c r="L249" i="6"/>
  <c r="G249" i="6"/>
  <c r="R249" i="6"/>
  <c r="E249" i="6"/>
  <c r="O249" i="6"/>
  <c r="C248" i="6"/>
  <c r="F162" i="5"/>
  <c r="D162" i="5"/>
  <c r="F205" i="5"/>
  <c r="D205" i="5"/>
  <c r="G228" i="6"/>
  <c r="C227" i="6"/>
  <c r="O228" i="6"/>
  <c r="E228" i="6"/>
  <c r="R228" i="6"/>
  <c r="L228" i="6"/>
  <c r="C31" i="3"/>
  <c r="K8" i="3"/>
  <c r="D164" i="5"/>
  <c r="F164" i="5"/>
  <c r="D38" i="5"/>
  <c r="F38" i="5"/>
  <c r="D16" i="3"/>
  <c r="I15" i="3"/>
  <c r="D121" i="5"/>
  <c r="F121" i="5"/>
  <c r="C11" i="3"/>
  <c r="G207" i="6"/>
  <c r="O207" i="6"/>
  <c r="L207" i="6"/>
  <c r="C206" i="6"/>
  <c r="R207" i="6"/>
  <c r="E207" i="6"/>
  <c r="D246" i="5"/>
  <c r="F246" i="5"/>
  <c r="G39" i="6"/>
  <c r="C38" i="6"/>
  <c r="L39" i="6"/>
  <c r="E39" i="6"/>
  <c r="R39" i="6"/>
  <c r="O39" i="6"/>
  <c r="F183" i="5"/>
  <c r="D183" i="5"/>
  <c r="L81" i="6"/>
  <c r="G81" i="6"/>
  <c r="C80" i="6"/>
  <c r="R81" i="6"/>
  <c r="E81" i="6"/>
  <c r="O81" i="6"/>
  <c r="F163" i="5"/>
  <c r="D163" i="5"/>
  <c r="D204" i="5"/>
  <c r="F204" i="5"/>
  <c r="F269" i="5"/>
  <c r="D269" i="5"/>
  <c r="D311" i="5"/>
  <c r="F311" i="5"/>
  <c r="F59" i="5"/>
  <c r="D59" i="5"/>
  <c r="L102" i="6"/>
  <c r="R102" i="6"/>
  <c r="E102" i="6"/>
  <c r="O102" i="6"/>
  <c r="G102" i="6"/>
  <c r="C101" i="6"/>
  <c r="O144" i="6"/>
  <c r="E144" i="6"/>
  <c r="L144" i="6"/>
  <c r="M144" i="6" s="1"/>
  <c r="G144" i="6"/>
  <c r="R144" i="6"/>
  <c r="C143" i="6"/>
  <c r="P20" i="3"/>
  <c r="O20" i="3" s="1"/>
  <c r="S20" i="3" s="1"/>
  <c r="L20" i="3"/>
  <c r="M21" i="3" s="1"/>
  <c r="G45" i="10"/>
  <c r="I20" i="6"/>
  <c r="G41" i="5"/>
  <c r="D61" i="3"/>
  <c r="I60" i="3"/>
  <c r="D184" i="5"/>
  <c r="F184" i="5"/>
  <c r="H19" i="6"/>
  <c r="F16" i="5"/>
  <c r="D16" i="5"/>
  <c r="F57" i="5"/>
  <c r="D57" i="5"/>
  <c r="L85" i="3"/>
  <c r="M86" i="3" s="1"/>
  <c r="D310" i="5"/>
  <c r="F310" i="5"/>
  <c r="D17" i="5"/>
  <c r="F17" i="5"/>
  <c r="D143" i="5"/>
  <c r="F143" i="5"/>
  <c r="C54" i="3"/>
  <c r="O123" i="6"/>
  <c r="E123" i="6"/>
  <c r="C122" i="6"/>
  <c r="L123" i="6"/>
  <c r="G123" i="6"/>
  <c r="R123" i="6"/>
  <c r="F37" i="5"/>
  <c r="D37" i="5"/>
  <c r="G186" i="6"/>
  <c r="C185" i="6"/>
  <c r="R186" i="6"/>
  <c r="E186" i="6"/>
  <c r="O186" i="6"/>
  <c r="L186" i="6"/>
  <c r="C312" i="5"/>
  <c r="E312" i="5" s="1"/>
  <c r="C207" i="5"/>
  <c r="E207" i="5" s="1"/>
  <c r="C123" i="5"/>
  <c r="E123" i="5" s="1"/>
  <c r="C228" i="5"/>
  <c r="E228" i="5" s="1"/>
  <c r="C165" i="5"/>
  <c r="E165" i="5" s="1"/>
  <c r="C270" i="5"/>
  <c r="E270" i="5" s="1"/>
  <c r="C60" i="5"/>
  <c r="E60" i="5" s="1"/>
  <c r="C144" i="5"/>
  <c r="E144" i="5" s="1"/>
  <c r="C249" i="5"/>
  <c r="E249" i="5" s="1"/>
  <c r="C102" i="5"/>
  <c r="E102" i="5" s="1"/>
  <c r="C291" i="5"/>
  <c r="E291" i="5" s="1"/>
  <c r="C39" i="5"/>
  <c r="E39" i="5" s="1"/>
  <c r="C81" i="5"/>
  <c r="E81" i="5" s="1"/>
  <c r="C186" i="5"/>
  <c r="E186" i="5" s="1"/>
  <c r="C18" i="5"/>
  <c r="E18" i="5" s="1"/>
  <c r="F142" i="5"/>
  <c r="D142" i="5"/>
  <c r="D15" i="5"/>
  <c r="F15" i="5"/>
  <c r="D58" i="5"/>
  <c r="F58" i="5"/>
  <c r="H144" i="5"/>
  <c r="G144" i="5" s="1"/>
  <c r="H147" i="5"/>
  <c r="G147" i="5" s="1"/>
  <c r="H145" i="5"/>
  <c r="G145" i="5" s="1"/>
  <c r="H146" i="5"/>
  <c r="G146" i="5" s="1"/>
  <c r="O56" i="5"/>
  <c r="J57" i="5"/>
  <c r="R50" i="5"/>
  <c r="S50" i="5"/>
  <c r="U50" i="5"/>
  <c r="T50" i="5"/>
  <c r="Q50" i="5"/>
  <c r="P61" i="5"/>
  <c r="K62" i="5"/>
  <c r="N51" i="5"/>
  <c r="I52" i="5"/>
  <c r="C33" i="2"/>
  <c r="C81" i="2" s="1"/>
  <c r="C35" i="2"/>
  <c r="C59" i="2" s="1"/>
  <c r="C106" i="2"/>
  <c r="C37" i="2"/>
  <c r="C61" i="2" s="1"/>
  <c r="C108" i="2"/>
  <c r="C104" i="2"/>
  <c r="C32" i="2"/>
  <c r="C82" i="2"/>
  <c r="C58" i="2"/>
  <c r="C42" i="2"/>
  <c r="C84" i="2"/>
  <c r="C60" i="2"/>
  <c r="C44" i="2"/>
  <c r="V84" i="2" l="1"/>
  <c r="X84" i="2" s="1"/>
  <c r="U84" i="2"/>
  <c r="W101" i="2"/>
  <c r="B101" i="2"/>
  <c r="W98" i="2"/>
  <c r="B98" i="2"/>
  <c r="W91" i="2"/>
  <c r="B91" i="2"/>
  <c r="W72" i="2"/>
  <c r="B72" i="2"/>
  <c r="W75" i="2"/>
  <c r="B75" i="2"/>
  <c r="U85" i="2"/>
  <c r="V85" i="2"/>
  <c r="X85" i="2" s="1"/>
  <c r="V83" i="2"/>
  <c r="X83" i="2" s="1"/>
  <c r="U83" i="2"/>
  <c r="W74" i="2"/>
  <c r="B74" i="2"/>
  <c r="W90" i="2"/>
  <c r="B90" i="2"/>
  <c r="W93" i="2"/>
  <c r="B93" i="2"/>
  <c r="W88" i="2"/>
  <c r="B88" i="2"/>
  <c r="V82" i="2"/>
  <c r="X82" i="2" s="1"/>
  <c r="U82" i="2"/>
  <c r="W99" i="2"/>
  <c r="B99" i="2"/>
  <c r="W97" i="2"/>
  <c r="B97" i="2"/>
  <c r="W73" i="2"/>
  <c r="B73" i="2"/>
  <c r="B92" i="2"/>
  <c r="W92" i="2"/>
  <c r="W77" i="2"/>
  <c r="B77" i="2"/>
  <c r="W89" i="2"/>
  <c r="B89" i="2"/>
  <c r="W76" i="2"/>
  <c r="B76" i="2"/>
  <c r="V81" i="2"/>
  <c r="X81" i="2" s="1"/>
  <c r="U81" i="2"/>
  <c r="V80" i="2"/>
  <c r="X80" i="2" s="1"/>
  <c r="U80" i="2"/>
  <c r="W96" i="2"/>
  <c r="B96" i="2"/>
  <c r="W100" i="2"/>
  <c r="B100" i="2"/>
  <c r="E16" i="3"/>
  <c r="F16" i="3" s="1"/>
  <c r="H62" i="3"/>
  <c r="P62" i="3"/>
  <c r="O62" i="3" s="1"/>
  <c r="U62" i="3" s="1"/>
  <c r="E61" i="3"/>
  <c r="F61" i="3" s="1"/>
  <c r="P61" i="3" s="1"/>
  <c r="E40" i="3"/>
  <c r="F40" i="3" s="1"/>
  <c r="C18" i="12"/>
  <c r="R41" i="3"/>
  <c r="U41" i="3"/>
  <c r="Q41" i="3"/>
  <c r="S41" i="3"/>
  <c r="Q63" i="3"/>
  <c r="R63" i="3"/>
  <c r="S63" i="3"/>
  <c r="S207" i="6" s="1"/>
  <c r="R17" i="3"/>
  <c r="T17" i="3"/>
  <c r="Q17" i="3"/>
  <c r="R18" i="3"/>
  <c r="Q18" i="3"/>
  <c r="C61" i="4" s="1"/>
  <c r="T18" i="3"/>
  <c r="R20" i="3"/>
  <c r="Q20" i="3"/>
  <c r="T20" i="3"/>
  <c r="N2" i="10"/>
  <c r="AV93" i="2"/>
  <c r="AS93" i="2" s="1"/>
  <c r="AU93" i="2" s="1"/>
  <c r="AV85" i="2"/>
  <c r="AS85" i="2" s="1"/>
  <c r="AU85" i="2" s="1"/>
  <c r="AV80" i="2"/>
  <c r="AS80" i="2" s="1"/>
  <c r="AU80" i="2" s="1"/>
  <c r="AV99" i="2"/>
  <c r="AS99" i="2" s="1"/>
  <c r="AU99" i="2" s="1"/>
  <c r="AV88" i="2"/>
  <c r="AS88" i="2" s="1"/>
  <c r="AU88" i="2" s="1"/>
  <c r="AV97" i="2"/>
  <c r="AS97" i="2" s="1"/>
  <c r="AU97" i="2" s="1"/>
  <c r="AV82" i="2"/>
  <c r="AS82" i="2" s="1"/>
  <c r="AU82" i="2" s="1"/>
  <c r="AV59" i="2"/>
  <c r="AS59" i="2" s="1"/>
  <c r="AU59" i="2" s="1"/>
  <c r="AV83" i="2"/>
  <c r="AS83" i="2" s="1"/>
  <c r="AU83" i="2" s="1"/>
  <c r="AV90" i="2"/>
  <c r="AS90" i="2" s="1"/>
  <c r="AU90" i="2" s="1"/>
  <c r="AV84" i="2"/>
  <c r="AS84" i="2" s="1"/>
  <c r="AU84" i="2" s="1"/>
  <c r="AV56" i="2"/>
  <c r="AS56" i="2" s="1"/>
  <c r="AU56" i="2" s="1"/>
  <c r="AV89" i="2"/>
  <c r="AS89" i="2" s="1"/>
  <c r="AU89" i="2" s="1"/>
  <c r="AV57" i="2"/>
  <c r="AS57" i="2" s="1"/>
  <c r="AU57" i="2" s="1"/>
  <c r="AV96" i="2"/>
  <c r="AS96" i="2" s="1"/>
  <c r="AU96" i="2" s="1"/>
  <c r="AV91" i="2"/>
  <c r="AS91" i="2" s="1"/>
  <c r="AU91" i="2" s="1"/>
  <c r="AV92" i="2"/>
  <c r="AS92" i="2" s="1"/>
  <c r="AU92" i="2" s="1"/>
  <c r="AV100" i="2"/>
  <c r="AS100" i="2" s="1"/>
  <c r="AU100" i="2" s="1"/>
  <c r="AV60" i="2"/>
  <c r="AS60" i="2" s="1"/>
  <c r="AU60" i="2" s="1"/>
  <c r="AV61" i="2"/>
  <c r="AS61" i="2" s="1"/>
  <c r="AU61" i="2" s="1"/>
  <c r="AV101" i="2"/>
  <c r="AS101" i="2" s="1"/>
  <c r="AU101" i="2" s="1"/>
  <c r="AV81" i="2"/>
  <c r="AS81" i="2" s="1"/>
  <c r="AU81" i="2" s="1"/>
  <c r="AV58" i="2"/>
  <c r="AS58" i="2" s="1"/>
  <c r="AU58" i="2" s="1"/>
  <c r="AV98" i="2"/>
  <c r="AS98" i="2" s="1"/>
  <c r="AU98" i="2" s="1"/>
  <c r="M102" i="6"/>
  <c r="M123" i="6"/>
  <c r="M81" i="6"/>
  <c r="M186" i="6"/>
  <c r="H40" i="3"/>
  <c r="P40" i="3"/>
  <c r="O40" i="3" s="1"/>
  <c r="H18" i="6"/>
  <c r="G39" i="5" s="1"/>
  <c r="D39" i="3"/>
  <c r="I38" i="3"/>
  <c r="L86" i="3"/>
  <c r="M87" i="3" s="1"/>
  <c r="O64" i="3"/>
  <c r="U64" i="3" s="1"/>
  <c r="L64" i="3"/>
  <c r="M65" i="3" s="1"/>
  <c r="P65" i="3" s="1"/>
  <c r="D165" i="5"/>
  <c r="F165" i="5"/>
  <c r="C13" i="3"/>
  <c r="C12" i="3"/>
  <c r="D15" i="3"/>
  <c r="I14" i="3"/>
  <c r="I13" i="3" s="1"/>
  <c r="I12" i="3" s="1"/>
  <c r="I11" i="3" s="1"/>
  <c r="I10" i="3" s="1"/>
  <c r="R248" i="6"/>
  <c r="E248" i="6"/>
  <c r="L248" i="6"/>
  <c r="M248" i="6" s="1"/>
  <c r="O248" i="6"/>
  <c r="G248" i="6"/>
  <c r="C247" i="6"/>
  <c r="P144" i="6"/>
  <c r="D18" i="5"/>
  <c r="F18" i="5"/>
  <c r="D60" i="5"/>
  <c r="F60" i="5"/>
  <c r="F123" i="5"/>
  <c r="D123" i="5"/>
  <c r="F186" i="5"/>
  <c r="D186" i="5"/>
  <c r="F102" i="5"/>
  <c r="D102" i="5"/>
  <c r="F270" i="5"/>
  <c r="D270" i="5"/>
  <c r="F207" i="5"/>
  <c r="D207" i="5"/>
  <c r="H41" i="5"/>
  <c r="D87" i="3"/>
  <c r="E87" i="3" s="1"/>
  <c r="F87" i="3" s="1"/>
  <c r="L143" i="6"/>
  <c r="G143" i="6"/>
  <c r="R143" i="6"/>
  <c r="O143" i="6"/>
  <c r="E143" i="6"/>
  <c r="C142" i="6"/>
  <c r="C41" i="4"/>
  <c r="C20" i="4"/>
  <c r="C62" i="4"/>
  <c r="C251" i="4"/>
  <c r="C167" i="4"/>
  <c r="C83" i="4"/>
  <c r="C314" i="4"/>
  <c r="C230" i="4"/>
  <c r="C146" i="4"/>
  <c r="C293" i="4"/>
  <c r="C209" i="4"/>
  <c r="C125" i="4"/>
  <c r="C188" i="4"/>
  <c r="C104" i="4"/>
  <c r="C272" i="4"/>
  <c r="E17" i="6"/>
  <c r="L17" i="6"/>
  <c r="R17" i="6"/>
  <c r="O17" i="6"/>
  <c r="G17" i="6"/>
  <c r="J16" i="6"/>
  <c r="H142" i="5" s="1"/>
  <c r="G142" i="5" s="1"/>
  <c r="C16" i="6"/>
  <c r="P42" i="3"/>
  <c r="O42" i="3" s="1"/>
  <c r="L42" i="3"/>
  <c r="M43" i="3" s="1"/>
  <c r="M165" i="6"/>
  <c r="O164" i="6"/>
  <c r="L164" i="6"/>
  <c r="G164" i="6"/>
  <c r="C163" i="6"/>
  <c r="R164" i="6"/>
  <c r="E164" i="6"/>
  <c r="F81" i="5"/>
  <c r="D81" i="5"/>
  <c r="R206" i="6"/>
  <c r="O206" i="6"/>
  <c r="E206" i="6"/>
  <c r="L206" i="6"/>
  <c r="G206" i="6"/>
  <c r="C205" i="6"/>
  <c r="F39" i="5"/>
  <c r="D39" i="5"/>
  <c r="D144" i="5"/>
  <c r="F144" i="5"/>
  <c r="F228" i="5"/>
  <c r="D228" i="5"/>
  <c r="L122" i="6"/>
  <c r="M122" i="6" s="1"/>
  <c r="R122" i="6"/>
  <c r="E122" i="6"/>
  <c r="O122" i="6"/>
  <c r="G122" i="6"/>
  <c r="C121" i="6"/>
  <c r="I59" i="3"/>
  <c r="D60" i="3"/>
  <c r="C313" i="5"/>
  <c r="E313" i="5" s="1"/>
  <c r="C187" i="5"/>
  <c r="E187" i="5" s="1"/>
  <c r="C82" i="5"/>
  <c r="E82" i="5" s="1"/>
  <c r="C208" i="5"/>
  <c r="E208" i="5" s="1"/>
  <c r="C145" i="5"/>
  <c r="E145" i="5" s="1"/>
  <c r="C124" i="5"/>
  <c r="E124" i="5" s="1"/>
  <c r="C103" i="5"/>
  <c r="E103" i="5" s="1"/>
  <c r="C40" i="5"/>
  <c r="E40" i="5" s="1"/>
  <c r="C292" i="5"/>
  <c r="E292" i="5" s="1"/>
  <c r="C271" i="5"/>
  <c r="E271" i="5" s="1"/>
  <c r="C229" i="5"/>
  <c r="E229" i="5" s="1"/>
  <c r="C166" i="5"/>
  <c r="E166" i="5" s="1"/>
  <c r="C19" i="5"/>
  <c r="E19" i="5" s="1"/>
  <c r="C250" i="5"/>
  <c r="E250" i="5" s="1"/>
  <c r="C61" i="5"/>
  <c r="E61" i="5" s="1"/>
  <c r="S81" i="6"/>
  <c r="M39" i="6"/>
  <c r="M207" i="6"/>
  <c r="P16" i="3"/>
  <c r="O16" i="3" s="1"/>
  <c r="S16" i="3" s="1"/>
  <c r="H16" i="3"/>
  <c r="M249" i="6"/>
  <c r="L59" i="6"/>
  <c r="G59" i="6"/>
  <c r="C58" i="6"/>
  <c r="R59" i="6"/>
  <c r="E59" i="6"/>
  <c r="O59" i="6"/>
  <c r="F249" i="5"/>
  <c r="D249" i="5"/>
  <c r="D312" i="5"/>
  <c r="F312" i="5"/>
  <c r="C55" i="3"/>
  <c r="L21" i="3"/>
  <c r="M22" i="3" s="1"/>
  <c r="P21" i="3"/>
  <c r="O21" i="3" s="1"/>
  <c r="S21" i="3" s="1"/>
  <c r="G46" i="10"/>
  <c r="C32" i="3"/>
  <c r="K9" i="3"/>
  <c r="I18" i="6"/>
  <c r="F291" i="5"/>
  <c r="D291" i="5"/>
  <c r="O185" i="6"/>
  <c r="L185" i="6"/>
  <c r="R185" i="6"/>
  <c r="G185" i="6"/>
  <c r="C184" i="6"/>
  <c r="E185" i="6"/>
  <c r="I19" i="6"/>
  <c r="G40" i="5"/>
  <c r="H61" i="3"/>
  <c r="O61" i="3"/>
  <c r="U61" i="3" s="1"/>
  <c r="G101" i="6"/>
  <c r="L101" i="6"/>
  <c r="C100" i="6"/>
  <c r="R101" i="6"/>
  <c r="E101" i="6"/>
  <c r="O101" i="6"/>
  <c r="R80" i="6"/>
  <c r="E80" i="6"/>
  <c r="O80" i="6"/>
  <c r="L80" i="6"/>
  <c r="G80" i="6"/>
  <c r="C79" i="6"/>
  <c r="O38" i="6"/>
  <c r="L38" i="6"/>
  <c r="G38" i="6"/>
  <c r="E38" i="6"/>
  <c r="R38" i="6"/>
  <c r="C37" i="6"/>
  <c r="M228" i="6"/>
  <c r="O227" i="6"/>
  <c r="G227" i="6"/>
  <c r="C226" i="6"/>
  <c r="R227" i="6"/>
  <c r="L227" i="6"/>
  <c r="E227" i="6"/>
  <c r="M18" i="6"/>
  <c r="M60" i="6"/>
  <c r="O57" i="5"/>
  <c r="J58" i="5"/>
  <c r="N52" i="5"/>
  <c r="I53" i="5"/>
  <c r="P62" i="5"/>
  <c r="K63" i="5"/>
  <c r="P63" i="5" s="1"/>
  <c r="T51" i="5"/>
  <c r="S51" i="5"/>
  <c r="U51" i="5"/>
  <c r="Q51" i="5"/>
  <c r="R51" i="5"/>
  <c r="C57" i="2"/>
  <c r="C41" i="2"/>
  <c r="C89" i="2" s="1"/>
  <c r="C85" i="2"/>
  <c r="C43" i="2"/>
  <c r="C91" i="2" s="1"/>
  <c r="C83" i="2"/>
  <c r="C45" i="2"/>
  <c r="C53" i="2" s="1"/>
  <c r="C80" i="2"/>
  <c r="C56" i="2"/>
  <c r="C116" i="2"/>
  <c r="C92" i="2"/>
  <c r="C68" i="2"/>
  <c r="C52" i="2"/>
  <c r="C114" i="2"/>
  <c r="C90" i="2"/>
  <c r="C66" i="2"/>
  <c r="C50" i="2"/>
  <c r="R62" i="3" l="1"/>
  <c r="Q62" i="3"/>
  <c r="W83" i="2"/>
  <c r="B83" i="2"/>
  <c r="S62" i="3"/>
  <c r="S101" i="6" s="1"/>
  <c r="W81" i="2"/>
  <c r="B81" i="2"/>
  <c r="W82" i="2"/>
  <c r="B82" i="2"/>
  <c r="W84" i="2"/>
  <c r="B84" i="2"/>
  <c r="W80" i="2"/>
  <c r="B80" i="2"/>
  <c r="W85" i="2"/>
  <c r="B85" i="2"/>
  <c r="M227" i="6"/>
  <c r="M185" i="6"/>
  <c r="M59" i="6"/>
  <c r="M164" i="6"/>
  <c r="E60" i="3"/>
  <c r="F60" i="3" s="1"/>
  <c r="P60" i="3" s="1"/>
  <c r="E39" i="3"/>
  <c r="F39" i="3" s="1"/>
  <c r="C292" i="4"/>
  <c r="E15" i="3"/>
  <c r="F15" i="3" s="1"/>
  <c r="M143" i="6"/>
  <c r="C124" i="4"/>
  <c r="C19" i="12"/>
  <c r="M38" i="6"/>
  <c r="M80" i="6"/>
  <c r="M101" i="6"/>
  <c r="C250" i="4"/>
  <c r="C271" i="4"/>
  <c r="M206" i="6"/>
  <c r="M17" i="6"/>
  <c r="C103" i="4"/>
  <c r="C229" i="4"/>
  <c r="C208" i="4"/>
  <c r="C166" i="4"/>
  <c r="C82" i="4"/>
  <c r="C145" i="4"/>
  <c r="C19" i="4"/>
  <c r="S186" i="6"/>
  <c r="C313" i="4"/>
  <c r="C187" i="4"/>
  <c r="C40" i="4"/>
  <c r="Q42" i="3"/>
  <c r="U42" i="3"/>
  <c r="R42" i="3"/>
  <c r="S42" i="3"/>
  <c r="U40" i="3"/>
  <c r="S40" i="3"/>
  <c r="P38" i="6" s="1"/>
  <c r="Q40" i="3"/>
  <c r="R40" i="3"/>
  <c r="S64" i="3"/>
  <c r="Q64" i="3"/>
  <c r="R64" i="3"/>
  <c r="S61" i="3"/>
  <c r="Q61" i="3"/>
  <c r="R61" i="3"/>
  <c r="R16" i="3"/>
  <c r="Q16" i="3"/>
  <c r="T16" i="3"/>
  <c r="R21" i="3"/>
  <c r="Q21" i="3"/>
  <c r="T21" i="3"/>
  <c r="S123" i="6"/>
  <c r="S60" i="6"/>
  <c r="AV76" i="2"/>
  <c r="AS76" i="2" s="1"/>
  <c r="AU76" i="2" s="1"/>
  <c r="AV72" i="2"/>
  <c r="AS72" i="2" s="1"/>
  <c r="AU72" i="2" s="1"/>
  <c r="AV74" i="2"/>
  <c r="AS74" i="2" s="1"/>
  <c r="AU74" i="2" s="1"/>
  <c r="AV77" i="2"/>
  <c r="AS77" i="2" s="1"/>
  <c r="AU77" i="2" s="1"/>
  <c r="AV75" i="2"/>
  <c r="AS75" i="2" s="1"/>
  <c r="AU75" i="2" s="1"/>
  <c r="AV73" i="2"/>
  <c r="AS73" i="2" s="1"/>
  <c r="AU73" i="2" s="1"/>
  <c r="S185" i="6"/>
  <c r="S38" i="6"/>
  <c r="S59" i="6"/>
  <c r="S164" i="6"/>
  <c r="S17" i="6"/>
  <c r="S227" i="6"/>
  <c r="S122" i="6"/>
  <c r="P228" i="6"/>
  <c r="S165" i="6"/>
  <c r="P186" i="6"/>
  <c r="P39" i="6"/>
  <c r="P60" i="6"/>
  <c r="P81" i="6"/>
  <c r="T81" i="6" s="1"/>
  <c r="S102" i="6"/>
  <c r="P102" i="6"/>
  <c r="P18" i="6"/>
  <c r="P207" i="6"/>
  <c r="T207" i="6" s="1"/>
  <c r="P249" i="6"/>
  <c r="P165" i="6"/>
  <c r="P123" i="6"/>
  <c r="N87" i="3"/>
  <c r="H39" i="3"/>
  <c r="P39" i="3"/>
  <c r="O39" i="3" s="1"/>
  <c r="D11" i="3"/>
  <c r="I37" i="3"/>
  <c r="D38" i="3"/>
  <c r="L22" i="3"/>
  <c r="P22" i="3"/>
  <c r="G47" i="10"/>
  <c r="P43" i="3"/>
  <c r="O43" i="3" s="1"/>
  <c r="L43" i="3"/>
  <c r="M44" i="3" s="1"/>
  <c r="C270" i="4"/>
  <c r="C312" i="4"/>
  <c r="C207" i="4"/>
  <c r="C60" i="4"/>
  <c r="C186" i="4"/>
  <c r="C228" i="4"/>
  <c r="C123" i="4"/>
  <c r="C39" i="4"/>
  <c r="C249" i="4"/>
  <c r="C144" i="4"/>
  <c r="C102" i="4"/>
  <c r="C18" i="4"/>
  <c r="C165" i="4"/>
  <c r="C291" i="4"/>
  <c r="C81" i="4"/>
  <c r="U18" i="6"/>
  <c r="G226" i="6"/>
  <c r="C225" i="6"/>
  <c r="O226" i="6"/>
  <c r="R226" i="6"/>
  <c r="L226" i="6"/>
  <c r="M226" i="6" s="1"/>
  <c r="E226" i="6"/>
  <c r="L79" i="6"/>
  <c r="M79" i="6" s="1"/>
  <c r="G79" i="6"/>
  <c r="C78" i="6"/>
  <c r="R79" i="6"/>
  <c r="E79" i="6"/>
  <c r="O79" i="6"/>
  <c r="H40" i="5"/>
  <c r="D86" i="3"/>
  <c r="E86" i="3" s="1"/>
  <c r="F86" i="3" s="1"/>
  <c r="N86" i="3" s="1"/>
  <c r="C272" i="5"/>
  <c r="E272" i="5" s="1"/>
  <c r="C209" i="5"/>
  <c r="E209" i="5" s="1"/>
  <c r="C125" i="5"/>
  <c r="E125" i="5" s="1"/>
  <c r="C62" i="5"/>
  <c r="E62" i="5" s="1"/>
  <c r="C251" i="5"/>
  <c r="E251" i="5" s="1"/>
  <c r="C83" i="5"/>
  <c r="C188" i="5"/>
  <c r="E188" i="5" s="1"/>
  <c r="C104" i="5"/>
  <c r="E104" i="5" s="1"/>
  <c r="C41" i="5"/>
  <c r="E41" i="5" s="1"/>
  <c r="C167" i="5"/>
  <c r="E167" i="5" s="1"/>
  <c r="C230" i="5"/>
  <c r="E230" i="5" s="1"/>
  <c r="C146" i="5"/>
  <c r="E146" i="5" s="1"/>
  <c r="C20" i="5"/>
  <c r="E20" i="5" s="1"/>
  <c r="C314" i="5"/>
  <c r="E314" i="5" s="1"/>
  <c r="C293" i="5"/>
  <c r="E293" i="5" s="1"/>
  <c r="D19" i="5"/>
  <c r="F19" i="5"/>
  <c r="F292" i="5"/>
  <c r="D292" i="5"/>
  <c r="D145" i="5"/>
  <c r="F145" i="5"/>
  <c r="D313" i="5"/>
  <c r="F313" i="5"/>
  <c r="G293" i="4"/>
  <c r="G188" i="4"/>
  <c r="G83" i="4"/>
  <c r="G314" i="4"/>
  <c r="G209" i="4"/>
  <c r="G251" i="4"/>
  <c r="G62" i="4"/>
  <c r="G230" i="4"/>
  <c r="G125" i="4"/>
  <c r="G167" i="4"/>
  <c r="G41" i="4"/>
  <c r="G146" i="4"/>
  <c r="G272" i="4"/>
  <c r="G104" i="4"/>
  <c r="G20" i="4"/>
  <c r="O205" i="6"/>
  <c r="E205" i="6"/>
  <c r="C204" i="6"/>
  <c r="L205" i="6"/>
  <c r="M205" i="6" s="1"/>
  <c r="G205" i="6"/>
  <c r="R205" i="6"/>
  <c r="H17" i="6"/>
  <c r="S39" i="6"/>
  <c r="G271" i="4"/>
  <c r="G313" i="4"/>
  <c r="G82" i="4"/>
  <c r="G208" i="4"/>
  <c r="G187" i="4"/>
  <c r="G229" i="4"/>
  <c r="G61" i="4"/>
  <c r="G124" i="4"/>
  <c r="G250" i="4"/>
  <c r="G145" i="4"/>
  <c r="G40" i="4"/>
  <c r="G19" i="4"/>
  <c r="G166" i="4"/>
  <c r="G103" i="4"/>
  <c r="G292" i="4"/>
  <c r="E20" i="4"/>
  <c r="E104" i="4"/>
  <c r="E314" i="4"/>
  <c r="E209" i="4"/>
  <c r="E83" i="4"/>
  <c r="E230" i="4"/>
  <c r="E125" i="4"/>
  <c r="E251" i="4"/>
  <c r="E62" i="4"/>
  <c r="E146" i="4"/>
  <c r="E272" i="4"/>
  <c r="E167" i="4"/>
  <c r="E41" i="4"/>
  <c r="E293" i="4"/>
  <c r="E188" i="4"/>
  <c r="P15" i="3"/>
  <c r="O15" i="3" s="1"/>
  <c r="S15" i="3" s="1"/>
  <c r="H15" i="3"/>
  <c r="D13" i="3"/>
  <c r="G37" i="6"/>
  <c r="C36" i="6"/>
  <c r="O37" i="6"/>
  <c r="L37" i="6"/>
  <c r="M37" i="6" s="1"/>
  <c r="E37" i="6"/>
  <c r="R37" i="6"/>
  <c r="C33" i="3"/>
  <c r="K10" i="3"/>
  <c r="C57" i="3"/>
  <c r="C56" i="3"/>
  <c r="R58" i="6"/>
  <c r="E58" i="6"/>
  <c r="O58" i="6"/>
  <c r="L58" i="6"/>
  <c r="M58" i="6" s="1"/>
  <c r="G58" i="6"/>
  <c r="C57" i="6"/>
  <c r="D166" i="5"/>
  <c r="F166" i="5"/>
  <c r="F40" i="5"/>
  <c r="D40" i="5"/>
  <c r="F208" i="5"/>
  <c r="D208" i="5"/>
  <c r="H60" i="3"/>
  <c r="O60" i="3"/>
  <c r="U60" i="3" s="1"/>
  <c r="G163" i="6"/>
  <c r="C162" i="6"/>
  <c r="R163" i="6"/>
  <c r="E163" i="6"/>
  <c r="O163" i="6"/>
  <c r="L163" i="6"/>
  <c r="M163" i="6" s="1"/>
  <c r="S18" i="6"/>
  <c r="S249" i="6"/>
  <c r="R142" i="6"/>
  <c r="O142" i="6"/>
  <c r="E142" i="6"/>
  <c r="C141" i="6"/>
  <c r="L142" i="6"/>
  <c r="M142" i="6" s="1"/>
  <c r="G142" i="6"/>
  <c r="C21" i="4"/>
  <c r="C273" i="4"/>
  <c r="C105" i="4"/>
  <c r="C315" i="4"/>
  <c r="C294" i="4"/>
  <c r="C189" i="4"/>
  <c r="C84" i="4"/>
  <c r="C231" i="4"/>
  <c r="C210" i="4"/>
  <c r="C252" i="4"/>
  <c r="C63" i="4"/>
  <c r="C147" i="4"/>
  <c r="C42" i="4"/>
  <c r="C126" i="4"/>
  <c r="C168" i="4"/>
  <c r="B125" i="5"/>
  <c r="B272" i="5"/>
  <c r="B251" i="5"/>
  <c r="B20" i="5"/>
  <c r="B314" i="5"/>
  <c r="B188" i="5"/>
  <c r="B230" i="5"/>
  <c r="B104" i="5"/>
  <c r="B293" i="5"/>
  <c r="B167" i="5"/>
  <c r="B62" i="5"/>
  <c r="B83" i="5"/>
  <c r="B209" i="5"/>
  <c r="B146" i="5"/>
  <c r="B41" i="5"/>
  <c r="L247" i="6"/>
  <c r="M247" i="6" s="1"/>
  <c r="R247" i="6"/>
  <c r="E247" i="6"/>
  <c r="G247" i="6"/>
  <c r="C246" i="6"/>
  <c r="O247" i="6"/>
  <c r="L65" i="3"/>
  <c r="M66" i="3" s="1"/>
  <c r="P66" i="3" s="1"/>
  <c r="O66" i="3" s="1"/>
  <c r="U66" i="3" s="1"/>
  <c r="O65" i="3"/>
  <c r="U65" i="3" s="1"/>
  <c r="R100" i="6"/>
  <c r="O100" i="6"/>
  <c r="E100" i="6"/>
  <c r="L100" i="6"/>
  <c r="M100" i="6" s="1"/>
  <c r="G100" i="6"/>
  <c r="C99" i="6"/>
  <c r="H39" i="5"/>
  <c r="I39" i="5" s="1"/>
  <c r="D85" i="3"/>
  <c r="E85" i="3" s="1"/>
  <c r="F85" i="3" s="1"/>
  <c r="N85" i="3" s="1"/>
  <c r="F61" i="5"/>
  <c r="D61" i="5"/>
  <c r="F229" i="5"/>
  <c r="D229" i="5"/>
  <c r="F103" i="5"/>
  <c r="D103" i="5"/>
  <c r="F82" i="5"/>
  <c r="D82" i="5"/>
  <c r="D59" i="3"/>
  <c r="I58" i="3"/>
  <c r="I57" i="3" s="1"/>
  <c r="I56" i="3" s="1"/>
  <c r="I55" i="3" s="1"/>
  <c r="I54" i="3" s="1"/>
  <c r="L16" i="6"/>
  <c r="M16" i="6" s="1"/>
  <c r="G16" i="6"/>
  <c r="R16" i="6"/>
  <c r="O16" i="6"/>
  <c r="E16" i="6"/>
  <c r="J15" i="6"/>
  <c r="H141" i="5" s="1"/>
  <c r="G141" i="5" s="1"/>
  <c r="C15" i="6"/>
  <c r="S228" i="6"/>
  <c r="S248" i="6"/>
  <c r="C14" i="3"/>
  <c r="D12" i="3"/>
  <c r="L87" i="3"/>
  <c r="M88" i="3" s="1"/>
  <c r="G184" i="6"/>
  <c r="C183" i="6"/>
  <c r="R184" i="6"/>
  <c r="E184" i="6"/>
  <c r="L184" i="6"/>
  <c r="M184" i="6" s="1"/>
  <c r="O184" i="6"/>
  <c r="D250" i="5"/>
  <c r="F250" i="5"/>
  <c r="F271" i="5"/>
  <c r="D271" i="5"/>
  <c r="D124" i="5"/>
  <c r="F124" i="5"/>
  <c r="D187" i="5"/>
  <c r="F187" i="5"/>
  <c r="G121" i="6"/>
  <c r="C120" i="6"/>
  <c r="R121" i="6"/>
  <c r="E121" i="6"/>
  <c r="O121" i="6"/>
  <c r="L121" i="6"/>
  <c r="M121" i="6" s="1"/>
  <c r="S144" i="6"/>
  <c r="T144" i="6" s="1"/>
  <c r="M103" i="6"/>
  <c r="M40" i="6"/>
  <c r="M19" i="6"/>
  <c r="M82" i="6"/>
  <c r="M229" i="6"/>
  <c r="M145" i="6"/>
  <c r="M166" i="6"/>
  <c r="M187" i="6"/>
  <c r="M208" i="6"/>
  <c r="M124" i="6"/>
  <c r="M61" i="6"/>
  <c r="M250" i="6"/>
  <c r="I41" i="5"/>
  <c r="I9" i="3"/>
  <c r="D10" i="3"/>
  <c r="Q52" i="5"/>
  <c r="R52" i="5"/>
  <c r="S52" i="5"/>
  <c r="U52" i="5"/>
  <c r="T52" i="5"/>
  <c r="O58" i="5"/>
  <c r="J59" i="5"/>
  <c r="N53" i="5"/>
  <c r="I54" i="5"/>
  <c r="C65" i="2"/>
  <c r="C49" i="2"/>
  <c r="C121" i="2" s="1"/>
  <c r="C113" i="2"/>
  <c r="C51" i="2"/>
  <c r="C123" i="2" s="1"/>
  <c r="C67" i="2"/>
  <c r="C115" i="2"/>
  <c r="C117" i="2"/>
  <c r="C69" i="2"/>
  <c r="C93" i="2"/>
  <c r="C124" i="2"/>
  <c r="C100" i="2"/>
  <c r="C76" i="2"/>
  <c r="C122" i="2"/>
  <c r="C98" i="2"/>
  <c r="C74" i="2"/>
  <c r="C101" i="2"/>
  <c r="C125" i="2"/>
  <c r="C77" i="2"/>
  <c r="S143" i="6" l="1"/>
  <c r="S80" i="6"/>
  <c r="S206" i="6"/>
  <c r="S121" i="6"/>
  <c r="E38" i="3"/>
  <c r="F38" i="3" s="1"/>
  <c r="E10" i="3"/>
  <c r="F10" i="3" s="1"/>
  <c r="E13" i="3"/>
  <c r="F13" i="3" s="1"/>
  <c r="E11" i="3"/>
  <c r="F11" i="3" s="1"/>
  <c r="E12" i="3"/>
  <c r="F12" i="3" s="1"/>
  <c r="E59" i="3"/>
  <c r="F59" i="3" s="1"/>
  <c r="P59" i="3" s="1"/>
  <c r="U17" i="6"/>
  <c r="C20" i="12"/>
  <c r="T60" i="6"/>
  <c r="T186" i="6"/>
  <c r="R43" i="3"/>
  <c r="S43" i="3"/>
  <c r="U43" i="3"/>
  <c r="Q43" i="3"/>
  <c r="U39" i="3"/>
  <c r="Q39" i="3"/>
  <c r="R39" i="3"/>
  <c r="S39" i="3"/>
  <c r="P226" i="6" s="1"/>
  <c r="R65" i="3"/>
  <c r="S65" i="3"/>
  <c r="Q65" i="3"/>
  <c r="R60" i="3"/>
  <c r="S60" i="3"/>
  <c r="Q60" i="3"/>
  <c r="R15" i="3"/>
  <c r="T15" i="3"/>
  <c r="Q15" i="3"/>
  <c r="P86" i="3"/>
  <c r="O86" i="3"/>
  <c r="T123" i="6"/>
  <c r="P85" i="3"/>
  <c r="O85" i="3"/>
  <c r="P87" i="3"/>
  <c r="O87" i="3"/>
  <c r="H189" i="5"/>
  <c r="O22" i="3"/>
  <c r="S22" i="3" s="1"/>
  <c r="T165" i="6"/>
  <c r="J39" i="5"/>
  <c r="J41" i="5"/>
  <c r="T228" i="6"/>
  <c r="S184" i="6"/>
  <c r="T249" i="6"/>
  <c r="S16" i="6"/>
  <c r="T39" i="6"/>
  <c r="T102" i="6"/>
  <c r="V18" i="6"/>
  <c r="P17" i="6"/>
  <c r="T17" i="6" s="1"/>
  <c r="P185" i="6"/>
  <c r="T185" i="6" s="1"/>
  <c r="P101" i="6"/>
  <c r="T101" i="6" s="1"/>
  <c r="P59" i="6"/>
  <c r="T59" i="6" s="1"/>
  <c r="P80" i="6"/>
  <c r="T80" i="6" s="1"/>
  <c r="P122" i="6"/>
  <c r="T122" i="6" s="1"/>
  <c r="P248" i="6"/>
  <c r="T248" i="6" s="1"/>
  <c r="T38" i="6"/>
  <c r="I36" i="3"/>
  <c r="I35" i="3" s="1"/>
  <c r="I34" i="3" s="1"/>
  <c r="I33" i="3" s="1"/>
  <c r="I32" i="3" s="1"/>
  <c r="D37" i="3"/>
  <c r="P227" i="6"/>
  <c r="T227" i="6" s="1"/>
  <c r="E124" i="4"/>
  <c r="E250" i="4"/>
  <c r="E229" i="4"/>
  <c r="E271" i="4"/>
  <c r="E145" i="4"/>
  <c r="E61" i="4"/>
  <c r="E313" i="4"/>
  <c r="E292" i="4"/>
  <c r="E40" i="4"/>
  <c r="E82" i="4"/>
  <c r="E166" i="4"/>
  <c r="E19" i="4"/>
  <c r="E208" i="4"/>
  <c r="E103" i="4"/>
  <c r="E187" i="4"/>
  <c r="P143" i="6"/>
  <c r="T143" i="6" s="1"/>
  <c r="P164" i="6"/>
  <c r="T164" i="6" s="1"/>
  <c r="H38" i="3"/>
  <c r="P38" i="3"/>
  <c r="O38" i="3" s="1"/>
  <c r="P206" i="6"/>
  <c r="T206" i="6" s="1"/>
  <c r="L66" i="3"/>
  <c r="L44" i="3"/>
  <c r="P44" i="3"/>
  <c r="P12" i="3"/>
  <c r="H12" i="3"/>
  <c r="U16" i="6"/>
  <c r="O99" i="6"/>
  <c r="E99" i="6"/>
  <c r="C98" i="6"/>
  <c r="G99" i="6"/>
  <c r="R99" i="6"/>
  <c r="L99" i="6"/>
  <c r="M99" i="6" s="1"/>
  <c r="R246" i="6"/>
  <c r="E246" i="6"/>
  <c r="L246" i="6"/>
  <c r="M246" i="6" s="1"/>
  <c r="O246" i="6"/>
  <c r="G246" i="6"/>
  <c r="C245" i="6"/>
  <c r="S142" i="6"/>
  <c r="O162" i="6"/>
  <c r="L162" i="6"/>
  <c r="M162" i="6" s="1"/>
  <c r="G162" i="6"/>
  <c r="C161" i="6"/>
  <c r="R162" i="6"/>
  <c r="E162" i="6"/>
  <c r="S37" i="6"/>
  <c r="O36" i="6"/>
  <c r="R36" i="6"/>
  <c r="C35" i="6"/>
  <c r="L36" i="6"/>
  <c r="M36" i="6" s="1"/>
  <c r="G36" i="6"/>
  <c r="E36" i="6"/>
  <c r="G105" i="4"/>
  <c r="G252" i="4"/>
  <c r="G147" i="4"/>
  <c r="G21" i="4"/>
  <c r="G84" i="4"/>
  <c r="G168" i="4"/>
  <c r="G294" i="4"/>
  <c r="G273" i="4"/>
  <c r="G63" i="4"/>
  <c r="G315" i="4"/>
  <c r="G210" i="4"/>
  <c r="G126" i="4"/>
  <c r="G189" i="4"/>
  <c r="G42" i="4"/>
  <c r="G231" i="4"/>
  <c r="S205" i="6"/>
  <c r="F314" i="5"/>
  <c r="D314" i="5"/>
  <c r="F167" i="5"/>
  <c r="D167" i="5"/>
  <c r="E83" i="5"/>
  <c r="D209" i="5"/>
  <c r="F209" i="5"/>
  <c r="B166" i="5"/>
  <c r="B19" i="5"/>
  <c r="B208" i="5"/>
  <c r="B145" i="5"/>
  <c r="B40" i="5"/>
  <c r="B103" i="5"/>
  <c r="B313" i="5"/>
  <c r="B250" i="5"/>
  <c r="B82" i="5"/>
  <c r="B271" i="5"/>
  <c r="B229" i="5"/>
  <c r="B124" i="5"/>
  <c r="B292" i="5"/>
  <c r="B187" i="5"/>
  <c r="B61" i="5"/>
  <c r="R78" i="6"/>
  <c r="E78" i="6"/>
  <c r="O78" i="6"/>
  <c r="L78" i="6"/>
  <c r="M78" i="6" s="1"/>
  <c r="G78" i="6"/>
  <c r="C77" i="6"/>
  <c r="C147" i="5"/>
  <c r="E147" i="5" s="1"/>
  <c r="C105" i="5"/>
  <c r="E105" i="5" s="1"/>
  <c r="C168" i="5"/>
  <c r="E168" i="5" s="1"/>
  <c r="C63" i="5"/>
  <c r="E63" i="5" s="1"/>
  <c r="C42" i="5"/>
  <c r="E42" i="5" s="1"/>
  <c r="C21" i="5"/>
  <c r="E21" i="5" s="1"/>
  <c r="C126" i="5"/>
  <c r="E126" i="5" s="1"/>
  <c r="C84" i="5"/>
  <c r="E84" i="5" s="1"/>
  <c r="C294" i="5"/>
  <c r="E294" i="5" s="1"/>
  <c r="C210" i="5"/>
  <c r="E210" i="5" s="1"/>
  <c r="C273" i="5"/>
  <c r="E273" i="5" s="1"/>
  <c r="C189" i="5"/>
  <c r="E189" i="5" s="1"/>
  <c r="C252" i="5"/>
  <c r="E252" i="5" s="1"/>
  <c r="C315" i="5"/>
  <c r="E315" i="5" s="1"/>
  <c r="C231" i="5"/>
  <c r="E231" i="5" s="1"/>
  <c r="P10" i="3"/>
  <c r="H10" i="3"/>
  <c r="U19" i="6"/>
  <c r="W17" i="6"/>
  <c r="I53" i="3"/>
  <c r="D54" i="3"/>
  <c r="G18" i="4"/>
  <c r="G39" i="4"/>
  <c r="G249" i="4"/>
  <c r="G165" i="4"/>
  <c r="G312" i="4"/>
  <c r="G228" i="4"/>
  <c r="G144" i="4"/>
  <c r="G291" i="4"/>
  <c r="G207" i="4"/>
  <c r="G123" i="4"/>
  <c r="G270" i="4"/>
  <c r="G186" i="4"/>
  <c r="G102" i="4"/>
  <c r="G81" i="4"/>
  <c r="G60" i="4"/>
  <c r="S100" i="6"/>
  <c r="O141" i="6"/>
  <c r="E141" i="6"/>
  <c r="C140" i="6"/>
  <c r="L141" i="6"/>
  <c r="M141" i="6" s="1"/>
  <c r="G141" i="6"/>
  <c r="R141" i="6"/>
  <c r="D56" i="3"/>
  <c r="C58" i="3"/>
  <c r="D58" i="3" s="1"/>
  <c r="M251" i="6"/>
  <c r="M125" i="6"/>
  <c r="M20" i="6"/>
  <c r="M167" i="6"/>
  <c r="M62" i="6"/>
  <c r="M230" i="6"/>
  <c r="M146" i="6"/>
  <c r="M41" i="6"/>
  <c r="M209" i="6"/>
  <c r="M104" i="6"/>
  <c r="M83" i="6"/>
  <c r="M188" i="6"/>
  <c r="C35" i="3"/>
  <c r="C34" i="3"/>
  <c r="K11" i="3"/>
  <c r="P145" i="6"/>
  <c r="P82" i="6"/>
  <c r="P61" i="6"/>
  <c r="P208" i="6"/>
  <c r="P103" i="6"/>
  <c r="P187" i="6"/>
  <c r="P40" i="6"/>
  <c r="P19" i="6"/>
  <c r="P124" i="6"/>
  <c r="P250" i="6"/>
  <c r="P229" i="6"/>
  <c r="P166" i="6"/>
  <c r="D20" i="5"/>
  <c r="F20" i="5"/>
  <c r="D41" i="5"/>
  <c r="F41" i="5"/>
  <c r="D251" i="5"/>
  <c r="F251" i="5"/>
  <c r="F272" i="5"/>
  <c r="D272" i="5"/>
  <c r="S226" i="6"/>
  <c r="I8" i="3"/>
  <c r="D9" i="3"/>
  <c r="O183" i="6"/>
  <c r="L183" i="6"/>
  <c r="M183" i="6" s="1"/>
  <c r="E183" i="6"/>
  <c r="R183" i="6"/>
  <c r="G183" i="6"/>
  <c r="C182" i="6"/>
  <c r="L88" i="3"/>
  <c r="N88" i="3"/>
  <c r="D14" i="3"/>
  <c r="O15" i="6"/>
  <c r="C14" i="6"/>
  <c r="R15" i="6"/>
  <c r="G15" i="6"/>
  <c r="L15" i="6"/>
  <c r="M15" i="6" s="1"/>
  <c r="E15" i="6"/>
  <c r="J14" i="6"/>
  <c r="H140" i="5" s="1"/>
  <c r="G140" i="5" s="1"/>
  <c r="O59" i="3"/>
  <c r="U59" i="3" s="1"/>
  <c r="H59" i="3"/>
  <c r="L57" i="6"/>
  <c r="M57" i="6" s="1"/>
  <c r="G57" i="6"/>
  <c r="C56" i="6"/>
  <c r="R57" i="6"/>
  <c r="E57" i="6"/>
  <c r="O57" i="6"/>
  <c r="D57" i="3"/>
  <c r="S250" i="6"/>
  <c r="S61" i="6"/>
  <c r="S145" i="6"/>
  <c r="S187" i="6"/>
  <c r="S124" i="6"/>
  <c r="S208" i="6"/>
  <c r="S229" i="6"/>
  <c r="S40" i="6"/>
  <c r="S82" i="6"/>
  <c r="S103" i="6"/>
  <c r="S166" i="6"/>
  <c r="S19" i="6"/>
  <c r="P13" i="3"/>
  <c r="H13" i="3"/>
  <c r="F146" i="5"/>
  <c r="D146" i="5"/>
  <c r="D104" i="5"/>
  <c r="F104" i="5"/>
  <c r="D62" i="5"/>
  <c r="F62" i="5"/>
  <c r="I40" i="5"/>
  <c r="R120" i="6"/>
  <c r="L120" i="6"/>
  <c r="M120" i="6" s="1"/>
  <c r="G120" i="6"/>
  <c r="C119" i="6"/>
  <c r="O120" i="6"/>
  <c r="E120" i="6"/>
  <c r="C17" i="4"/>
  <c r="C290" i="4"/>
  <c r="C185" i="4"/>
  <c r="C38" i="4"/>
  <c r="C311" i="4"/>
  <c r="C206" i="4"/>
  <c r="C101" i="4"/>
  <c r="C248" i="4"/>
  <c r="C227" i="4"/>
  <c r="C122" i="4"/>
  <c r="C80" i="4"/>
  <c r="C164" i="4"/>
  <c r="C143" i="4"/>
  <c r="C269" i="4"/>
  <c r="C59" i="4"/>
  <c r="H16" i="6"/>
  <c r="B39" i="5"/>
  <c r="B18" i="5"/>
  <c r="B249" i="5"/>
  <c r="B144" i="5"/>
  <c r="B60" i="5"/>
  <c r="B312" i="5"/>
  <c r="B228" i="5"/>
  <c r="B123" i="5"/>
  <c r="B291" i="5"/>
  <c r="B207" i="5"/>
  <c r="B102" i="5"/>
  <c r="B270" i="5"/>
  <c r="B186" i="5"/>
  <c r="B81" i="5"/>
  <c r="B165" i="5"/>
  <c r="S247" i="6"/>
  <c r="T18" i="6"/>
  <c r="W18" i="6"/>
  <c r="S163" i="6"/>
  <c r="S58" i="6"/>
  <c r="D55" i="3"/>
  <c r="C169" i="4"/>
  <c r="C295" i="4"/>
  <c r="C190" i="4"/>
  <c r="C43" i="4"/>
  <c r="C316" i="4"/>
  <c r="C211" i="4"/>
  <c r="C106" i="4"/>
  <c r="C22" i="4"/>
  <c r="C232" i="4"/>
  <c r="C127" i="4"/>
  <c r="C85" i="4"/>
  <c r="C253" i="4"/>
  <c r="C148" i="4"/>
  <c r="C274" i="4"/>
  <c r="C64" i="4"/>
  <c r="I17" i="6"/>
  <c r="G38" i="5"/>
  <c r="E42" i="4"/>
  <c r="E63" i="4"/>
  <c r="E273" i="4"/>
  <c r="E189" i="4"/>
  <c r="E105" i="4"/>
  <c r="E315" i="4"/>
  <c r="E210" i="4"/>
  <c r="E84" i="4"/>
  <c r="E294" i="4"/>
  <c r="E168" i="4"/>
  <c r="E252" i="4"/>
  <c r="E147" i="4"/>
  <c r="E231" i="4"/>
  <c r="E126" i="4"/>
  <c r="E21" i="4"/>
  <c r="L204" i="6"/>
  <c r="M204" i="6" s="1"/>
  <c r="R204" i="6"/>
  <c r="E204" i="6"/>
  <c r="O204" i="6"/>
  <c r="G204" i="6"/>
  <c r="C203" i="6"/>
  <c r="D293" i="5"/>
  <c r="F293" i="5"/>
  <c r="D230" i="5"/>
  <c r="F230" i="5"/>
  <c r="D188" i="5"/>
  <c r="F188" i="5"/>
  <c r="D125" i="5"/>
  <c r="F125" i="5"/>
  <c r="S79" i="6"/>
  <c r="O225" i="6"/>
  <c r="G225" i="6"/>
  <c r="C224" i="6"/>
  <c r="L225" i="6"/>
  <c r="M225" i="6" s="1"/>
  <c r="E225" i="6"/>
  <c r="R225" i="6"/>
  <c r="S53" i="5"/>
  <c r="U53" i="5"/>
  <c r="Q53" i="5"/>
  <c r="R53" i="5"/>
  <c r="T53" i="5"/>
  <c r="N54" i="5"/>
  <c r="I55" i="5"/>
  <c r="O59" i="5"/>
  <c r="J60" i="5"/>
  <c r="C73" i="2"/>
  <c r="C97" i="2"/>
  <c r="C99" i="2"/>
  <c r="C75" i="2"/>
  <c r="E55" i="3" l="1"/>
  <c r="F55" i="3" s="1"/>
  <c r="P55" i="3" s="1"/>
  <c r="E57" i="3"/>
  <c r="F57" i="3" s="1"/>
  <c r="P57" i="3" s="1"/>
  <c r="E14" i="3"/>
  <c r="F14" i="3" s="1"/>
  <c r="E56" i="3"/>
  <c r="F56" i="3" s="1"/>
  <c r="P56" i="3" s="1"/>
  <c r="E58" i="3"/>
  <c r="F58" i="3" s="1"/>
  <c r="P58" i="3" s="1"/>
  <c r="E54" i="3"/>
  <c r="F54" i="3" s="1"/>
  <c r="P54" i="3" s="1"/>
  <c r="P11" i="3"/>
  <c r="H11" i="3"/>
  <c r="E9" i="3"/>
  <c r="F9" i="3" s="1"/>
  <c r="E37" i="3"/>
  <c r="F37" i="3" s="1"/>
  <c r="S204" i="6"/>
  <c r="C21" i="12"/>
  <c r="U86" i="3"/>
  <c r="Y86" i="3"/>
  <c r="V86" i="3"/>
  <c r="W86" i="3"/>
  <c r="X86" i="3"/>
  <c r="V85" i="3"/>
  <c r="W85" i="3"/>
  <c r="X85" i="3"/>
  <c r="U85" i="3"/>
  <c r="Y85" i="3"/>
  <c r="Q38" i="3"/>
  <c r="U38" i="3"/>
  <c r="R38" i="3"/>
  <c r="S38" i="3"/>
  <c r="P141" i="6" s="1"/>
  <c r="U87" i="3"/>
  <c r="Y87" i="3"/>
  <c r="V87" i="3"/>
  <c r="W87" i="3"/>
  <c r="X87" i="3"/>
  <c r="S59" i="3"/>
  <c r="Q59" i="3"/>
  <c r="R59" i="3"/>
  <c r="R22" i="3"/>
  <c r="M63" i="6"/>
  <c r="T22" i="3"/>
  <c r="Q22" i="3"/>
  <c r="C275" i="4" s="1"/>
  <c r="P88" i="3"/>
  <c r="O88" i="3"/>
  <c r="I189" i="5"/>
  <c r="O44" i="3"/>
  <c r="H180" i="5"/>
  <c r="O13" i="3"/>
  <c r="H177" i="5"/>
  <c r="O10" i="3"/>
  <c r="H179" i="5"/>
  <c r="O12" i="3"/>
  <c r="J189" i="5"/>
  <c r="J40" i="5"/>
  <c r="J182" i="5"/>
  <c r="H182" i="5"/>
  <c r="S225" i="6"/>
  <c r="S120" i="6"/>
  <c r="D33" i="3"/>
  <c r="T124" i="6"/>
  <c r="S57" i="6"/>
  <c r="T145" i="6"/>
  <c r="T103" i="6"/>
  <c r="T229" i="6"/>
  <c r="T40" i="6"/>
  <c r="T208" i="6"/>
  <c r="T61" i="6"/>
  <c r="P163" i="6"/>
  <c r="T163" i="6" s="1"/>
  <c r="P205" i="6"/>
  <c r="T205" i="6" s="1"/>
  <c r="T250" i="6"/>
  <c r="T82" i="6"/>
  <c r="P100" i="6"/>
  <c r="T100" i="6" s="1"/>
  <c r="H37" i="3"/>
  <c r="P37" i="3"/>
  <c r="P37" i="6"/>
  <c r="T37" i="6" s="1"/>
  <c r="T226" i="6"/>
  <c r="P79" i="6"/>
  <c r="T79" i="6" s="1"/>
  <c r="P121" i="6"/>
  <c r="T121" i="6" s="1"/>
  <c r="P247" i="6"/>
  <c r="T247" i="6" s="1"/>
  <c r="I31" i="3"/>
  <c r="D32" i="3"/>
  <c r="V17" i="6"/>
  <c r="E291" i="4"/>
  <c r="E102" i="4"/>
  <c r="E81" i="4"/>
  <c r="E60" i="4"/>
  <c r="E39" i="4"/>
  <c r="E270" i="4"/>
  <c r="E186" i="4"/>
  <c r="E18" i="4"/>
  <c r="E249" i="4"/>
  <c r="E165" i="4"/>
  <c r="E312" i="4"/>
  <c r="E228" i="4"/>
  <c r="E144" i="4"/>
  <c r="E207" i="4"/>
  <c r="E123" i="4"/>
  <c r="P58" i="6"/>
  <c r="T58" i="6" s="1"/>
  <c r="P184" i="6"/>
  <c r="T184" i="6" s="1"/>
  <c r="P16" i="6"/>
  <c r="P142" i="6"/>
  <c r="T142" i="6" s="1"/>
  <c r="T166" i="6"/>
  <c r="T19" i="6"/>
  <c r="T187" i="6"/>
  <c r="D84" i="5"/>
  <c r="F84" i="5"/>
  <c r="E232" i="4"/>
  <c r="E127" i="4"/>
  <c r="E85" i="4"/>
  <c r="E169" i="4"/>
  <c r="E148" i="4"/>
  <c r="E274" i="4"/>
  <c r="E64" i="4"/>
  <c r="E22" i="4"/>
  <c r="E295" i="4"/>
  <c r="E190" i="4"/>
  <c r="E43" i="4"/>
  <c r="E316" i="4"/>
  <c r="E211" i="4"/>
  <c r="E106" i="4"/>
  <c r="E253" i="4"/>
  <c r="G224" i="6"/>
  <c r="O224" i="6"/>
  <c r="E224" i="6"/>
  <c r="R224" i="6"/>
  <c r="L224" i="6"/>
  <c r="M224" i="6" s="1"/>
  <c r="O119" i="6"/>
  <c r="E119" i="6"/>
  <c r="R119" i="6"/>
  <c r="L119" i="6"/>
  <c r="M119" i="6" s="1"/>
  <c r="G119" i="6"/>
  <c r="U15" i="6"/>
  <c r="C37" i="4"/>
  <c r="C79" i="4"/>
  <c r="C268" i="4"/>
  <c r="C184" i="4"/>
  <c r="C100" i="4"/>
  <c r="C247" i="4"/>
  <c r="C163" i="4"/>
  <c r="C58" i="4"/>
  <c r="C310" i="4"/>
  <c r="C226" i="4"/>
  <c r="C142" i="4"/>
  <c r="C289" i="4"/>
  <c r="C205" i="4"/>
  <c r="C16" i="4"/>
  <c r="C121" i="4"/>
  <c r="H54" i="3"/>
  <c r="F252" i="5"/>
  <c r="D252" i="5"/>
  <c r="D294" i="5"/>
  <c r="F294" i="5"/>
  <c r="F42" i="5"/>
  <c r="D42" i="5"/>
  <c r="D147" i="5"/>
  <c r="F147" i="5"/>
  <c r="S162" i="6"/>
  <c r="S99" i="6"/>
  <c r="P125" i="6"/>
  <c r="P62" i="6"/>
  <c r="P167" i="6"/>
  <c r="P20" i="6"/>
  <c r="P209" i="6"/>
  <c r="P83" i="6"/>
  <c r="P104" i="6"/>
  <c r="P41" i="6"/>
  <c r="P146" i="6"/>
  <c r="P188" i="6"/>
  <c r="P230" i="6"/>
  <c r="P251" i="6"/>
  <c r="G203" i="6"/>
  <c r="R203" i="6"/>
  <c r="E203" i="6"/>
  <c r="O203" i="6"/>
  <c r="L203" i="6"/>
  <c r="M203" i="6" s="1"/>
  <c r="I16" i="6"/>
  <c r="G37" i="5"/>
  <c r="G206" i="4"/>
  <c r="G59" i="4"/>
  <c r="G248" i="4"/>
  <c r="G143" i="4"/>
  <c r="G122" i="4"/>
  <c r="G38" i="4"/>
  <c r="G164" i="4"/>
  <c r="G17" i="4"/>
  <c r="G101" i="4"/>
  <c r="G269" i="4"/>
  <c r="G311" i="4"/>
  <c r="G290" i="4"/>
  <c r="G80" i="4"/>
  <c r="G185" i="4"/>
  <c r="G227" i="4"/>
  <c r="G316" i="4"/>
  <c r="G232" i="4"/>
  <c r="G148" i="4"/>
  <c r="G295" i="4"/>
  <c r="G211" i="4"/>
  <c r="G127" i="4"/>
  <c r="G22" i="4"/>
  <c r="G274" i="4"/>
  <c r="G190" i="4"/>
  <c r="G106" i="4"/>
  <c r="G253" i="4"/>
  <c r="G169" i="4"/>
  <c r="G85" i="4"/>
  <c r="G64" i="4"/>
  <c r="G43" i="4"/>
  <c r="W16" i="6"/>
  <c r="H15" i="6"/>
  <c r="G182" i="6"/>
  <c r="R182" i="6"/>
  <c r="E182" i="6"/>
  <c r="O182" i="6"/>
  <c r="L182" i="6"/>
  <c r="M182" i="6" s="1"/>
  <c r="M210" i="6"/>
  <c r="V19" i="6"/>
  <c r="H58" i="3"/>
  <c r="L140" i="6"/>
  <c r="M140" i="6" s="1"/>
  <c r="G140" i="6"/>
  <c r="R140" i="6"/>
  <c r="E140" i="6"/>
  <c r="O140" i="6"/>
  <c r="I52" i="3"/>
  <c r="D53" i="3"/>
  <c r="F189" i="5"/>
  <c r="D189" i="5"/>
  <c r="F63" i="5"/>
  <c r="D63" i="5"/>
  <c r="D83" i="5"/>
  <c r="F83" i="5"/>
  <c r="G161" i="6"/>
  <c r="R161" i="6"/>
  <c r="E161" i="6"/>
  <c r="O161" i="6"/>
  <c r="L161" i="6"/>
  <c r="M161" i="6" s="1"/>
  <c r="L245" i="6"/>
  <c r="M245" i="6" s="1"/>
  <c r="R245" i="6"/>
  <c r="E245" i="6"/>
  <c r="O245" i="6"/>
  <c r="G245" i="6"/>
  <c r="D84" i="3"/>
  <c r="E84" i="3" s="1"/>
  <c r="F84" i="3" s="1"/>
  <c r="N84" i="3" s="1"/>
  <c r="H38" i="5"/>
  <c r="I38" i="5" s="1"/>
  <c r="H57" i="3"/>
  <c r="R56" i="6"/>
  <c r="E56" i="6"/>
  <c r="O56" i="6"/>
  <c r="L56" i="6"/>
  <c r="M56" i="6" s="1"/>
  <c r="G56" i="6"/>
  <c r="S15" i="6"/>
  <c r="P14" i="3"/>
  <c r="H14" i="3"/>
  <c r="P9" i="3"/>
  <c r="H9" i="3"/>
  <c r="D34" i="3"/>
  <c r="C36" i="3"/>
  <c r="K12" i="3"/>
  <c r="U20" i="6"/>
  <c r="H56" i="3"/>
  <c r="S141" i="6"/>
  <c r="D231" i="5"/>
  <c r="F231" i="5"/>
  <c r="F273" i="5"/>
  <c r="D273" i="5"/>
  <c r="F126" i="5"/>
  <c r="D126" i="5"/>
  <c r="D168" i="5"/>
  <c r="F168" i="5"/>
  <c r="L77" i="6"/>
  <c r="M77" i="6" s="1"/>
  <c r="G77" i="6"/>
  <c r="R77" i="6"/>
  <c r="E77" i="6"/>
  <c r="O77" i="6"/>
  <c r="G35" i="6"/>
  <c r="R35" i="6"/>
  <c r="O35" i="6"/>
  <c r="L35" i="6"/>
  <c r="M35" i="6" s="1"/>
  <c r="E35" i="6"/>
  <c r="S246" i="6"/>
  <c r="L98" i="6"/>
  <c r="M98" i="6" s="1"/>
  <c r="O98" i="6"/>
  <c r="G98" i="6"/>
  <c r="R98" i="6"/>
  <c r="E98" i="6"/>
  <c r="H55" i="3"/>
  <c r="W19" i="6"/>
  <c r="S104" i="6"/>
  <c r="S125" i="6"/>
  <c r="S20" i="6"/>
  <c r="S230" i="6"/>
  <c r="S83" i="6"/>
  <c r="S209" i="6"/>
  <c r="S251" i="6"/>
  <c r="S41" i="6"/>
  <c r="S188" i="6"/>
  <c r="S146" i="6"/>
  <c r="S167" i="6"/>
  <c r="S62" i="6"/>
  <c r="R14" i="6"/>
  <c r="L14" i="6"/>
  <c r="M14" i="6" s="1"/>
  <c r="E14" i="6"/>
  <c r="O14" i="6"/>
  <c r="G14" i="6"/>
  <c r="S183" i="6"/>
  <c r="I7" i="3"/>
  <c r="D8" i="3"/>
  <c r="D35" i="3"/>
  <c r="K13" i="3"/>
  <c r="D315" i="5"/>
  <c r="F315" i="5"/>
  <c r="D210" i="5"/>
  <c r="F210" i="5"/>
  <c r="D21" i="5"/>
  <c r="F21" i="5"/>
  <c r="D105" i="5"/>
  <c r="F105" i="5"/>
  <c r="S78" i="6"/>
  <c r="S36" i="6"/>
  <c r="Q54" i="5"/>
  <c r="R54" i="5"/>
  <c r="S54" i="5"/>
  <c r="U54" i="5"/>
  <c r="T54" i="5"/>
  <c r="O60" i="5"/>
  <c r="J61" i="5"/>
  <c r="N55" i="5"/>
  <c r="I56" i="5"/>
  <c r="E35" i="3" l="1"/>
  <c r="F35" i="3" s="1"/>
  <c r="E34" i="3"/>
  <c r="F34" i="3" s="1"/>
  <c r="E33" i="3"/>
  <c r="F33" i="3" s="1"/>
  <c r="E8" i="3"/>
  <c r="F8" i="3" s="1"/>
  <c r="E53" i="3"/>
  <c r="F53" i="3" s="1"/>
  <c r="P53" i="3" s="1"/>
  <c r="E32" i="3"/>
  <c r="F32" i="3" s="1"/>
  <c r="O11" i="3"/>
  <c r="H178" i="5"/>
  <c r="C107" i="4"/>
  <c r="C22" i="12"/>
  <c r="C65" i="4"/>
  <c r="C23" i="4"/>
  <c r="C233" i="4"/>
  <c r="C44" i="4"/>
  <c r="C86" i="4"/>
  <c r="C149" i="4"/>
  <c r="C317" i="4"/>
  <c r="M42" i="6"/>
  <c r="W88" i="3"/>
  <c r="X88" i="3"/>
  <c r="U88" i="3"/>
  <c r="Y88" i="3"/>
  <c r="V88" i="3"/>
  <c r="Q44" i="3"/>
  <c r="E149" i="4" s="1"/>
  <c r="U44" i="3"/>
  <c r="S44" i="3"/>
  <c r="P42" i="6" s="1"/>
  <c r="R44" i="3"/>
  <c r="S66" i="3"/>
  <c r="S231" i="6" s="1"/>
  <c r="Q66" i="3"/>
  <c r="G212" i="4" s="1"/>
  <c r="R66" i="3"/>
  <c r="T188" i="6"/>
  <c r="T83" i="6"/>
  <c r="M126" i="6"/>
  <c r="M84" i="6"/>
  <c r="M252" i="6"/>
  <c r="M147" i="6"/>
  <c r="R10" i="3"/>
  <c r="S10" i="3"/>
  <c r="Q10" i="3"/>
  <c r="C200" i="4" s="1"/>
  <c r="T10" i="3"/>
  <c r="C128" i="4"/>
  <c r="C212" i="4"/>
  <c r="C296" i="4"/>
  <c r="M21" i="6"/>
  <c r="M168" i="6"/>
  <c r="M189" i="6"/>
  <c r="R12" i="3"/>
  <c r="Q12" i="3"/>
  <c r="C97" i="4" s="1"/>
  <c r="S12" i="3"/>
  <c r="T12" i="3"/>
  <c r="R13" i="3"/>
  <c r="S13" i="3"/>
  <c r="T13" i="3"/>
  <c r="Q13" i="3"/>
  <c r="C98" i="4" s="1"/>
  <c r="C170" i="4"/>
  <c r="C254" i="4"/>
  <c r="C191" i="4"/>
  <c r="M105" i="6"/>
  <c r="M231" i="6"/>
  <c r="P84" i="3"/>
  <c r="O84" i="3"/>
  <c r="H181" i="5"/>
  <c r="O14" i="3"/>
  <c r="S14" i="3" s="1"/>
  <c r="J181" i="5"/>
  <c r="O58" i="3"/>
  <c r="U58" i="3" s="1"/>
  <c r="I182" i="5"/>
  <c r="O37" i="3"/>
  <c r="J177" i="5"/>
  <c r="O54" i="3"/>
  <c r="U54" i="3" s="1"/>
  <c r="J180" i="5"/>
  <c r="O57" i="3"/>
  <c r="U57" i="3" s="1"/>
  <c r="J178" i="5"/>
  <c r="O55" i="3"/>
  <c r="U55" i="3" s="1"/>
  <c r="J179" i="5"/>
  <c r="O56" i="3"/>
  <c r="U56" i="3" s="1"/>
  <c r="H176" i="5"/>
  <c r="O9" i="3"/>
  <c r="J38" i="5"/>
  <c r="H183" i="5"/>
  <c r="J183" i="5"/>
  <c r="I183" i="5"/>
  <c r="P99" i="6"/>
  <c r="T99" i="6" s="1"/>
  <c r="P120" i="6"/>
  <c r="T120" i="6" s="1"/>
  <c r="P204" i="6"/>
  <c r="T204" i="6" s="1"/>
  <c r="S14" i="6"/>
  <c r="S98" i="6"/>
  <c r="S35" i="6"/>
  <c r="S77" i="6"/>
  <c r="S161" i="6"/>
  <c r="P183" i="6"/>
  <c r="T183" i="6" s="1"/>
  <c r="S56" i="6"/>
  <c r="S245" i="6"/>
  <c r="P225" i="6"/>
  <c r="T225" i="6" s="1"/>
  <c r="T104" i="6"/>
  <c r="S140" i="6"/>
  <c r="S203" i="6"/>
  <c r="P15" i="6"/>
  <c r="T15" i="6" s="1"/>
  <c r="T41" i="6"/>
  <c r="T230" i="6"/>
  <c r="S182" i="6"/>
  <c r="S119" i="6"/>
  <c r="H14" i="6"/>
  <c r="G35" i="5" s="1"/>
  <c r="T167" i="6"/>
  <c r="P78" i="6"/>
  <c r="T78" i="6" s="1"/>
  <c r="P57" i="6"/>
  <c r="T57" i="6" s="1"/>
  <c r="T146" i="6"/>
  <c r="T125" i="6"/>
  <c r="P246" i="6"/>
  <c r="T246" i="6" s="1"/>
  <c r="P162" i="6"/>
  <c r="T162" i="6" s="1"/>
  <c r="T16" i="6"/>
  <c r="V16" i="6"/>
  <c r="H32" i="3"/>
  <c r="P32" i="3"/>
  <c r="T251" i="6"/>
  <c r="I30" i="3"/>
  <c r="D31" i="3"/>
  <c r="P36" i="6"/>
  <c r="T36" i="6" s="1"/>
  <c r="E311" i="4"/>
  <c r="E227" i="4"/>
  <c r="E143" i="4"/>
  <c r="E59" i="4"/>
  <c r="E290" i="4"/>
  <c r="E206" i="4"/>
  <c r="E122" i="4"/>
  <c r="E17" i="4"/>
  <c r="E269" i="4"/>
  <c r="E185" i="4"/>
  <c r="E101" i="4"/>
  <c r="E80" i="4"/>
  <c r="E248" i="4"/>
  <c r="E164" i="4"/>
  <c r="E38" i="4"/>
  <c r="T141" i="6"/>
  <c r="T62" i="6"/>
  <c r="T209" i="6"/>
  <c r="P34" i="3"/>
  <c r="H34" i="3"/>
  <c r="H53" i="3"/>
  <c r="G226" i="4"/>
  <c r="G121" i="4"/>
  <c r="G79" i="4"/>
  <c r="G142" i="4"/>
  <c r="G184" i="4"/>
  <c r="G16" i="4"/>
  <c r="G247" i="4"/>
  <c r="G289" i="4"/>
  <c r="G100" i="4"/>
  <c r="G163" i="4"/>
  <c r="G205" i="4"/>
  <c r="G58" i="4"/>
  <c r="G310" i="4"/>
  <c r="G268" i="4"/>
  <c r="G37" i="4"/>
  <c r="W15" i="6"/>
  <c r="I51" i="3"/>
  <c r="D52" i="3"/>
  <c r="I15" i="6"/>
  <c r="G36" i="5"/>
  <c r="H37" i="5"/>
  <c r="D83" i="3"/>
  <c r="E83" i="3" s="1"/>
  <c r="F83" i="3" s="1"/>
  <c r="N83" i="3" s="1"/>
  <c r="V20" i="6"/>
  <c r="P35" i="3"/>
  <c r="H35" i="3"/>
  <c r="P8" i="3"/>
  <c r="H8" i="3"/>
  <c r="U14" i="6"/>
  <c r="W20" i="6"/>
  <c r="T20" i="6"/>
  <c r="S224" i="6"/>
  <c r="I6" i="3"/>
  <c r="D7" i="3"/>
  <c r="I14" i="6"/>
  <c r="D36" i="3"/>
  <c r="K14" i="3"/>
  <c r="B227" i="5"/>
  <c r="B122" i="5"/>
  <c r="B143" i="5"/>
  <c r="B101" i="5"/>
  <c r="B290" i="5"/>
  <c r="B269" i="5"/>
  <c r="B38" i="5"/>
  <c r="B80" i="5"/>
  <c r="B206" i="5"/>
  <c r="B185" i="5"/>
  <c r="B164" i="5"/>
  <c r="B248" i="5"/>
  <c r="B59" i="5"/>
  <c r="B17" i="5"/>
  <c r="B311" i="5"/>
  <c r="C242" i="4"/>
  <c r="P126" i="6"/>
  <c r="O61" i="5"/>
  <c r="J62" i="5"/>
  <c r="N56" i="5"/>
  <c r="I57" i="5"/>
  <c r="S55" i="5"/>
  <c r="Q55" i="5"/>
  <c r="U55" i="5"/>
  <c r="R55" i="5"/>
  <c r="T55" i="5"/>
  <c r="P84" i="6" l="1"/>
  <c r="P63" i="6"/>
  <c r="C287" i="4"/>
  <c r="P147" i="6"/>
  <c r="P252" i="6"/>
  <c r="P210" i="6"/>
  <c r="B224" i="1"/>
  <c r="E36" i="3"/>
  <c r="F36" i="3" s="1"/>
  <c r="E52" i="3"/>
  <c r="F52" i="3" s="1"/>
  <c r="P52" i="3" s="1"/>
  <c r="E7" i="3"/>
  <c r="F7" i="3" s="1"/>
  <c r="E31" i="3"/>
  <c r="F31" i="3" s="1"/>
  <c r="H31" i="3" s="1"/>
  <c r="T11" i="3"/>
  <c r="Q11" i="3"/>
  <c r="R11" i="3"/>
  <c r="G10" i="9" s="1"/>
  <c r="S11" i="3"/>
  <c r="H33" i="3"/>
  <c r="P33" i="3"/>
  <c r="C74" i="4"/>
  <c r="C284" i="4"/>
  <c r="C137" i="4"/>
  <c r="C23" i="12"/>
  <c r="C119" i="4"/>
  <c r="C203" i="4"/>
  <c r="P105" i="6"/>
  <c r="P21" i="6"/>
  <c r="P189" i="6"/>
  <c r="C221" i="4"/>
  <c r="P168" i="6"/>
  <c r="P231" i="6"/>
  <c r="C158" i="4"/>
  <c r="C53" i="4"/>
  <c r="C95" i="4"/>
  <c r="C179" i="4"/>
  <c r="C11" i="4"/>
  <c r="C32" i="4"/>
  <c r="C116" i="4"/>
  <c r="C305" i="4"/>
  <c r="C263" i="4"/>
  <c r="C118" i="4"/>
  <c r="E44" i="4"/>
  <c r="E86" i="4"/>
  <c r="C14" i="4"/>
  <c r="C244" i="4"/>
  <c r="S21" i="6"/>
  <c r="C307" i="4"/>
  <c r="S252" i="6"/>
  <c r="T252" i="6" s="1"/>
  <c r="E65" i="4"/>
  <c r="E23" i="4"/>
  <c r="C265" i="4"/>
  <c r="S126" i="6"/>
  <c r="T126" i="6" s="1"/>
  <c r="E317" i="4"/>
  <c r="E254" i="4"/>
  <c r="C202" i="4"/>
  <c r="S168" i="6"/>
  <c r="E191" i="4"/>
  <c r="E170" i="4"/>
  <c r="C160" i="4"/>
  <c r="S189" i="6"/>
  <c r="T189" i="6" s="1"/>
  <c r="E233" i="4"/>
  <c r="E275" i="4"/>
  <c r="E107" i="4"/>
  <c r="G191" i="4"/>
  <c r="G23" i="4"/>
  <c r="G254" i="4"/>
  <c r="C223" i="4"/>
  <c r="C286" i="4"/>
  <c r="C13" i="4"/>
  <c r="S210" i="6"/>
  <c r="S63" i="6"/>
  <c r="T63" i="6" s="1"/>
  <c r="E128" i="4"/>
  <c r="E212" i="4"/>
  <c r="E296" i="4"/>
  <c r="C34" i="4"/>
  <c r="C181" i="4"/>
  <c r="C139" i="4"/>
  <c r="U21" i="6"/>
  <c r="W84" i="3"/>
  <c r="X84" i="3"/>
  <c r="U84" i="3"/>
  <c r="Y84" i="3"/>
  <c r="V84" i="3"/>
  <c r="R37" i="3"/>
  <c r="H14" i="9" s="1"/>
  <c r="U37" i="3"/>
  <c r="Q37" i="3"/>
  <c r="E268" i="4" s="1"/>
  <c r="S37" i="3"/>
  <c r="P140" i="6" s="1"/>
  <c r="T140" i="6" s="1"/>
  <c r="G65" i="4"/>
  <c r="S147" i="6"/>
  <c r="S84" i="6"/>
  <c r="T84" i="6" s="1"/>
  <c r="G275" i="4"/>
  <c r="G296" i="4"/>
  <c r="G107" i="4"/>
  <c r="G128" i="4"/>
  <c r="G317" i="4"/>
  <c r="S42" i="6"/>
  <c r="T42" i="6" s="1"/>
  <c r="S105" i="6"/>
  <c r="G86" i="4"/>
  <c r="G44" i="4"/>
  <c r="G170" i="4"/>
  <c r="G149" i="4"/>
  <c r="G233" i="4"/>
  <c r="S57" i="3"/>
  <c r="Q57" i="3"/>
  <c r="G266" i="4" s="1"/>
  <c r="R57" i="3"/>
  <c r="I12" i="9" s="1"/>
  <c r="S56" i="3"/>
  <c r="Q56" i="3"/>
  <c r="G13" i="4" s="1"/>
  <c r="R56" i="3"/>
  <c r="R55" i="3"/>
  <c r="I10" i="9" s="1"/>
  <c r="S55" i="3"/>
  <c r="Q55" i="3"/>
  <c r="G117" i="4" s="1"/>
  <c r="S54" i="3"/>
  <c r="Q54" i="3"/>
  <c r="G179" i="4" s="1"/>
  <c r="R54" i="3"/>
  <c r="I9" i="9" s="1"/>
  <c r="R58" i="3"/>
  <c r="I13" i="9" s="1"/>
  <c r="S58" i="3"/>
  <c r="Q58" i="3"/>
  <c r="G183" i="4" s="1"/>
  <c r="C140" i="4"/>
  <c r="C224" i="4"/>
  <c r="C308" i="4"/>
  <c r="C55" i="4"/>
  <c r="C76" i="4"/>
  <c r="C161" i="4"/>
  <c r="C245" i="4"/>
  <c r="C182" i="4"/>
  <c r="C266" i="4"/>
  <c r="C35" i="4"/>
  <c r="C56" i="4"/>
  <c r="C77" i="4"/>
  <c r="R9" i="3"/>
  <c r="G8" i="9" s="1"/>
  <c r="Q9" i="3"/>
  <c r="C262" i="4" s="1"/>
  <c r="S9" i="3"/>
  <c r="T9" i="3"/>
  <c r="R14" i="3"/>
  <c r="G13" i="9" s="1"/>
  <c r="Q14" i="3"/>
  <c r="C246" i="4" s="1"/>
  <c r="T14" i="3"/>
  <c r="P83" i="3"/>
  <c r="O83" i="3"/>
  <c r="I179" i="5"/>
  <c r="O34" i="3"/>
  <c r="I177" i="5"/>
  <c r="O32" i="3"/>
  <c r="I180" i="5"/>
  <c r="O35" i="3"/>
  <c r="J176" i="5"/>
  <c r="O53" i="3"/>
  <c r="U53" i="3" s="1"/>
  <c r="H175" i="5"/>
  <c r="O8" i="3"/>
  <c r="J184" i="5"/>
  <c r="I184" i="5"/>
  <c r="H184" i="5"/>
  <c r="V15" i="6"/>
  <c r="I29" i="3"/>
  <c r="D30" i="3"/>
  <c r="T231" i="6"/>
  <c r="C202" i="6"/>
  <c r="C181" i="6"/>
  <c r="C160" i="6"/>
  <c r="C34" i="6"/>
  <c r="J13" i="6"/>
  <c r="H139" i="5" s="1"/>
  <c r="G139" i="5" s="1"/>
  <c r="C118" i="6"/>
  <c r="C139" i="6"/>
  <c r="C55" i="6"/>
  <c r="C97" i="6"/>
  <c r="C13" i="6"/>
  <c r="C223" i="6"/>
  <c r="C244" i="6"/>
  <c r="C76" i="6"/>
  <c r="B310" i="5"/>
  <c r="B163" i="5"/>
  <c r="B247" i="5"/>
  <c r="B226" i="5"/>
  <c r="B268" i="5"/>
  <c r="B58" i="5"/>
  <c r="B121" i="5"/>
  <c r="B289" i="5"/>
  <c r="B184" i="5"/>
  <c r="B37" i="5"/>
  <c r="B100" i="5"/>
  <c r="B205" i="5"/>
  <c r="B142" i="5"/>
  <c r="B16" i="5"/>
  <c r="B79" i="5"/>
  <c r="H36" i="5"/>
  <c r="I36" i="5" s="1"/>
  <c r="D82" i="3"/>
  <c r="E82" i="3" s="1"/>
  <c r="F82" i="3" s="1"/>
  <c r="N82" i="3" s="1"/>
  <c r="P36" i="3"/>
  <c r="H36" i="3"/>
  <c r="P7" i="3"/>
  <c r="H7" i="3"/>
  <c r="D6" i="3"/>
  <c r="I5" i="3"/>
  <c r="H35" i="5"/>
  <c r="D81" i="3"/>
  <c r="E81" i="3" s="1"/>
  <c r="F81" i="3" s="1"/>
  <c r="N81" i="3" s="1"/>
  <c r="I37" i="5"/>
  <c r="I50" i="3"/>
  <c r="D51" i="3"/>
  <c r="W14" i="6"/>
  <c r="U56" i="5"/>
  <c r="R56" i="5"/>
  <c r="S56" i="5"/>
  <c r="Q56" i="5"/>
  <c r="T56" i="5"/>
  <c r="O62" i="5"/>
  <c r="J63" i="5"/>
  <c r="O63" i="5" s="1"/>
  <c r="N57" i="5"/>
  <c r="I58" i="5"/>
  <c r="B226" i="1" l="1"/>
  <c r="I11" i="9"/>
  <c r="T147" i="6"/>
  <c r="G18" i="9"/>
  <c r="G19" i="9"/>
  <c r="G17" i="9"/>
  <c r="I18" i="9"/>
  <c r="H18" i="9"/>
  <c r="G16" i="9"/>
  <c r="H17" i="9"/>
  <c r="G20" i="9"/>
  <c r="G15" i="9"/>
  <c r="I16" i="9"/>
  <c r="I19" i="9"/>
  <c r="H19" i="9"/>
  <c r="I17" i="9"/>
  <c r="I15" i="9"/>
  <c r="H16" i="9"/>
  <c r="I20" i="9"/>
  <c r="G14" i="9"/>
  <c r="H20" i="9"/>
  <c r="G21" i="9"/>
  <c r="H15" i="9"/>
  <c r="I14" i="9"/>
  <c r="G9" i="9"/>
  <c r="G12" i="9"/>
  <c r="H21" i="9"/>
  <c r="I21" i="9"/>
  <c r="G11" i="9"/>
  <c r="T210" i="6"/>
  <c r="T21" i="6"/>
  <c r="E6" i="3"/>
  <c r="F6" i="3" s="1"/>
  <c r="E30" i="3"/>
  <c r="F30" i="3" s="1"/>
  <c r="H52" i="3"/>
  <c r="P31" i="3"/>
  <c r="I178" i="5"/>
  <c r="O33" i="3"/>
  <c r="C285" i="4"/>
  <c r="C12" i="4"/>
  <c r="C33" i="4"/>
  <c r="C138" i="4"/>
  <c r="C264" i="4"/>
  <c r="C96" i="4"/>
  <c r="C159" i="4"/>
  <c r="C306" i="4"/>
  <c r="C54" i="4"/>
  <c r="C180" i="4"/>
  <c r="C222" i="4"/>
  <c r="C75" i="4"/>
  <c r="C117" i="4"/>
  <c r="C201" i="4"/>
  <c r="C243" i="4"/>
  <c r="E51" i="3"/>
  <c r="F51" i="3" s="1"/>
  <c r="P51" i="3" s="1"/>
  <c r="C24" i="12"/>
  <c r="V21" i="6"/>
  <c r="G161" i="4"/>
  <c r="T105" i="6"/>
  <c r="T168" i="6"/>
  <c r="G223" i="4"/>
  <c r="E142" i="4"/>
  <c r="E79" i="4"/>
  <c r="G286" i="4"/>
  <c r="G138" i="4"/>
  <c r="P182" i="6"/>
  <c r="T182" i="6" s="1"/>
  <c r="E16" i="4"/>
  <c r="E163" i="4"/>
  <c r="E121" i="4"/>
  <c r="E37" i="4"/>
  <c r="E226" i="4"/>
  <c r="E100" i="4"/>
  <c r="E289" i="4"/>
  <c r="E247" i="4"/>
  <c r="E184" i="4"/>
  <c r="C73" i="4"/>
  <c r="G201" i="4"/>
  <c r="P98" i="6"/>
  <c r="T98" i="6" s="1"/>
  <c r="E205" i="4"/>
  <c r="E310" i="4"/>
  <c r="E58" i="4"/>
  <c r="G204" i="4"/>
  <c r="C283" i="4"/>
  <c r="G56" i="4"/>
  <c r="C31" i="4"/>
  <c r="G119" i="4"/>
  <c r="C220" i="4"/>
  <c r="G308" i="4"/>
  <c r="G307" i="4"/>
  <c r="G118" i="4"/>
  <c r="G12" i="4"/>
  <c r="P161" i="6"/>
  <c r="T161" i="6" s="1"/>
  <c r="G265" i="4"/>
  <c r="G264" i="4"/>
  <c r="G33" i="4"/>
  <c r="P203" i="6"/>
  <c r="T203" i="6" s="1"/>
  <c r="P119" i="6"/>
  <c r="T119" i="6" s="1"/>
  <c r="G202" i="4"/>
  <c r="G139" i="4"/>
  <c r="G285" i="4"/>
  <c r="G222" i="4"/>
  <c r="P245" i="6"/>
  <c r="T245" i="6" s="1"/>
  <c r="P224" i="6"/>
  <c r="T224" i="6" s="1"/>
  <c r="C120" i="4"/>
  <c r="G53" i="4"/>
  <c r="C52" i="4"/>
  <c r="C10" i="4"/>
  <c r="G14" i="4"/>
  <c r="C309" i="4"/>
  <c r="G267" i="4"/>
  <c r="G242" i="4"/>
  <c r="C199" i="4"/>
  <c r="C136" i="4"/>
  <c r="G140" i="4"/>
  <c r="G98" i="4"/>
  <c r="C267" i="4"/>
  <c r="G35" i="4"/>
  <c r="C115" i="4"/>
  <c r="C304" i="4"/>
  <c r="C94" i="4"/>
  <c r="G287" i="4"/>
  <c r="G77" i="4"/>
  <c r="G182" i="4"/>
  <c r="G288" i="4"/>
  <c r="G32" i="4"/>
  <c r="G309" i="4"/>
  <c r="G57" i="4"/>
  <c r="G221" i="4"/>
  <c r="G284" i="4"/>
  <c r="C78" i="4"/>
  <c r="C204" i="4"/>
  <c r="C36" i="4"/>
  <c r="G36" i="4"/>
  <c r="G78" i="4"/>
  <c r="G137" i="4"/>
  <c r="G200" i="4"/>
  <c r="C225" i="4"/>
  <c r="C183" i="4"/>
  <c r="C141" i="4"/>
  <c r="G120" i="4"/>
  <c r="G74" i="4"/>
  <c r="C15" i="4"/>
  <c r="C288" i="4"/>
  <c r="C57" i="4"/>
  <c r="C157" i="4"/>
  <c r="C241" i="4"/>
  <c r="C178" i="4"/>
  <c r="G203" i="4"/>
  <c r="G224" i="4"/>
  <c r="G245" i="4"/>
  <c r="P56" i="6"/>
  <c r="T56" i="6" s="1"/>
  <c r="P77" i="6"/>
  <c r="T77" i="6" s="1"/>
  <c r="Q35" i="3"/>
  <c r="E56" i="4" s="1"/>
  <c r="R35" i="3"/>
  <c r="H12" i="9" s="1"/>
  <c r="S35" i="3"/>
  <c r="U35" i="3"/>
  <c r="Q34" i="3"/>
  <c r="E307" i="4" s="1"/>
  <c r="U34" i="3"/>
  <c r="R34" i="3"/>
  <c r="H11" i="9" s="1"/>
  <c r="S34" i="3"/>
  <c r="Q32" i="3"/>
  <c r="E74" i="4" s="1"/>
  <c r="U32" i="3"/>
  <c r="S32" i="3"/>
  <c r="R32" i="3"/>
  <c r="H9" i="9" s="1"/>
  <c r="X83" i="3"/>
  <c r="U83" i="3"/>
  <c r="Y83" i="3"/>
  <c r="V83" i="3"/>
  <c r="W83" i="3"/>
  <c r="P14" i="6"/>
  <c r="T14" i="6" s="1"/>
  <c r="P35" i="6"/>
  <c r="T35" i="6" s="1"/>
  <c r="W21" i="6"/>
  <c r="G244" i="4"/>
  <c r="G181" i="4"/>
  <c r="G34" i="4"/>
  <c r="G55" i="4"/>
  <c r="G15" i="4"/>
  <c r="G141" i="4"/>
  <c r="G225" i="4"/>
  <c r="G158" i="4"/>
  <c r="G11" i="4"/>
  <c r="G305" i="4"/>
  <c r="G306" i="4"/>
  <c r="G159" i="4"/>
  <c r="G243" i="4"/>
  <c r="G180" i="4"/>
  <c r="R53" i="3"/>
  <c r="I8" i="9" s="1"/>
  <c r="S53" i="3"/>
  <c r="Q53" i="3"/>
  <c r="G262" i="4" s="1"/>
  <c r="G76" i="4"/>
  <c r="G97" i="4"/>
  <c r="G160" i="4"/>
  <c r="G99" i="4"/>
  <c r="G162" i="4"/>
  <c r="G246" i="4"/>
  <c r="G263" i="4"/>
  <c r="G116" i="4"/>
  <c r="G95" i="4"/>
  <c r="G54" i="4"/>
  <c r="G75" i="4"/>
  <c r="G96" i="4"/>
  <c r="C99" i="4"/>
  <c r="C162" i="4"/>
  <c r="R8" i="3"/>
  <c r="G7" i="9" s="1"/>
  <c r="S8" i="3"/>
  <c r="T8" i="3"/>
  <c r="Q8" i="3"/>
  <c r="C219" i="4" s="1"/>
  <c r="P82" i="3"/>
  <c r="O82" i="3"/>
  <c r="P81" i="3"/>
  <c r="O81" i="3"/>
  <c r="J175" i="5"/>
  <c r="O52" i="3"/>
  <c r="U52" i="3" s="1"/>
  <c r="I181" i="5"/>
  <c r="O36" i="3"/>
  <c r="I176" i="5"/>
  <c r="O31" i="3"/>
  <c r="H174" i="5"/>
  <c r="O7" i="3"/>
  <c r="J37" i="5"/>
  <c r="J36" i="5"/>
  <c r="J185" i="5"/>
  <c r="I185" i="5"/>
  <c r="H185" i="5"/>
  <c r="I28" i="3"/>
  <c r="D29" i="3"/>
  <c r="P30" i="3"/>
  <c r="H30" i="3"/>
  <c r="H51" i="3"/>
  <c r="D5" i="3"/>
  <c r="I4" i="3"/>
  <c r="R244" i="6"/>
  <c r="S244" i="6" s="1"/>
  <c r="E244" i="6"/>
  <c r="L244" i="6"/>
  <c r="M244" i="6" s="1"/>
  <c r="O244" i="6"/>
  <c r="G244" i="6"/>
  <c r="C243" i="6"/>
  <c r="L55" i="6"/>
  <c r="M55" i="6" s="1"/>
  <c r="G55" i="6"/>
  <c r="C54" i="6"/>
  <c r="R55" i="6"/>
  <c r="S55" i="6" s="1"/>
  <c r="E55" i="6"/>
  <c r="O55" i="6"/>
  <c r="O34" i="6"/>
  <c r="E34" i="6"/>
  <c r="R34" i="6"/>
  <c r="S34" i="6" s="1"/>
  <c r="C33" i="6"/>
  <c r="L34" i="6"/>
  <c r="M34" i="6" s="1"/>
  <c r="G34" i="6"/>
  <c r="I49" i="3"/>
  <c r="D50" i="3"/>
  <c r="I35" i="5"/>
  <c r="B56" i="5"/>
  <c r="B14" i="5"/>
  <c r="B35" i="5"/>
  <c r="B266" i="5"/>
  <c r="B182" i="5"/>
  <c r="B77" i="5"/>
  <c r="B245" i="5"/>
  <c r="B140" i="5"/>
  <c r="B308" i="5"/>
  <c r="B224" i="5"/>
  <c r="B119" i="5"/>
  <c r="B161" i="5"/>
  <c r="B287" i="5"/>
  <c r="B203" i="5"/>
  <c r="B98" i="5"/>
  <c r="P6" i="3"/>
  <c r="H6" i="3"/>
  <c r="O223" i="6"/>
  <c r="G223" i="6"/>
  <c r="C222" i="6"/>
  <c r="R223" i="6"/>
  <c r="S223" i="6" s="1"/>
  <c r="L223" i="6"/>
  <c r="M223" i="6" s="1"/>
  <c r="E223" i="6"/>
  <c r="G139" i="6"/>
  <c r="R139" i="6"/>
  <c r="S139" i="6" s="1"/>
  <c r="O139" i="6"/>
  <c r="E139" i="6"/>
  <c r="C138" i="6"/>
  <c r="L139" i="6"/>
  <c r="M139" i="6" s="1"/>
  <c r="O160" i="6"/>
  <c r="L160" i="6"/>
  <c r="M160" i="6" s="1"/>
  <c r="G160" i="6"/>
  <c r="C159" i="6"/>
  <c r="R160" i="6"/>
  <c r="S160" i="6" s="1"/>
  <c r="E160" i="6"/>
  <c r="E77" i="4"/>
  <c r="E13" i="6"/>
  <c r="R13" i="6"/>
  <c r="S13" i="6" s="1"/>
  <c r="O13" i="6"/>
  <c r="G13" i="6"/>
  <c r="J12" i="6"/>
  <c r="H138" i="5" s="1"/>
  <c r="G138" i="5" s="1"/>
  <c r="C12" i="6"/>
  <c r="L13" i="6"/>
  <c r="M13" i="6" s="1"/>
  <c r="L118" i="6"/>
  <c r="M118" i="6" s="1"/>
  <c r="G118" i="6"/>
  <c r="C117" i="6"/>
  <c r="R118" i="6"/>
  <c r="S118" i="6" s="1"/>
  <c r="E118" i="6"/>
  <c r="O118" i="6"/>
  <c r="O181" i="6"/>
  <c r="L181" i="6"/>
  <c r="M181" i="6" s="1"/>
  <c r="R181" i="6"/>
  <c r="S181" i="6" s="1"/>
  <c r="G181" i="6"/>
  <c r="C180" i="6"/>
  <c r="E181" i="6"/>
  <c r="B99" i="5"/>
  <c r="B15" i="5"/>
  <c r="B309" i="5"/>
  <c r="B183" i="5"/>
  <c r="B57" i="5"/>
  <c r="B78" i="5"/>
  <c r="B225" i="5"/>
  <c r="B141" i="5"/>
  <c r="B120" i="5"/>
  <c r="B288" i="5"/>
  <c r="B267" i="5"/>
  <c r="B162" i="5"/>
  <c r="B204" i="5"/>
  <c r="B246" i="5"/>
  <c r="B36" i="5"/>
  <c r="R76" i="6"/>
  <c r="S76" i="6" s="1"/>
  <c r="E76" i="6"/>
  <c r="O76" i="6"/>
  <c r="L76" i="6"/>
  <c r="M76" i="6" s="1"/>
  <c r="G76" i="6"/>
  <c r="C75" i="6"/>
  <c r="G97" i="6"/>
  <c r="R97" i="6"/>
  <c r="S97" i="6" s="1"/>
  <c r="E97" i="6"/>
  <c r="O97" i="6"/>
  <c r="L97" i="6"/>
  <c r="M97" i="6" s="1"/>
  <c r="C96" i="6"/>
  <c r="R202" i="6"/>
  <c r="S202" i="6" s="1"/>
  <c r="L202" i="6"/>
  <c r="M202" i="6" s="1"/>
  <c r="G202" i="6"/>
  <c r="C201" i="6"/>
  <c r="E202" i="6"/>
  <c r="O202" i="6"/>
  <c r="S57" i="5"/>
  <c r="Q57" i="5"/>
  <c r="R57" i="5"/>
  <c r="U57" i="5"/>
  <c r="T57" i="5"/>
  <c r="N58" i="5"/>
  <c r="I59" i="5"/>
  <c r="E160" i="4" l="1"/>
  <c r="B225" i="1"/>
  <c r="Q33" i="3"/>
  <c r="S33" i="3"/>
  <c r="R33" i="3"/>
  <c r="H10" i="9" s="1"/>
  <c r="U33" i="3"/>
  <c r="E50" i="3"/>
  <c r="F50" i="3" s="1"/>
  <c r="P50" i="3" s="1"/>
  <c r="E5" i="3"/>
  <c r="F5" i="3" s="1"/>
  <c r="E29" i="3"/>
  <c r="F29" i="3" s="1"/>
  <c r="C25" i="12"/>
  <c r="G241" i="4"/>
  <c r="E203" i="4"/>
  <c r="E119" i="4"/>
  <c r="E161" i="4"/>
  <c r="E202" i="4"/>
  <c r="E140" i="4"/>
  <c r="E308" i="4"/>
  <c r="E182" i="4"/>
  <c r="E97" i="4"/>
  <c r="E179" i="4"/>
  <c r="G115" i="4"/>
  <c r="E98" i="4"/>
  <c r="E224" i="4"/>
  <c r="E181" i="4"/>
  <c r="E139" i="4"/>
  <c r="E116" i="4"/>
  <c r="E223" i="4"/>
  <c r="G304" i="4"/>
  <c r="E287" i="4"/>
  <c r="E245" i="4"/>
  <c r="E55" i="4"/>
  <c r="E118" i="4"/>
  <c r="E32" i="4"/>
  <c r="G199" i="4"/>
  <c r="E95" i="4"/>
  <c r="C51" i="4"/>
  <c r="C198" i="4"/>
  <c r="E284" i="4"/>
  <c r="E53" i="4"/>
  <c r="G283" i="4"/>
  <c r="G136" i="4"/>
  <c r="G31" i="4"/>
  <c r="E14" i="4"/>
  <c r="E266" i="4"/>
  <c r="E35" i="4"/>
  <c r="E34" i="4"/>
  <c r="E13" i="4"/>
  <c r="E76" i="4"/>
  <c r="E137" i="4"/>
  <c r="E200" i="4"/>
  <c r="G178" i="4"/>
  <c r="E244" i="4"/>
  <c r="E265" i="4"/>
  <c r="E286" i="4"/>
  <c r="E11" i="4"/>
  <c r="E158" i="4"/>
  <c r="E305" i="4"/>
  <c r="C303" i="4"/>
  <c r="C240" i="4"/>
  <c r="C93" i="4"/>
  <c r="C177" i="4"/>
  <c r="C72" i="4"/>
  <c r="C156" i="4"/>
  <c r="C9" i="4"/>
  <c r="C135" i="4"/>
  <c r="C30" i="4"/>
  <c r="V14" i="6"/>
  <c r="E263" i="4"/>
  <c r="E221" i="4"/>
  <c r="E242" i="4"/>
  <c r="U36" i="3"/>
  <c r="S36" i="3"/>
  <c r="P202" i="6" s="1"/>
  <c r="T202" i="6" s="1"/>
  <c r="Q36" i="3"/>
  <c r="E309" i="4" s="1"/>
  <c r="R36" i="3"/>
  <c r="H13" i="9" s="1"/>
  <c r="V81" i="3"/>
  <c r="W81" i="3"/>
  <c r="X81" i="3"/>
  <c r="U81" i="3"/>
  <c r="Y81" i="3"/>
  <c r="Q31" i="3"/>
  <c r="E10" i="4" s="1"/>
  <c r="R31" i="3"/>
  <c r="H8" i="9" s="1"/>
  <c r="S31" i="3"/>
  <c r="U31" i="3"/>
  <c r="U82" i="3"/>
  <c r="V82" i="3"/>
  <c r="W82" i="3"/>
  <c r="X82" i="3"/>
  <c r="Y82" i="3"/>
  <c r="G220" i="4"/>
  <c r="G94" i="4"/>
  <c r="G73" i="4"/>
  <c r="R52" i="3"/>
  <c r="I7" i="9" s="1"/>
  <c r="S52" i="3"/>
  <c r="Q52" i="3"/>
  <c r="G261" i="4" s="1"/>
  <c r="G10" i="4"/>
  <c r="G52" i="4"/>
  <c r="G157" i="4"/>
  <c r="C114" i="4"/>
  <c r="C261" i="4"/>
  <c r="C282" i="4"/>
  <c r="R7" i="3"/>
  <c r="G6" i="9" s="1"/>
  <c r="S7" i="3"/>
  <c r="T7" i="3"/>
  <c r="Q7" i="3"/>
  <c r="C50" i="4" s="1"/>
  <c r="I175" i="5"/>
  <c r="O30" i="3"/>
  <c r="H173" i="5"/>
  <c r="O6" i="3"/>
  <c r="J174" i="5"/>
  <c r="O51" i="3"/>
  <c r="U51" i="3" s="1"/>
  <c r="J35" i="5"/>
  <c r="J186" i="5"/>
  <c r="H186" i="5"/>
  <c r="I186" i="5"/>
  <c r="H29" i="3"/>
  <c r="P29" i="3"/>
  <c r="I27" i="3"/>
  <c r="D28" i="3"/>
  <c r="O201" i="6"/>
  <c r="P201" i="6" s="1"/>
  <c r="E201" i="6"/>
  <c r="C200" i="6"/>
  <c r="R201" i="6"/>
  <c r="S201" i="6" s="1"/>
  <c r="L201" i="6"/>
  <c r="M201" i="6" s="1"/>
  <c r="G201" i="6"/>
  <c r="R96" i="6"/>
  <c r="S96" i="6" s="1"/>
  <c r="G96" i="6"/>
  <c r="C95" i="6"/>
  <c r="O96" i="6"/>
  <c r="P96" i="6" s="1"/>
  <c r="E96" i="6"/>
  <c r="L96" i="6"/>
  <c r="M96" i="6" s="1"/>
  <c r="D49" i="3"/>
  <c r="I48" i="3"/>
  <c r="P5" i="3"/>
  <c r="H5" i="3"/>
  <c r="H13" i="6"/>
  <c r="L243" i="6"/>
  <c r="M243" i="6" s="1"/>
  <c r="R243" i="6"/>
  <c r="S243" i="6" s="1"/>
  <c r="E243" i="6"/>
  <c r="G243" i="6"/>
  <c r="C242" i="6"/>
  <c r="O243" i="6"/>
  <c r="P243" i="6" s="1"/>
  <c r="L75" i="6"/>
  <c r="M75" i="6" s="1"/>
  <c r="G75" i="6"/>
  <c r="C74" i="6"/>
  <c r="R75" i="6"/>
  <c r="S75" i="6" s="1"/>
  <c r="E75" i="6"/>
  <c r="O75" i="6"/>
  <c r="P75" i="6" s="1"/>
  <c r="U13" i="6"/>
  <c r="G159" i="6"/>
  <c r="C158" i="6"/>
  <c r="R159" i="6"/>
  <c r="S159" i="6" s="1"/>
  <c r="E159" i="6"/>
  <c r="O159" i="6"/>
  <c r="P159" i="6" s="1"/>
  <c r="L159" i="6"/>
  <c r="M159" i="6" s="1"/>
  <c r="R54" i="6"/>
  <c r="S54" i="6" s="1"/>
  <c r="E54" i="6"/>
  <c r="O54" i="6"/>
  <c r="P54" i="6" s="1"/>
  <c r="L54" i="6"/>
  <c r="M54" i="6" s="1"/>
  <c r="C53" i="6"/>
  <c r="G54" i="6"/>
  <c r="G180" i="6"/>
  <c r="C179" i="6"/>
  <c r="R180" i="6"/>
  <c r="S180" i="6" s="1"/>
  <c r="E180" i="6"/>
  <c r="L180" i="6"/>
  <c r="M180" i="6" s="1"/>
  <c r="O180" i="6"/>
  <c r="P180" i="6" s="1"/>
  <c r="G117" i="6"/>
  <c r="O117" i="6"/>
  <c r="P117" i="6" s="1"/>
  <c r="L117" i="6"/>
  <c r="M117" i="6" s="1"/>
  <c r="C116" i="6"/>
  <c r="R117" i="6"/>
  <c r="S117" i="6" s="1"/>
  <c r="E117" i="6"/>
  <c r="L12" i="6"/>
  <c r="M12" i="6" s="1"/>
  <c r="G12" i="6"/>
  <c r="R12" i="6"/>
  <c r="S12" i="6" s="1"/>
  <c r="O12" i="6"/>
  <c r="P12" i="6" s="1"/>
  <c r="E12" i="6"/>
  <c r="J11" i="6"/>
  <c r="H137" i="5" s="1"/>
  <c r="G137" i="5" s="1"/>
  <c r="C11" i="6"/>
  <c r="W13" i="6"/>
  <c r="R138" i="6"/>
  <c r="S138" i="6" s="1"/>
  <c r="O138" i="6"/>
  <c r="P138" i="6" s="1"/>
  <c r="E138" i="6"/>
  <c r="C137" i="6"/>
  <c r="L138" i="6"/>
  <c r="M138" i="6" s="1"/>
  <c r="G138" i="6"/>
  <c r="G222" i="6"/>
  <c r="C221" i="6"/>
  <c r="O222" i="6"/>
  <c r="P222" i="6" s="1"/>
  <c r="R222" i="6"/>
  <c r="S222" i="6" s="1"/>
  <c r="L222" i="6"/>
  <c r="M222" i="6" s="1"/>
  <c r="E222" i="6"/>
  <c r="H50" i="3"/>
  <c r="G33" i="6"/>
  <c r="C32" i="6"/>
  <c r="E33" i="6"/>
  <c r="R33" i="6"/>
  <c r="S33" i="6" s="1"/>
  <c r="O33" i="6"/>
  <c r="P33" i="6" s="1"/>
  <c r="L33" i="6"/>
  <c r="M33" i="6" s="1"/>
  <c r="D4" i="3"/>
  <c r="I3" i="3"/>
  <c r="D3" i="3" s="1"/>
  <c r="N59" i="5"/>
  <c r="I60" i="5"/>
  <c r="Q58" i="5"/>
  <c r="S58" i="5"/>
  <c r="R58" i="5"/>
  <c r="U58" i="5"/>
  <c r="T58" i="5"/>
  <c r="E4" i="3" l="1"/>
  <c r="F4" i="3" s="1"/>
  <c r="E49" i="3"/>
  <c r="F49" i="3" s="1"/>
  <c r="P49" i="3" s="1"/>
  <c r="E28" i="3"/>
  <c r="F28" i="3" s="1"/>
  <c r="E3" i="3"/>
  <c r="F3" i="3" s="1"/>
  <c r="H3" i="3" s="1"/>
  <c r="E138" i="4"/>
  <c r="E117" i="4"/>
  <c r="E96" i="4"/>
  <c r="E33" i="4"/>
  <c r="E306" i="4"/>
  <c r="E285" i="4"/>
  <c r="E243" i="4"/>
  <c r="E159" i="4"/>
  <c r="E222" i="4"/>
  <c r="E54" i="4"/>
  <c r="E75" i="4"/>
  <c r="E264" i="4"/>
  <c r="E180" i="4"/>
  <c r="E201" i="4"/>
  <c r="E12" i="4"/>
  <c r="C26" i="12"/>
  <c r="E246" i="4"/>
  <c r="E162" i="4"/>
  <c r="C92" i="4"/>
  <c r="E178" i="4"/>
  <c r="E99" i="4"/>
  <c r="E267" i="4"/>
  <c r="E288" i="4"/>
  <c r="G72" i="4"/>
  <c r="P181" i="6"/>
  <c r="T181" i="6" s="1"/>
  <c r="E204" i="4"/>
  <c r="P55" i="6"/>
  <c r="T55" i="6" s="1"/>
  <c r="E36" i="4"/>
  <c r="E183" i="4"/>
  <c r="E52" i="4"/>
  <c r="P13" i="6"/>
  <c r="T13" i="6" s="1"/>
  <c r="E304" i="4"/>
  <c r="P244" i="6"/>
  <c r="T244" i="6" s="1"/>
  <c r="C302" i="4"/>
  <c r="E241" i="4"/>
  <c r="E283" i="4"/>
  <c r="E157" i="4"/>
  <c r="P76" i="6"/>
  <c r="T76" i="6" s="1"/>
  <c r="C197" i="4"/>
  <c r="E73" i="4"/>
  <c r="E262" i="4"/>
  <c r="E136" i="4"/>
  <c r="P118" i="6"/>
  <c r="T118" i="6" s="1"/>
  <c r="P97" i="6"/>
  <c r="T97" i="6" s="1"/>
  <c r="P34" i="6"/>
  <c r="T34" i="6" s="1"/>
  <c r="C134" i="4"/>
  <c r="E94" i="4"/>
  <c r="E199" i="4"/>
  <c r="E220" i="4"/>
  <c r="P139" i="6"/>
  <c r="T139" i="6" s="1"/>
  <c r="E120" i="4"/>
  <c r="G156" i="4"/>
  <c r="E57" i="4"/>
  <c r="E141" i="4"/>
  <c r="E225" i="4"/>
  <c r="E78" i="4"/>
  <c r="G240" i="4"/>
  <c r="C113" i="4"/>
  <c r="C239" i="4"/>
  <c r="E115" i="4"/>
  <c r="E31" i="4"/>
  <c r="P223" i="6"/>
  <c r="T223" i="6" s="1"/>
  <c r="P160" i="6"/>
  <c r="T160" i="6" s="1"/>
  <c r="G93" i="4"/>
  <c r="E15" i="4"/>
  <c r="G219" i="4"/>
  <c r="G303" i="4"/>
  <c r="G51" i="4"/>
  <c r="G135" i="4"/>
  <c r="G30" i="4"/>
  <c r="G177" i="4"/>
  <c r="G9" i="4"/>
  <c r="G114" i="4"/>
  <c r="G198" i="4"/>
  <c r="G282" i="4"/>
  <c r="Q30" i="3"/>
  <c r="E240" i="4" s="1"/>
  <c r="U30" i="3"/>
  <c r="R30" i="3"/>
  <c r="H7" i="9" s="1"/>
  <c r="S30" i="3"/>
  <c r="S51" i="3"/>
  <c r="Q51" i="3"/>
  <c r="G197" i="4" s="1"/>
  <c r="R51" i="3"/>
  <c r="I6" i="9" s="1"/>
  <c r="C260" i="4"/>
  <c r="C218" i="4"/>
  <c r="C176" i="4"/>
  <c r="C281" i="4"/>
  <c r="C155" i="4"/>
  <c r="C8" i="4"/>
  <c r="C29" i="4"/>
  <c r="C71" i="4"/>
  <c r="R6" i="3"/>
  <c r="G5" i="9" s="1"/>
  <c r="S6" i="3"/>
  <c r="Q6" i="3"/>
  <c r="C196" i="4" s="1"/>
  <c r="T6" i="3"/>
  <c r="J173" i="5"/>
  <c r="O50" i="3"/>
  <c r="U50" i="3" s="1"/>
  <c r="I174" i="5"/>
  <c r="O29" i="3"/>
  <c r="H172" i="5"/>
  <c r="O5" i="3"/>
  <c r="H187" i="5"/>
  <c r="J187" i="5"/>
  <c r="I187" i="5"/>
  <c r="T222" i="6"/>
  <c r="T96" i="6"/>
  <c r="T243" i="6"/>
  <c r="I26" i="3"/>
  <c r="D27" i="3"/>
  <c r="P28" i="3"/>
  <c r="H28" i="3"/>
  <c r="P3" i="3"/>
  <c r="O11" i="6"/>
  <c r="P11" i="6" s="1"/>
  <c r="C10" i="6"/>
  <c r="L11" i="6"/>
  <c r="M11" i="6" s="1"/>
  <c r="E11" i="6"/>
  <c r="J10" i="6"/>
  <c r="H136" i="5" s="1"/>
  <c r="G136" i="5" s="1"/>
  <c r="R11" i="6"/>
  <c r="S11" i="6" s="1"/>
  <c r="G11" i="6"/>
  <c r="W12" i="6"/>
  <c r="L53" i="6"/>
  <c r="M53" i="6" s="1"/>
  <c r="G53" i="6"/>
  <c r="C52" i="6"/>
  <c r="R53" i="6"/>
  <c r="S53" i="6" s="1"/>
  <c r="E53" i="6"/>
  <c r="O53" i="6"/>
  <c r="P53" i="6" s="1"/>
  <c r="R74" i="6"/>
  <c r="S74" i="6" s="1"/>
  <c r="E74" i="6"/>
  <c r="O74" i="6"/>
  <c r="P74" i="6" s="1"/>
  <c r="L74" i="6"/>
  <c r="M74" i="6" s="1"/>
  <c r="G74" i="6"/>
  <c r="C73" i="6"/>
  <c r="R242" i="6"/>
  <c r="S242" i="6" s="1"/>
  <c r="E242" i="6"/>
  <c r="L242" i="6"/>
  <c r="M242" i="6" s="1"/>
  <c r="O242" i="6"/>
  <c r="P242" i="6" s="1"/>
  <c r="G242" i="6"/>
  <c r="C241" i="6"/>
  <c r="I13" i="6"/>
  <c r="G34" i="5"/>
  <c r="D48" i="3"/>
  <c r="I47" i="3"/>
  <c r="D47" i="3" s="1"/>
  <c r="H12" i="6"/>
  <c r="R116" i="6"/>
  <c r="S116" i="6" s="1"/>
  <c r="O116" i="6"/>
  <c r="P116" i="6" s="1"/>
  <c r="E116" i="6"/>
  <c r="L116" i="6"/>
  <c r="M116" i="6" s="1"/>
  <c r="G116" i="6"/>
  <c r="C115" i="6"/>
  <c r="O179" i="6"/>
  <c r="P179" i="6" s="1"/>
  <c r="L179" i="6"/>
  <c r="M179" i="6" s="1"/>
  <c r="E179" i="6"/>
  <c r="R179" i="6"/>
  <c r="S179" i="6" s="1"/>
  <c r="G179" i="6"/>
  <c r="C178" i="6"/>
  <c r="T54" i="6"/>
  <c r="L200" i="6"/>
  <c r="M200" i="6" s="1"/>
  <c r="G200" i="6"/>
  <c r="C199" i="6"/>
  <c r="R200" i="6"/>
  <c r="S200" i="6" s="1"/>
  <c r="E200" i="6"/>
  <c r="O200" i="6"/>
  <c r="P200" i="6" s="1"/>
  <c r="P4" i="3"/>
  <c r="H4" i="3"/>
  <c r="T138" i="6"/>
  <c r="U12" i="6"/>
  <c r="T12" i="6"/>
  <c r="T117" i="6"/>
  <c r="T180" i="6"/>
  <c r="T75" i="6"/>
  <c r="T33" i="6"/>
  <c r="O32" i="6"/>
  <c r="P32" i="6" s="1"/>
  <c r="G32" i="6"/>
  <c r="E32" i="6"/>
  <c r="R32" i="6"/>
  <c r="S32" i="6" s="1"/>
  <c r="C31" i="6"/>
  <c r="L32" i="6"/>
  <c r="M32" i="6" s="1"/>
  <c r="O221" i="6"/>
  <c r="P221" i="6" s="1"/>
  <c r="G221" i="6"/>
  <c r="C220" i="6"/>
  <c r="L221" i="6"/>
  <c r="M221" i="6" s="1"/>
  <c r="E221" i="6"/>
  <c r="R221" i="6"/>
  <c r="S221" i="6" s="1"/>
  <c r="O137" i="6"/>
  <c r="P137" i="6" s="1"/>
  <c r="E137" i="6"/>
  <c r="C136" i="6"/>
  <c r="L137" i="6"/>
  <c r="M137" i="6" s="1"/>
  <c r="G137" i="6"/>
  <c r="R137" i="6"/>
  <c r="S137" i="6" s="1"/>
  <c r="V12" i="6"/>
  <c r="T159" i="6"/>
  <c r="O158" i="6"/>
  <c r="P158" i="6" s="1"/>
  <c r="L158" i="6"/>
  <c r="M158" i="6" s="1"/>
  <c r="G158" i="6"/>
  <c r="C157" i="6"/>
  <c r="R158" i="6"/>
  <c r="S158" i="6" s="1"/>
  <c r="E158" i="6"/>
  <c r="O95" i="6"/>
  <c r="P95" i="6" s="1"/>
  <c r="E95" i="6"/>
  <c r="C94" i="6"/>
  <c r="R95" i="6"/>
  <c r="S95" i="6" s="1"/>
  <c r="L95" i="6"/>
  <c r="M95" i="6" s="1"/>
  <c r="G95" i="6"/>
  <c r="T201" i="6"/>
  <c r="N60" i="5"/>
  <c r="I61" i="5"/>
  <c r="S59" i="5"/>
  <c r="R59" i="5"/>
  <c r="Q59" i="5"/>
  <c r="U59" i="5"/>
  <c r="T59" i="5"/>
  <c r="H49" i="3" l="1"/>
  <c r="E48" i="3"/>
  <c r="F48" i="3" s="1"/>
  <c r="P48" i="3" s="1"/>
  <c r="E27" i="3"/>
  <c r="F27" i="3" s="1"/>
  <c r="E47" i="3"/>
  <c r="F47" i="3" s="1"/>
  <c r="C27" i="12"/>
  <c r="G29" i="4"/>
  <c r="E93" i="4"/>
  <c r="E9" i="4"/>
  <c r="C217" i="4"/>
  <c r="G92" i="4"/>
  <c r="G50" i="4"/>
  <c r="C28" i="4"/>
  <c r="G281" i="4"/>
  <c r="G71" i="4"/>
  <c r="G8" i="4"/>
  <c r="E261" i="4"/>
  <c r="G134" i="4"/>
  <c r="G218" i="4"/>
  <c r="G302" i="4"/>
  <c r="G155" i="4"/>
  <c r="G239" i="4"/>
  <c r="V13" i="6"/>
  <c r="G176" i="4"/>
  <c r="G260" i="4"/>
  <c r="G113" i="4"/>
  <c r="E177" i="4"/>
  <c r="E51" i="4"/>
  <c r="E114" i="4"/>
  <c r="E198" i="4"/>
  <c r="E282" i="4"/>
  <c r="E30" i="4"/>
  <c r="E135" i="4"/>
  <c r="E219" i="4"/>
  <c r="E303" i="4"/>
  <c r="S29" i="3"/>
  <c r="U29" i="3"/>
  <c r="Q29" i="3"/>
  <c r="E218" i="4" s="1"/>
  <c r="R29" i="3"/>
  <c r="H6" i="9" s="1"/>
  <c r="E72" i="4"/>
  <c r="E156" i="4"/>
  <c r="R50" i="3"/>
  <c r="I5" i="9" s="1"/>
  <c r="S50" i="3"/>
  <c r="Q50" i="3"/>
  <c r="G238" i="4" s="1"/>
  <c r="C7" i="4"/>
  <c r="C238" i="4"/>
  <c r="C154" i="4"/>
  <c r="C70" i="4"/>
  <c r="C301" i="4"/>
  <c r="C280" i="4"/>
  <c r="C175" i="4"/>
  <c r="C259" i="4"/>
  <c r="C49" i="4"/>
  <c r="C133" i="4"/>
  <c r="C91" i="4"/>
  <c r="C112" i="4"/>
  <c r="R5" i="3"/>
  <c r="G4" i="9" s="1"/>
  <c r="Q5" i="3"/>
  <c r="C27" i="4" s="1"/>
  <c r="S5" i="3"/>
  <c r="T5" i="3"/>
  <c r="H170" i="5"/>
  <c r="O3" i="3"/>
  <c r="H171" i="5"/>
  <c r="O4" i="3"/>
  <c r="J172" i="5"/>
  <c r="O49" i="3"/>
  <c r="U49" i="3" s="1"/>
  <c r="I173" i="5"/>
  <c r="O28" i="3"/>
  <c r="J188" i="5"/>
  <c r="I188" i="5"/>
  <c r="H188" i="5"/>
  <c r="T74" i="6"/>
  <c r="T116" i="6"/>
  <c r="E8" i="4"/>
  <c r="H27" i="3"/>
  <c r="P27" i="3"/>
  <c r="I25" i="3"/>
  <c r="D25" i="3" s="1"/>
  <c r="D26" i="3"/>
  <c r="T158" i="6"/>
  <c r="T32" i="6"/>
  <c r="T53" i="6"/>
  <c r="T179" i="6"/>
  <c r="H47" i="3"/>
  <c r="P47" i="3"/>
  <c r="L241" i="6"/>
  <c r="M241" i="6" s="1"/>
  <c r="R241" i="6"/>
  <c r="S241" i="6" s="1"/>
  <c r="E241" i="6"/>
  <c r="O241" i="6"/>
  <c r="P241" i="6" s="1"/>
  <c r="G241" i="6"/>
  <c r="C240" i="6"/>
  <c r="W11" i="6"/>
  <c r="R10" i="6"/>
  <c r="S10" i="6" s="1"/>
  <c r="J9" i="6"/>
  <c r="H135" i="5" s="1"/>
  <c r="G135" i="5" s="1"/>
  <c r="O10" i="6"/>
  <c r="P10" i="6" s="1"/>
  <c r="G10" i="6"/>
  <c r="C9" i="6"/>
  <c r="L10" i="6"/>
  <c r="M10" i="6" s="1"/>
  <c r="E10" i="6"/>
  <c r="G31" i="6"/>
  <c r="C30" i="6"/>
  <c r="L31" i="6"/>
  <c r="M31" i="6" s="1"/>
  <c r="E31" i="6"/>
  <c r="R31" i="6"/>
  <c r="S31" i="6" s="1"/>
  <c r="O31" i="6"/>
  <c r="P31" i="6" s="1"/>
  <c r="G199" i="6"/>
  <c r="O199" i="6"/>
  <c r="P199" i="6" s="1"/>
  <c r="L199" i="6"/>
  <c r="M199" i="6" s="1"/>
  <c r="C198" i="6"/>
  <c r="E199" i="6"/>
  <c r="R199" i="6"/>
  <c r="S199" i="6" s="1"/>
  <c r="O115" i="6"/>
  <c r="P115" i="6" s="1"/>
  <c r="E115" i="6"/>
  <c r="C114" i="6"/>
  <c r="L115" i="6"/>
  <c r="M115" i="6" s="1"/>
  <c r="G115" i="6"/>
  <c r="R115" i="6"/>
  <c r="S115" i="6" s="1"/>
  <c r="H48" i="3"/>
  <c r="T11" i="6"/>
  <c r="V11" i="6"/>
  <c r="G220" i="6"/>
  <c r="C219" i="6"/>
  <c r="O220" i="6"/>
  <c r="P220" i="6" s="1"/>
  <c r="E220" i="6"/>
  <c r="R220" i="6"/>
  <c r="S220" i="6" s="1"/>
  <c r="L220" i="6"/>
  <c r="M220" i="6" s="1"/>
  <c r="G157" i="6"/>
  <c r="C156" i="6"/>
  <c r="R157" i="6"/>
  <c r="S157" i="6" s="1"/>
  <c r="E157" i="6"/>
  <c r="O157" i="6"/>
  <c r="P157" i="6" s="1"/>
  <c r="L157" i="6"/>
  <c r="M157" i="6" s="1"/>
  <c r="T137" i="6"/>
  <c r="T200" i="6"/>
  <c r="D80" i="3"/>
  <c r="E80" i="3" s="1"/>
  <c r="F80" i="3" s="1"/>
  <c r="N80" i="3" s="1"/>
  <c r="H34" i="5"/>
  <c r="I34" i="5" s="1"/>
  <c r="T242" i="6"/>
  <c r="L73" i="6"/>
  <c r="M73" i="6" s="1"/>
  <c r="G73" i="6"/>
  <c r="C72" i="6"/>
  <c r="R73" i="6"/>
  <c r="S73" i="6" s="1"/>
  <c r="E73" i="6"/>
  <c r="O73" i="6"/>
  <c r="P73" i="6" s="1"/>
  <c r="L94" i="6"/>
  <c r="M94" i="6" s="1"/>
  <c r="R94" i="6"/>
  <c r="S94" i="6" s="1"/>
  <c r="E94" i="6"/>
  <c r="O94" i="6"/>
  <c r="P94" i="6" s="1"/>
  <c r="G94" i="6"/>
  <c r="C93" i="6"/>
  <c r="T95" i="6"/>
  <c r="L136" i="6"/>
  <c r="M136" i="6" s="1"/>
  <c r="G136" i="6"/>
  <c r="R136" i="6"/>
  <c r="S136" i="6" s="1"/>
  <c r="O136" i="6"/>
  <c r="P136" i="6" s="1"/>
  <c r="C135" i="6"/>
  <c r="E136" i="6"/>
  <c r="T221" i="6"/>
  <c r="G178" i="6"/>
  <c r="C177" i="6"/>
  <c r="R178" i="6"/>
  <c r="S178" i="6" s="1"/>
  <c r="E178" i="6"/>
  <c r="O178" i="6"/>
  <c r="P178" i="6" s="1"/>
  <c r="L178" i="6"/>
  <c r="M178" i="6" s="1"/>
  <c r="G33" i="5"/>
  <c r="I12" i="6"/>
  <c r="R52" i="6"/>
  <c r="S52" i="6" s="1"/>
  <c r="E52" i="6"/>
  <c r="O52" i="6"/>
  <c r="P52" i="6" s="1"/>
  <c r="L52" i="6"/>
  <c r="M52" i="6" s="1"/>
  <c r="C51" i="6"/>
  <c r="G52" i="6"/>
  <c r="H11" i="6"/>
  <c r="U11" i="6"/>
  <c r="N61" i="5"/>
  <c r="I62" i="5"/>
  <c r="S60" i="5"/>
  <c r="R60" i="5"/>
  <c r="Q60" i="5"/>
  <c r="U60" i="5"/>
  <c r="T60" i="5"/>
  <c r="E25" i="3" l="1"/>
  <c r="F25" i="3" s="1"/>
  <c r="E26" i="3"/>
  <c r="F26" i="3" s="1"/>
  <c r="P26" i="3" s="1"/>
  <c r="C28" i="12"/>
  <c r="G196" i="4"/>
  <c r="G259" i="4"/>
  <c r="E239" i="4"/>
  <c r="E50" i="4"/>
  <c r="E71" i="4"/>
  <c r="G7" i="4"/>
  <c r="G28" i="4"/>
  <c r="G175" i="4"/>
  <c r="G280" i="4"/>
  <c r="C69" i="4"/>
  <c r="E134" i="4"/>
  <c r="E155" i="4"/>
  <c r="E197" i="4"/>
  <c r="E302" i="4"/>
  <c r="E92" i="4"/>
  <c r="E113" i="4"/>
  <c r="E29" i="4"/>
  <c r="E260" i="4"/>
  <c r="E176" i="4"/>
  <c r="E281" i="4"/>
  <c r="U28" i="3"/>
  <c r="R28" i="3"/>
  <c r="H5" i="9" s="1"/>
  <c r="S28" i="3"/>
  <c r="Q28" i="3"/>
  <c r="E217" i="4" s="1"/>
  <c r="G49" i="4"/>
  <c r="G70" i="4"/>
  <c r="G91" i="4"/>
  <c r="G112" i="4"/>
  <c r="G133" i="4"/>
  <c r="G217" i="4"/>
  <c r="G301" i="4"/>
  <c r="G154" i="4"/>
  <c r="S49" i="3"/>
  <c r="Q49" i="3"/>
  <c r="G216" i="4" s="1"/>
  <c r="R49" i="3"/>
  <c r="I4" i="9" s="1"/>
  <c r="C111" i="4"/>
  <c r="C90" i="4"/>
  <c r="C48" i="4"/>
  <c r="C258" i="4"/>
  <c r="C195" i="4"/>
  <c r="C132" i="4"/>
  <c r="C216" i="4"/>
  <c r="C300" i="4"/>
  <c r="C153" i="4"/>
  <c r="R4" i="3"/>
  <c r="G3" i="9" s="1"/>
  <c r="S4" i="3"/>
  <c r="T4" i="3"/>
  <c r="Q4" i="3"/>
  <c r="C110" i="4" s="1"/>
  <c r="C174" i="4"/>
  <c r="C279" i="4"/>
  <c r="C237" i="4"/>
  <c r="C6" i="4"/>
  <c r="P80" i="3"/>
  <c r="O80" i="3"/>
  <c r="S3" i="3"/>
  <c r="R3" i="3"/>
  <c r="G2" i="9" s="1"/>
  <c r="Q3" i="3"/>
  <c r="T3" i="3"/>
  <c r="J170" i="5"/>
  <c r="O47" i="3"/>
  <c r="I172" i="5"/>
  <c r="O27" i="3"/>
  <c r="J171" i="5"/>
  <c r="O48" i="3"/>
  <c r="U48" i="3" s="1"/>
  <c r="J34" i="5"/>
  <c r="H26" i="3"/>
  <c r="H25" i="3"/>
  <c r="P25" i="3"/>
  <c r="T178" i="6"/>
  <c r="T136" i="6"/>
  <c r="T94" i="6"/>
  <c r="T157" i="6"/>
  <c r="T220" i="6"/>
  <c r="T115" i="6"/>
  <c r="U10" i="6"/>
  <c r="T10" i="6"/>
  <c r="L51" i="6"/>
  <c r="M51" i="6" s="1"/>
  <c r="G51" i="6"/>
  <c r="C50" i="6"/>
  <c r="R51" i="6"/>
  <c r="S51" i="6" s="1"/>
  <c r="E51" i="6"/>
  <c r="O51" i="6"/>
  <c r="P51" i="6" s="1"/>
  <c r="T52" i="6"/>
  <c r="G93" i="6"/>
  <c r="L93" i="6"/>
  <c r="M93" i="6" s="1"/>
  <c r="C92" i="6"/>
  <c r="R93" i="6"/>
  <c r="S93" i="6" s="1"/>
  <c r="E93" i="6"/>
  <c r="O93" i="6"/>
  <c r="P93" i="6" s="1"/>
  <c r="O219" i="6"/>
  <c r="P219" i="6" s="1"/>
  <c r="G219" i="6"/>
  <c r="C218" i="6"/>
  <c r="R219" i="6"/>
  <c r="S219" i="6" s="1"/>
  <c r="L219" i="6"/>
  <c r="M219" i="6" s="1"/>
  <c r="E219" i="6"/>
  <c r="T31" i="6"/>
  <c r="O30" i="6"/>
  <c r="P30" i="6" s="1"/>
  <c r="L30" i="6"/>
  <c r="M30" i="6" s="1"/>
  <c r="G30" i="6"/>
  <c r="E30" i="6"/>
  <c r="R30" i="6"/>
  <c r="S30" i="6" s="1"/>
  <c r="C29" i="6"/>
  <c r="E9" i="6"/>
  <c r="R9" i="6"/>
  <c r="S9" i="6" s="1"/>
  <c r="O9" i="6"/>
  <c r="P9" i="6" s="1"/>
  <c r="G9" i="6"/>
  <c r="J8" i="6"/>
  <c r="H134" i="5" s="1"/>
  <c r="G134" i="5" s="1"/>
  <c r="C8" i="6"/>
  <c r="L9" i="6"/>
  <c r="M9" i="6" s="1"/>
  <c r="W10" i="6"/>
  <c r="T241" i="6"/>
  <c r="I11" i="6"/>
  <c r="G32" i="5"/>
  <c r="H33" i="5"/>
  <c r="I33" i="5" s="1"/>
  <c r="D79" i="3"/>
  <c r="E79" i="3" s="1"/>
  <c r="F79" i="3" s="1"/>
  <c r="N79" i="3" s="1"/>
  <c r="R72" i="6"/>
  <c r="S72" i="6" s="1"/>
  <c r="O72" i="6"/>
  <c r="P72" i="6" s="1"/>
  <c r="L72" i="6"/>
  <c r="M72" i="6" s="1"/>
  <c r="G72" i="6"/>
  <c r="C71" i="6"/>
  <c r="E72" i="6"/>
  <c r="L114" i="6"/>
  <c r="M114" i="6" s="1"/>
  <c r="R114" i="6"/>
  <c r="S114" i="6" s="1"/>
  <c r="E114" i="6"/>
  <c r="O114" i="6"/>
  <c r="P114" i="6" s="1"/>
  <c r="G114" i="6"/>
  <c r="C113" i="6"/>
  <c r="R198" i="6"/>
  <c r="S198" i="6" s="1"/>
  <c r="O198" i="6"/>
  <c r="P198" i="6" s="1"/>
  <c r="E198" i="6"/>
  <c r="L198" i="6"/>
  <c r="M198" i="6" s="1"/>
  <c r="G198" i="6"/>
  <c r="C197" i="6"/>
  <c r="H10" i="6"/>
  <c r="O177" i="6"/>
  <c r="P177" i="6" s="1"/>
  <c r="L177" i="6"/>
  <c r="M177" i="6" s="1"/>
  <c r="R177" i="6"/>
  <c r="S177" i="6" s="1"/>
  <c r="G177" i="6"/>
  <c r="C176" i="6"/>
  <c r="E177" i="6"/>
  <c r="G135" i="6"/>
  <c r="R135" i="6"/>
  <c r="S135" i="6" s="1"/>
  <c r="O135" i="6"/>
  <c r="P135" i="6" s="1"/>
  <c r="E135" i="6"/>
  <c r="C134" i="6"/>
  <c r="L135" i="6"/>
  <c r="M135" i="6" s="1"/>
  <c r="T73" i="6"/>
  <c r="B118" i="5"/>
  <c r="B286" i="5"/>
  <c r="B13" i="5"/>
  <c r="B244" i="5"/>
  <c r="B265" i="5"/>
  <c r="B139" i="5"/>
  <c r="B97" i="5"/>
  <c r="B307" i="5"/>
  <c r="B202" i="5"/>
  <c r="B160" i="5"/>
  <c r="B76" i="5"/>
  <c r="B181" i="5"/>
  <c r="B34" i="5"/>
  <c r="B55" i="5"/>
  <c r="B223" i="5"/>
  <c r="O156" i="6"/>
  <c r="P156" i="6" s="1"/>
  <c r="L156" i="6"/>
  <c r="M156" i="6" s="1"/>
  <c r="G156" i="6"/>
  <c r="C155" i="6"/>
  <c r="R156" i="6"/>
  <c r="S156" i="6" s="1"/>
  <c r="E156" i="6"/>
  <c r="T199" i="6"/>
  <c r="V10" i="6"/>
  <c r="R240" i="6"/>
  <c r="S240" i="6" s="1"/>
  <c r="E240" i="6"/>
  <c r="L240" i="6"/>
  <c r="M240" i="6" s="1"/>
  <c r="G240" i="6"/>
  <c r="C239" i="6"/>
  <c r="O240" i="6"/>
  <c r="P240" i="6" s="1"/>
  <c r="N62" i="5"/>
  <c r="I63" i="5"/>
  <c r="N63" i="5" s="1"/>
  <c r="S61" i="5"/>
  <c r="Q61" i="5"/>
  <c r="R61" i="5"/>
  <c r="U61" i="5"/>
  <c r="T61" i="5"/>
  <c r="C29" i="12" l="1"/>
  <c r="G258" i="4"/>
  <c r="G237" i="4"/>
  <c r="G6" i="4"/>
  <c r="G279" i="4"/>
  <c r="C47" i="4"/>
  <c r="G69" i="4"/>
  <c r="G48" i="4"/>
  <c r="C299" i="4"/>
  <c r="G300" i="4"/>
  <c r="C278" i="4"/>
  <c r="E28" i="4"/>
  <c r="G27" i="4"/>
  <c r="G90" i="4"/>
  <c r="G111" i="4"/>
  <c r="G132" i="4"/>
  <c r="G153" i="4"/>
  <c r="G174" i="4"/>
  <c r="G195" i="4"/>
  <c r="C194" i="4"/>
  <c r="C68" i="4"/>
  <c r="C5" i="4"/>
  <c r="C26" i="4"/>
  <c r="C236" i="4"/>
  <c r="C173" i="4"/>
  <c r="E175" i="4"/>
  <c r="C152" i="4"/>
  <c r="C131" i="4"/>
  <c r="C215" i="4"/>
  <c r="C257" i="4"/>
  <c r="E112" i="4"/>
  <c r="C89" i="4"/>
  <c r="E49" i="4"/>
  <c r="S47" i="3"/>
  <c r="Q47" i="3"/>
  <c r="G298" i="4" s="1"/>
  <c r="U47" i="3"/>
  <c r="R47" i="3"/>
  <c r="I2" i="9" s="1"/>
  <c r="E196" i="4"/>
  <c r="E301" i="4"/>
  <c r="E259" i="4"/>
  <c r="E70" i="4"/>
  <c r="E280" i="4"/>
  <c r="E154" i="4"/>
  <c r="E7" i="4"/>
  <c r="E91" i="4"/>
  <c r="U27" i="3"/>
  <c r="Q27" i="3"/>
  <c r="E279" i="4" s="1"/>
  <c r="R27" i="3"/>
  <c r="H4" i="9" s="1"/>
  <c r="S27" i="3"/>
  <c r="W80" i="3"/>
  <c r="X80" i="3"/>
  <c r="U80" i="3"/>
  <c r="Y80" i="3"/>
  <c r="V80" i="3"/>
  <c r="E133" i="4"/>
  <c r="E238" i="4"/>
  <c r="R48" i="3"/>
  <c r="I3" i="9" s="1"/>
  <c r="S48" i="3"/>
  <c r="Q48" i="3"/>
  <c r="G26" i="4" s="1"/>
  <c r="P79" i="3"/>
  <c r="O79" i="3"/>
  <c r="I170" i="5"/>
  <c r="O25" i="3"/>
  <c r="I171" i="5"/>
  <c r="O26" i="3"/>
  <c r="J33" i="5"/>
  <c r="T177" i="6"/>
  <c r="T135" i="6"/>
  <c r="T114" i="6"/>
  <c r="T72" i="6"/>
  <c r="T240" i="6"/>
  <c r="T156" i="6"/>
  <c r="G71" i="6"/>
  <c r="C70" i="6"/>
  <c r="R71" i="6"/>
  <c r="S71" i="6" s="1"/>
  <c r="E71" i="6"/>
  <c r="O71" i="6"/>
  <c r="P71" i="6" s="1"/>
  <c r="L71" i="6"/>
  <c r="M71" i="6" s="1"/>
  <c r="H32" i="5"/>
  <c r="I32" i="5" s="1"/>
  <c r="D78" i="3"/>
  <c r="E78" i="3" s="1"/>
  <c r="F78" i="3" s="1"/>
  <c r="N78" i="3" s="1"/>
  <c r="U9" i="6"/>
  <c r="T9" i="6"/>
  <c r="V9" i="6"/>
  <c r="T93" i="6"/>
  <c r="T51" i="6"/>
  <c r="G176" i="6"/>
  <c r="C175" i="6"/>
  <c r="R176" i="6"/>
  <c r="S176" i="6" s="1"/>
  <c r="E176" i="6"/>
  <c r="L176" i="6"/>
  <c r="M176" i="6" s="1"/>
  <c r="O176" i="6"/>
  <c r="P176" i="6" s="1"/>
  <c r="T198" i="6"/>
  <c r="G113" i="6"/>
  <c r="C112" i="6"/>
  <c r="R113" i="6"/>
  <c r="S113" i="6" s="1"/>
  <c r="E113" i="6"/>
  <c r="O113" i="6"/>
  <c r="P113" i="6" s="1"/>
  <c r="L113" i="6"/>
  <c r="M113" i="6" s="1"/>
  <c r="L8" i="6"/>
  <c r="M8" i="6" s="1"/>
  <c r="G8" i="6"/>
  <c r="O8" i="6"/>
  <c r="P8" i="6" s="1"/>
  <c r="E8" i="6"/>
  <c r="J7" i="6"/>
  <c r="H133" i="5" s="1"/>
  <c r="G133" i="5" s="1"/>
  <c r="C7" i="6"/>
  <c r="R8" i="6"/>
  <c r="S8" i="6" s="1"/>
  <c r="W9" i="6"/>
  <c r="O218" i="6"/>
  <c r="P218" i="6" s="1"/>
  <c r="R218" i="6"/>
  <c r="S218" i="6" s="1"/>
  <c r="C217" i="6"/>
  <c r="L218" i="6"/>
  <c r="M218" i="6" s="1"/>
  <c r="G218" i="6"/>
  <c r="E218" i="6"/>
  <c r="L239" i="6"/>
  <c r="M239" i="6" s="1"/>
  <c r="R239" i="6"/>
  <c r="S239" i="6" s="1"/>
  <c r="E239" i="6"/>
  <c r="O239" i="6"/>
  <c r="P239" i="6" s="1"/>
  <c r="G239" i="6"/>
  <c r="C238" i="6"/>
  <c r="G155" i="6"/>
  <c r="C154" i="6"/>
  <c r="R155" i="6"/>
  <c r="S155" i="6" s="1"/>
  <c r="E155" i="6"/>
  <c r="O155" i="6"/>
  <c r="P155" i="6" s="1"/>
  <c r="L155" i="6"/>
  <c r="M155" i="6" s="1"/>
  <c r="I10" i="6"/>
  <c r="G31" i="5"/>
  <c r="R50" i="6"/>
  <c r="S50" i="6" s="1"/>
  <c r="O50" i="6"/>
  <c r="P50" i="6" s="1"/>
  <c r="L50" i="6"/>
  <c r="M50" i="6" s="1"/>
  <c r="G50" i="6"/>
  <c r="C49" i="6"/>
  <c r="E50" i="6"/>
  <c r="R134" i="6"/>
  <c r="S134" i="6" s="1"/>
  <c r="O134" i="6"/>
  <c r="P134" i="6" s="1"/>
  <c r="E134" i="6"/>
  <c r="C133" i="6"/>
  <c r="L134" i="6"/>
  <c r="M134" i="6" s="1"/>
  <c r="G134" i="6"/>
  <c r="O197" i="6"/>
  <c r="P197" i="6" s="1"/>
  <c r="E197" i="6"/>
  <c r="C196" i="6"/>
  <c r="L197" i="6"/>
  <c r="M197" i="6" s="1"/>
  <c r="G197" i="6"/>
  <c r="R197" i="6"/>
  <c r="S197" i="6" s="1"/>
  <c r="B306" i="5"/>
  <c r="B264" i="5"/>
  <c r="B33" i="5"/>
  <c r="B96" i="5"/>
  <c r="B222" i="5"/>
  <c r="B285" i="5"/>
  <c r="B12" i="5"/>
  <c r="B75" i="5"/>
  <c r="B180" i="5"/>
  <c r="B201" i="5"/>
  <c r="B54" i="5"/>
  <c r="B243" i="5"/>
  <c r="B159" i="5"/>
  <c r="B138" i="5"/>
  <c r="B117" i="5"/>
  <c r="H9" i="6"/>
  <c r="G29" i="6"/>
  <c r="C28" i="6"/>
  <c r="O29" i="6"/>
  <c r="P29" i="6" s="1"/>
  <c r="L29" i="6"/>
  <c r="M29" i="6" s="1"/>
  <c r="E29" i="6"/>
  <c r="R29" i="6"/>
  <c r="S29" i="6" s="1"/>
  <c r="T30" i="6"/>
  <c r="T219" i="6"/>
  <c r="R92" i="6"/>
  <c r="S92" i="6" s="1"/>
  <c r="O92" i="6"/>
  <c r="P92" i="6" s="1"/>
  <c r="E92" i="6"/>
  <c r="L92" i="6"/>
  <c r="M92" i="6" s="1"/>
  <c r="G92" i="6"/>
  <c r="C91" i="6"/>
  <c r="S63" i="5"/>
  <c r="Q63" i="5"/>
  <c r="R63" i="5"/>
  <c r="U63" i="5"/>
  <c r="T63" i="5"/>
  <c r="Q62" i="5"/>
  <c r="S62" i="5"/>
  <c r="R62" i="5"/>
  <c r="U62" i="5"/>
  <c r="T62" i="5"/>
  <c r="C298" i="4"/>
  <c r="C193" i="4"/>
  <c r="C31" i="12" l="1"/>
  <c r="C30" i="12"/>
  <c r="E48" i="4"/>
  <c r="G109" i="4"/>
  <c r="G277" i="4"/>
  <c r="G256" i="4"/>
  <c r="G299" i="4"/>
  <c r="G88" i="4"/>
  <c r="G67" i="4"/>
  <c r="E132" i="4"/>
  <c r="G4" i="4"/>
  <c r="G151" i="4"/>
  <c r="E174" i="4"/>
  <c r="G25" i="4"/>
  <c r="G193" i="4"/>
  <c r="G5" i="4"/>
  <c r="E237" i="4"/>
  <c r="G152" i="4"/>
  <c r="E6" i="4"/>
  <c r="G172" i="4"/>
  <c r="G46" i="4"/>
  <c r="G235" i="4"/>
  <c r="G110" i="4"/>
  <c r="E90" i="4"/>
  <c r="E27" i="4"/>
  <c r="E300" i="4"/>
  <c r="G131" i="4"/>
  <c r="E153" i="4"/>
  <c r="E69" i="4"/>
  <c r="E111" i="4"/>
  <c r="G130" i="4"/>
  <c r="G214" i="4"/>
  <c r="G257" i="4"/>
  <c r="G47" i="4"/>
  <c r="E216" i="4"/>
  <c r="E195" i="4"/>
  <c r="E258" i="4"/>
  <c r="S26" i="3"/>
  <c r="Q26" i="3"/>
  <c r="E215" i="4" s="1"/>
  <c r="U26" i="3"/>
  <c r="R26" i="3"/>
  <c r="H3" i="9" s="1"/>
  <c r="X79" i="3"/>
  <c r="U79" i="3"/>
  <c r="Y79" i="3"/>
  <c r="V79" i="3"/>
  <c r="W79" i="3"/>
  <c r="Q25" i="3"/>
  <c r="E214" i="4" s="1"/>
  <c r="U25" i="3"/>
  <c r="S25" i="3"/>
  <c r="R25" i="3"/>
  <c r="H2" i="9" s="1"/>
  <c r="G194" i="4"/>
  <c r="G278" i="4"/>
  <c r="G236" i="4"/>
  <c r="G173" i="4"/>
  <c r="G68" i="4"/>
  <c r="G89" i="4"/>
  <c r="G215" i="4"/>
  <c r="P78" i="3"/>
  <c r="O78" i="3"/>
  <c r="J32" i="5"/>
  <c r="T197" i="6"/>
  <c r="T218" i="6"/>
  <c r="T113" i="6"/>
  <c r="T176" i="6"/>
  <c r="T71" i="6"/>
  <c r="T155" i="6"/>
  <c r="O28" i="6"/>
  <c r="P28" i="6" s="1"/>
  <c r="R28" i="6"/>
  <c r="S28" i="6" s="1"/>
  <c r="C27" i="6"/>
  <c r="L28" i="6"/>
  <c r="M28" i="6" s="1"/>
  <c r="G28" i="6"/>
  <c r="E28" i="6"/>
  <c r="H31" i="5"/>
  <c r="D77" i="3"/>
  <c r="E77" i="3" s="1"/>
  <c r="F77" i="3" s="1"/>
  <c r="N77" i="3" s="1"/>
  <c r="R238" i="6"/>
  <c r="S238" i="6" s="1"/>
  <c r="E238" i="6"/>
  <c r="L238" i="6"/>
  <c r="M238" i="6" s="1"/>
  <c r="O238" i="6"/>
  <c r="P238" i="6" s="1"/>
  <c r="G238" i="6"/>
  <c r="C237" i="6"/>
  <c r="R112" i="6"/>
  <c r="S112" i="6" s="1"/>
  <c r="L112" i="6"/>
  <c r="M112" i="6" s="1"/>
  <c r="G112" i="6"/>
  <c r="C111" i="6"/>
  <c r="O112" i="6"/>
  <c r="P112" i="6" s="1"/>
  <c r="E112" i="6"/>
  <c r="O70" i="6"/>
  <c r="P70" i="6" s="1"/>
  <c r="L70" i="6"/>
  <c r="M70" i="6" s="1"/>
  <c r="G70" i="6"/>
  <c r="C69" i="6"/>
  <c r="R70" i="6"/>
  <c r="S70" i="6" s="1"/>
  <c r="E70" i="6"/>
  <c r="L196" i="6"/>
  <c r="M196" i="6" s="1"/>
  <c r="R196" i="6"/>
  <c r="S196" i="6" s="1"/>
  <c r="O196" i="6"/>
  <c r="P196" i="6" s="1"/>
  <c r="G196" i="6"/>
  <c r="C195" i="6"/>
  <c r="E196" i="6"/>
  <c r="T134" i="6"/>
  <c r="T50" i="6"/>
  <c r="T239" i="6"/>
  <c r="G217" i="6"/>
  <c r="C216" i="6"/>
  <c r="R217" i="6"/>
  <c r="S217" i="6" s="1"/>
  <c r="O217" i="6"/>
  <c r="P217" i="6" s="1"/>
  <c r="L217" i="6"/>
  <c r="M217" i="6" s="1"/>
  <c r="E217" i="6"/>
  <c r="W8" i="6"/>
  <c r="V8" i="6"/>
  <c r="O91" i="6"/>
  <c r="P91" i="6" s="1"/>
  <c r="E91" i="6"/>
  <c r="C90" i="6"/>
  <c r="G91" i="6"/>
  <c r="R91" i="6"/>
  <c r="S91" i="6" s="1"/>
  <c r="L91" i="6"/>
  <c r="M91" i="6" s="1"/>
  <c r="T29" i="6"/>
  <c r="G30" i="5"/>
  <c r="I9" i="6"/>
  <c r="O133" i="6"/>
  <c r="P133" i="6" s="1"/>
  <c r="E133" i="6"/>
  <c r="C132" i="6"/>
  <c r="L133" i="6"/>
  <c r="M133" i="6" s="1"/>
  <c r="G133" i="6"/>
  <c r="R133" i="6"/>
  <c r="S133" i="6" s="1"/>
  <c r="O154" i="6"/>
  <c r="P154" i="6" s="1"/>
  <c r="L154" i="6"/>
  <c r="M154" i="6" s="1"/>
  <c r="G154" i="6"/>
  <c r="C153" i="6"/>
  <c r="R154" i="6"/>
  <c r="S154" i="6" s="1"/>
  <c r="E154" i="6"/>
  <c r="O7" i="6"/>
  <c r="P7" i="6" s="1"/>
  <c r="C6" i="6"/>
  <c r="R7" i="6"/>
  <c r="S7" i="6" s="1"/>
  <c r="G7" i="6"/>
  <c r="L7" i="6"/>
  <c r="M7" i="6" s="1"/>
  <c r="E7" i="6"/>
  <c r="J6" i="6"/>
  <c r="H132" i="5" s="1"/>
  <c r="G132" i="5" s="1"/>
  <c r="H8" i="6"/>
  <c r="T92" i="6"/>
  <c r="G49" i="6"/>
  <c r="R49" i="6"/>
  <c r="S49" i="6" s="1"/>
  <c r="E49" i="6"/>
  <c r="L49" i="6"/>
  <c r="M49" i="6" s="1"/>
  <c r="C48" i="6"/>
  <c r="O49" i="6"/>
  <c r="P49" i="6" s="1"/>
  <c r="U8" i="6"/>
  <c r="T8" i="6"/>
  <c r="O175" i="6"/>
  <c r="P175" i="6" s="1"/>
  <c r="L175" i="6"/>
  <c r="M175" i="6" s="1"/>
  <c r="E175" i="6"/>
  <c r="R175" i="6"/>
  <c r="S175" i="6" s="1"/>
  <c r="G175" i="6"/>
  <c r="C174" i="6"/>
  <c r="B32" i="5"/>
  <c r="B11" i="5"/>
  <c r="B221" i="5"/>
  <c r="B284" i="5"/>
  <c r="B74" i="5"/>
  <c r="B95" i="5"/>
  <c r="B200" i="5"/>
  <c r="B263" i="5"/>
  <c r="B116" i="5"/>
  <c r="B158" i="5"/>
  <c r="B242" i="5"/>
  <c r="B137" i="5"/>
  <c r="B53" i="5"/>
  <c r="B305" i="5"/>
  <c r="B179" i="5"/>
  <c r="C109" i="4"/>
  <c r="C67" i="4"/>
  <c r="C172" i="4"/>
  <c r="C25" i="4"/>
  <c r="C214" i="4"/>
  <c r="C46" i="4"/>
  <c r="C4" i="4"/>
  <c r="C256" i="4"/>
  <c r="C151" i="4"/>
  <c r="C277" i="4"/>
  <c r="C88" i="4"/>
  <c r="C130" i="4"/>
  <c r="C235" i="4"/>
  <c r="E88" i="4" l="1"/>
  <c r="E26" i="4"/>
  <c r="E5" i="4"/>
  <c r="E193" i="4"/>
  <c r="E25" i="4"/>
  <c r="E173" i="4"/>
  <c r="E4" i="4"/>
  <c r="E236" i="4"/>
  <c r="E298" i="4"/>
  <c r="E277" i="4"/>
  <c r="E89" i="4"/>
  <c r="E257" i="4"/>
  <c r="E109" i="4"/>
  <c r="E299" i="4"/>
  <c r="E152" i="4"/>
  <c r="E46" i="4"/>
  <c r="E151" i="4"/>
  <c r="E172" i="4"/>
  <c r="E130" i="4"/>
  <c r="E68" i="4"/>
  <c r="E110" i="4"/>
  <c r="E194" i="4"/>
  <c r="E278" i="4"/>
  <c r="E67" i="4"/>
  <c r="E235" i="4"/>
  <c r="E256" i="4"/>
  <c r="E47" i="4"/>
  <c r="E131" i="4"/>
  <c r="U78" i="3"/>
  <c r="Y78" i="3"/>
  <c r="V78" i="3"/>
  <c r="W78" i="3"/>
  <c r="X78" i="3"/>
  <c r="P77" i="3"/>
  <c r="O77" i="3"/>
  <c r="T196" i="6"/>
  <c r="T238" i="6"/>
  <c r="T49" i="6"/>
  <c r="T91" i="6"/>
  <c r="T70" i="6"/>
  <c r="T28" i="6"/>
  <c r="O48" i="6"/>
  <c r="P48" i="6" s="1"/>
  <c r="L48" i="6"/>
  <c r="M48" i="6" s="1"/>
  <c r="E48" i="6"/>
  <c r="C47" i="6"/>
  <c r="R48" i="6"/>
  <c r="S48" i="6" s="1"/>
  <c r="G48" i="6"/>
  <c r="W7" i="6"/>
  <c r="L132" i="6"/>
  <c r="M132" i="6" s="1"/>
  <c r="G132" i="6"/>
  <c r="R132" i="6"/>
  <c r="S132" i="6" s="1"/>
  <c r="E132" i="6"/>
  <c r="O132" i="6"/>
  <c r="P132" i="6" s="1"/>
  <c r="C131" i="6"/>
  <c r="H30" i="5"/>
  <c r="I30" i="5" s="1"/>
  <c r="D76" i="3"/>
  <c r="E76" i="3" s="1"/>
  <c r="F76" i="3" s="1"/>
  <c r="N76" i="3" s="1"/>
  <c r="G195" i="6"/>
  <c r="R195" i="6"/>
  <c r="S195" i="6" s="1"/>
  <c r="E195" i="6"/>
  <c r="O195" i="6"/>
  <c r="P195" i="6" s="1"/>
  <c r="L195" i="6"/>
  <c r="M195" i="6" s="1"/>
  <c r="C194" i="6"/>
  <c r="R6" i="6"/>
  <c r="S6" i="6" s="1"/>
  <c r="J5" i="6"/>
  <c r="H131" i="5" s="1"/>
  <c r="G131" i="5" s="1"/>
  <c r="O6" i="6"/>
  <c r="P6" i="6" s="1"/>
  <c r="G6" i="6"/>
  <c r="C5" i="6"/>
  <c r="L6" i="6"/>
  <c r="M6" i="6" s="1"/>
  <c r="E6" i="6"/>
  <c r="G153" i="6"/>
  <c r="C152" i="6"/>
  <c r="R153" i="6"/>
  <c r="S153" i="6" s="1"/>
  <c r="E153" i="6"/>
  <c r="O153" i="6"/>
  <c r="P153" i="6" s="1"/>
  <c r="L153" i="6"/>
  <c r="M153" i="6" s="1"/>
  <c r="L90" i="6"/>
  <c r="M90" i="6" s="1"/>
  <c r="O90" i="6"/>
  <c r="P90" i="6" s="1"/>
  <c r="G90" i="6"/>
  <c r="C89" i="6"/>
  <c r="R90" i="6"/>
  <c r="S90" i="6" s="1"/>
  <c r="E90" i="6"/>
  <c r="O111" i="6"/>
  <c r="P111" i="6" s="1"/>
  <c r="E111" i="6"/>
  <c r="C110" i="6"/>
  <c r="R111" i="6"/>
  <c r="S111" i="6" s="1"/>
  <c r="L111" i="6"/>
  <c r="M111" i="6" s="1"/>
  <c r="G111" i="6"/>
  <c r="L237" i="6"/>
  <c r="M237" i="6" s="1"/>
  <c r="R237" i="6"/>
  <c r="S237" i="6" s="1"/>
  <c r="E237" i="6"/>
  <c r="O237" i="6"/>
  <c r="P237" i="6" s="1"/>
  <c r="G237" i="6"/>
  <c r="C236" i="6"/>
  <c r="B52" i="5"/>
  <c r="B31" i="5"/>
  <c r="B10" i="5"/>
  <c r="B283" i="5"/>
  <c r="B199" i="5"/>
  <c r="B115" i="5"/>
  <c r="B262" i="5"/>
  <c r="B178" i="5"/>
  <c r="B94" i="5"/>
  <c r="B241" i="5"/>
  <c r="B157" i="5"/>
  <c r="B73" i="5"/>
  <c r="B304" i="5"/>
  <c r="B220" i="5"/>
  <c r="B136" i="5"/>
  <c r="G27" i="6"/>
  <c r="C26" i="6"/>
  <c r="R27" i="6"/>
  <c r="S27" i="6" s="1"/>
  <c r="O27" i="6"/>
  <c r="P27" i="6" s="1"/>
  <c r="L27" i="6"/>
  <c r="M27" i="6" s="1"/>
  <c r="E27" i="6"/>
  <c r="U7" i="6"/>
  <c r="T7" i="6"/>
  <c r="V7" i="6"/>
  <c r="O216" i="6"/>
  <c r="P216" i="6" s="1"/>
  <c r="E216" i="6"/>
  <c r="R216" i="6"/>
  <c r="S216" i="6" s="1"/>
  <c r="C215" i="6"/>
  <c r="L216" i="6"/>
  <c r="M216" i="6" s="1"/>
  <c r="G216" i="6"/>
  <c r="G174" i="6"/>
  <c r="C173" i="6"/>
  <c r="R174" i="6"/>
  <c r="S174" i="6" s="1"/>
  <c r="E174" i="6"/>
  <c r="O174" i="6"/>
  <c r="P174" i="6" s="1"/>
  <c r="L174" i="6"/>
  <c r="M174" i="6" s="1"/>
  <c r="T175" i="6"/>
  <c r="I8" i="6"/>
  <c r="G29" i="5"/>
  <c r="H7" i="6"/>
  <c r="T154" i="6"/>
  <c r="T133" i="6"/>
  <c r="T217" i="6"/>
  <c r="G69" i="6"/>
  <c r="C68" i="6"/>
  <c r="R69" i="6"/>
  <c r="S69" i="6" s="1"/>
  <c r="E69" i="6"/>
  <c r="O69" i="6"/>
  <c r="P69" i="6" s="1"/>
  <c r="L69" i="6"/>
  <c r="M69" i="6" s="1"/>
  <c r="T112" i="6"/>
  <c r="I31" i="5"/>
  <c r="V77" i="3" l="1"/>
  <c r="W77" i="3"/>
  <c r="X77" i="3"/>
  <c r="U77" i="3"/>
  <c r="Y77" i="3"/>
  <c r="P76" i="3"/>
  <c r="O76" i="3"/>
  <c r="J31" i="5"/>
  <c r="J30" i="5"/>
  <c r="T111" i="6"/>
  <c r="T174" i="6"/>
  <c r="T153" i="6"/>
  <c r="G89" i="6"/>
  <c r="R89" i="6"/>
  <c r="S89" i="6" s="1"/>
  <c r="E89" i="6"/>
  <c r="O89" i="6"/>
  <c r="P89" i="6" s="1"/>
  <c r="L89" i="6"/>
  <c r="M89" i="6" s="1"/>
  <c r="C88" i="6"/>
  <c r="O152" i="6"/>
  <c r="P152" i="6" s="1"/>
  <c r="L152" i="6"/>
  <c r="M152" i="6" s="1"/>
  <c r="G152" i="6"/>
  <c r="C151" i="6"/>
  <c r="R152" i="6"/>
  <c r="S152" i="6" s="1"/>
  <c r="E152" i="6"/>
  <c r="E5" i="6"/>
  <c r="O5" i="6"/>
  <c r="P5" i="6" s="1"/>
  <c r="G5" i="6"/>
  <c r="J4" i="6"/>
  <c r="H130" i="5" s="1"/>
  <c r="G130" i="5" s="1"/>
  <c r="C4" i="6"/>
  <c r="L5" i="6"/>
  <c r="M5" i="6" s="1"/>
  <c r="R5" i="6"/>
  <c r="S5" i="6" s="1"/>
  <c r="W6" i="6"/>
  <c r="R47" i="6"/>
  <c r="S47" i="6" s="1"/>
  <c r="E47" i="6"/>
  <c r="G47" i="6"/>
  <c r="O47" i="6"/>
  <c r="P47" i="6" s="1"/>
  <c r="C46" i="6"/>
  <c r="L47" i="6"/>
  <c r="M47" i="6" s="1"/>
  <c r="T69" i="6"/>
  <c r="O68" i="6"/>
  <c r="P68" i="6" s="1"/>
  <c r="L68" i="6"/>
  <c r="M68" i="6" s="1"/>
  <c r="G68" i="6"/>
  <c r="C67" i="6"/>
  <c r="R68" i="6"/>
  <c r="S68" i="6" s="1"/>
  <c r="E68" i="6"/>
  <c r="T216" i="6"/>
  <c r="O26" i="6"/>
  <c r="P26" i="6" s="1"/>
  <c r="E26" i="6"/>
  <c r="R26" i="6"/>
  <c r="S26" i="6" s="1"/>
  <c r="C25" i="6"/>
  <c r="L26" i="6"/>
  <c r="M26" i="6" s="1"/>
  <c r="G26" i="6"/>
  <c r="H6" i="6"/>
  <c r="G28" i="5"/>
  <c r="I7" i="6"/>
  <c r="O173" i="6"/>
  <c r="P173" i="6" s="1"/>
  <c r="L173" i="6"/>
  <c r="M173" i="6" s="1"/>
  <c r="R173" i="6"/>
  <c r="S173" i="6" s="1"/>
  <c r="G173" i="6"/>
  <c r="C172" i="6"/>
  <c r="E173" i="6"/>
  <c r="G215" i="6"/>
  <c r="C214" i="6"/>
  <c r="E215" i="6"/>
  <c r="R215" i="6"/>
  <c r="S215" i="6" s="1"/>
  <c r="O215" i="6"/>
  <c r="P215" i="6" s="1"/>
  <c r="L215" i="6"/>
  <c r="M215" i="6" s="1"/>
  <c r="T27" i="6"/>
  <c r="R236" i="6"/>
  <c r="S236" i="6" s="1"/>
  <c r="E236" i="6"/>
  <c r="L236" i="6"/>
  <c r="M236" i="6" s="1"/>
  <c r="G236" i="6"/>
  <c r="C235" i="6"/>
  <c r="O236" i="6"/>
  <c r="P236" i="6" s="1"/>
  <c r="T237" i="6"/>
  <c r="V6" i="6"/>
  <c r="R194" i="6"/>
  <c r="S194" i="6" s="1"/>
  <c r="G194" i="6"/>
  <c r="C193" i="6"/>
  <c r="E194" i="6"/>
  <c r="O194" i="6"/>
  <c r="P194" i="6" s="1"/>
  <c r="L194" i="6"/>
  <c r="M194" i="6" s="1"/>
  <c r="B9" i="5"/>
  <c r="B135" i="5"/>
  <c r="B114" i="5"/>
  <c r="B240" i="5"/>
  <c r="B198" i="5"/>
  <c r="B156" i="5"/>
  <c r="B282" i="5"/>
  <c r="B30" i="5"/>
  <c r="B303" i="5"/>
  <c r="B51" i="5"/>
  <c r="B177" i="5"/>
  <c r="B72" i="5"/>
  <c r="B93" i="5"/>
  <c r="B261" i="5"/>
  <c r="B219" i="5"/>
  <c r="T132" i="6"/>
  <c r="T48" i="6"/>
  <c r="D75" i="3"/>
  <c r="E75" i="3" s="1"/>
  <c r="F75" i="3" s="1"/>
  <c r="N75" i="3" s="1"/>
  <c r="H29" i="5"/>
  <c r="L110" i="6"/>
  <c r="M110" i="6" s="1"/>
  <c r="G110" i="6"/>
  <c r="C109" i="6"/>
  <c r="R110" i="6"/>
  <c r="S110" i="6" s="1"/>
  <c r="E110" i="6"/>
  <c r="O110" i="6"/>
  <c r="P110" i="6" s="1"/>
  <c r="T90" i="6"/>
  <c r="U6" i="6"/>
  <c r="T6" i="6"/>
  <c r="T195" i="6"/>
  <c r="G131" i="6"/>
  <c r="R131" i="6"/>
  <c r="S131" i="6" s="1"/>
  <c r="O131" i="6"/>
  <c r="P131" i="6" s="1"/>
  <c r="E131" i="6"/>
  <c r="C130" i="6"/>
  <c r="L131" i="6"/>
  <c r="M131" i="6" s="1"/>
  <c r="W76" i="3" l="1"/>
  <c r="X76" i="3"/>
  <c r="U76" i="3"/>
  <c r="Y76" i="3"/>
  <c r="V76" i="3"/>
  <c r="P75" i="3"/>
  <c r="O75" i="3"/>
  <c r="T152" i="6"/>
  <c r="T131" i="6"/>
  <c r="T110" i="6"/>
  <c r="T236" i="6"/>
  <c r="T215" i="6"/>
  <c r="T68" i="6"/>
  <c r="O193" i="6"/>
  <c r="P193" i="6" s="1"/>
  <c r="R193" i="6"/>
  <c r="S193" i="6" s="1"/>
  <c r="E193" i="6"/>
  <c r="C192" i="6"/>
  <c r="L193" i="6"/>
  <c r="M193" i="6" s="1"/>
  <c r="G193" i="6"/>
  <c r="O214" i="6"/>
  <c r="P214" i="6" s="1"/>
  <c r="G214" i="6"/>
  <c r="E214" i="6"/>
  <c r="R214" i="6"/>
  <c r="S214" i="6" s="1"/>
  <c r="C213" i="6"/>
  <c r="L214" i="6"/>
  <c r="M214" i="6" s="1"/>
  <c r="R130" i="6"/>
  <c r="S130" i="6" s="1"/>
  <c r="O130" i="6"/>
  <c r="P130" i="6" s="1"/>
  <c r="E130" i="6"/>
  <c r="C129" i="6"/>
  <c r="L130" i="6"/>
  <c r="M130" i="6" s="1"/>
  <c r="G130" i="6"/>
  <c r="T194" i="6"/>
  <c r="T173" i="6"/>
  <c r="H28" i="5"/>
  <c r="I28" i="5" s="1"/>
  <c r="D74" i="3"/>
  <c r="E74" i="3" s="1"/>
  <c r="F74" i="3" s="1"/>
  <c r="N74" i="3" s="1"/>
  <c r="G67" i="6"/>
  <c r="C66" i="6"/>
  <c r="R67" i="6"/>
  <c r="S67" i="6" s="1"/>
  <c r="E67" i="6"/>
  <c r="O67" i="6"/>
  <c r="P67" i="6" s="1"/>
  <c r="L67" i="6"/>
  <c r="M67" i="6" s="1"/>
  <c r="W5" i="6"/>
  <c r="H5" i="6"/>
  <c r="I29" i="5"/>
  <c r="B239" i="5"/>
  <c r="B155" i="5"/>
  <c r="B29" i="5"/>
  <c r="B92" i="5"/>
  <c r="B176" i="5"/>
  <c r="B134" i="5"/>
  <c r="B8" i="5"/>
  <c r="B71" i="5"/>
  <c r="B302" i="5"/>
  <c r="B260" i="5"/>
  <c r="B218" i="5"/>
  <c r="B197" i="5"/>
  <c r="B50" i="5"/>
  <c r="B281" i="5"/>
  <c r="B113" i="5"/>
  <c r="L235" i="6"/>
  <c r="M235" i="6" s="1"/>
  <c r="R235" i="6"/>
  <c r="S235" i="6" s="1"/>
  <c r="E235" i="6"/>
  <c r="O235" i="6"/>
  <c r="P235" i="6" s="1"/>
  <c r="C234" i="6"/>
  <c r="G235" i="6"/>
  <c r="G25" i="6"/>
  <c r="C24" i="6"/>
  <c r="E25" i="6"/>
  <c r="R25" i="6"/>
  <c r="S25" i="6" s="1"/>
  <c r="O25" i="6"/>
  <c r="P25" i="6" s="1"/>
  <c r="L25" i="6"/>
  <c r="M25" i="6" s="1"/>
  <c r="U5" i="6"/>
  <c r="T5" i="6"/>
  <c r="V5" i="6"/>
  <c r="G151" i="6"/>
  <c r="C150" i="6"/>
  <c r="R151" i="6"/>
  <c r="S151" i="6" s="1"/>
  <c r="E151" i="6"/>
  <c r="O151" i="6"/>
  <c r="P151" i="6" s="1"/>
  <c r="L151" i="6"/>
  <c r="M151" i="6" s="1"/>
  <c r="R88" i="6"/>
  <c r="S88" i="6" s="1"/>
  <c r="G88" i="6"/>
  <c r="C87" i="6"/>
  <c r="O88" i="6"/>
  <c r="P88" i="6" s="1"/>
  <c r="E88" i="6"/>
  <c r="L88" i="6"/>
  <c r="M88" i="6" s="1"/>
  <c r="T89" i="6"/>
  <c r="G109" i="6"/>
  <c r="O109" i="6"/>
  <c r="P109" i="6" s="1"/>
  <c r="L109" i="6"/>
  <c r="M109" i="6" s="1"/>
  <c r="C108" i="6"/>
  <c r="R109" i="6"/>
  <c r="S109" i="6" s="1"/>
  <c r="E109" i="6"/>
  <c r="G172" i="6"/>
  <c r="C171" i="6"/>
  <c r="R172" i="6"/>
  <c r="S172" i="6" s="1"/>
  <c r="E172" i="6"/>
  <c r="L172" i="6"/>
  <c r="M172" i="6" s="1"/>
  <c r="O172" i="6"/>
  <c r="P172" i="6" s="1"/>
  <c r="I6" i="6"/>
  <c r="G27" i="5"/>
  <c r="T26" i="6"/>
  <c r="L46" i="6"/>
  <c r="M46" i="6" s="1"/>
  <c r="G46" i="6"/>
  <c r="E46" i="6"/>
  <c r="R46" i="6"/>
  <c r="S46" i="6" s="1"/>
  <c r="C45" i="6"/>
  <c r="O46" i="6"/>
  <c r="P46" i="6" s="1"/>
  <c r="T47" i="6"/>
  <c r="L4" i="6"/>
  <c r="M4" i="6" s="1"/>
  <c r="G4" i="6"/>
  <c r="C3" i="6"/>
  <c r="R4" i="6"/>
  <c r="S4" i="6" s="1"/>
  <c r="O4" i="6"/>
  <c r="P4" i="6" s="1"/>
  <c r="E4" i="6"/>
  <c r="J3" i="6"/>
  <c r="H129" i="5" s="1"/>
  <c r="G129" i="5" s="1"/>
  <c r="X75" i="3" l="1"/>
  <c r="U75" i="3"/>
  <c r="Y75" i="3"/>
  <c r="V75" i="3"/>
  <c r="W75" i="3"/>
  <c r="P74" i="3"/>
  <c r="O74" i="3"/>
  <c r="J29" i="5"/>
  <c r="J28" i="5"/>
  <c r="V4" i="6"/>
  <c r="T172" i="6"/>
  <c r="T25" i="6"/>
  <c r="H4" i="6"/>
  <c r="I4" i="6" s="1"/>
  <c r="T214" i="6"/>
  <c r="W4" i="6"/>
  <c r="R45" i="6"/>
  <c r="S45" i="6" s="1"/>
  <c r="E45" i="6"/>
  <c r="L45" i="6"/>
  <c r="M45" i="6" s="1"/>
  <c r="G45" i="6"/>
  <c r="O45" i="6"/>
  <c r="P45" i="6" s="1"/>
  <c r="C44" i="6"/>
  <c r="T46" i="6"/>
  <c r="O171" i="6"/>
  <c r="P171" i="6" s="1"/>
  <c r="L171" i="6"/>
  <c r="M171" i="6" s="1"/>
  <c r="E171" i="6"/>
  <c r="R171" i="6"/>
  <c r="S171" i="6" s="1"/>
  <c r="G171" i="6"/>
  <c r="C170" i="6"/>
  <c r="T151" i="6"/>
  <c r="O150" i="6"/>
  <c r="P150" i="6" s="1"/>
  <c r="L150" i="6"/>
  <c r="M150" i="6" s="1"/>
  <c r="G150" i="6"/>
  <c r="C149" i="6"/>
  <c r="R150" i="6"/>
  <c r="S150" i="6" s="1"/>
  <c r="E150" i="6"/>
  <c r="R234" i="6"/>
  <c r="S234" i="6" s="1"/>
  <c r="E234" i="6"/>
  <c r="L234" i="6"/>
  <c r="M234" i="6" s="1"/>
  <c r="O234" i="6"/>
  <c r="P234" i="6" s="1"/>
  <c r="G234" i="6"/>
  <c r="C233" i="6"/>
  <c r="T235" i="6"/>
  <c r="O129" i="6"/>
  <c r="P129" i="6" s="1"/>
  <c r="E129" i="6"/>
  <c r="C128" i="6"/>
  <c r="L129" i="6"/>
  <c r="M129" i="6" s="1"/>
  <c r="G129" i="6"/>
  <c r="R129" i="6"/>
  <c r="S129" i="6" s="1"/>
  <c r="L192" i="6"/>
  <c r="M192" i="6" s="1"/>
  <c r="G192" i="6"/>
  <c r="E192" i="6"/>
  <c r="R192" i="6"/>
  <c r="S192" i="6" s="1"/>
  <c r="C191" i="6"/>
  <c r="O192" i="6"/>
  <c r="P192" i="6" s="1"/>
  <c r="T4" i="6"/>
  <c r="U4" i="6"/>
  <c r="R108" i="6"/>
  <c r="S108" i="6" s="1"/>
  <c r="O108" i="6"/>
  <c r="P108" i="6" s="1"/>
  <c r="E108" i="6"/>
  <c r="L108" i="6"/>
  <c r="M108" i="6" s="1"/>
  <c r="G108" i="6"/>
  <c r="C107" i="6"/>
  <c r="O87" i="6"/>
  <c r="P87" i="6" s="1"/>
  <c r="R87" i="6"/>
  <c r="S87" i="6" s="1"/>
  <c r="E87" i="6"/>
  <c r="C86" i="6"/>
  <c r="L87" i="6"/>
  <c r="M87" i="6" s="1"/>
  <c r="G87" i="6"/>
  <c r="O24" i="6"/>
  <c r="P24" i="6" s="1"/>
  <c r="G24" i="6"/>
  <c r="E24" i="6"/>
  <c r="R24" i="6"/>
  <c r="S24" i="6" s="1"/>
  <c r="C23" i="6"/>
  <c r="L24" i="6"/>
  <c r="M24" i="6" s="1"/>
  <c r="I5" i="6"/>
  <c r="G26" i="5"/>
  <c r="G213" i="6"/>
  <c r="C212" i="6"/>
  <c r="L213" i="6"/>
  <c r="M213" i="6" s="1"/>
  <c r="E213" i="6"/>
  <c r="R213" i="6"/>
  <c r="S213" i="6" s="1"/>
  <c r="O213" i="6"/>
  <c r="P213" i="6" s="1"/>
  <c r="H27" i="5"/>
  <c r="I27" i="5" s="1"/>
  <c r="D73" i="3"/>
  <c r="E73" i="3" s="1"/>
  <c r="F73" i="3" s="1"/>
  <c r="N73" i="3" s="1"/>
  <c r="T109" i="6"/>
  <c r="T88" i="6"/>
  <c r="O3" i="6"/>
  <c r="P3" i="6" s="1"/>
  <c r="J2" i="6"/>
  <c r="H128" i="5" s="1"/>
  <c r="G128" i="5" s="1"/>
  <c r="R3" i="6"/>
  <c r="S3" i="6" s="1"/>
  <c r="C2" i="6"/>
  <c r="L3" i="6"/>
  <c r="M3" i="6" s="1"/>
  <c r="G3" i="6"/>
  <c r="E3" i="6"/>
  <c r="T67" i="6"/>
  <c r="O66" i="6"/>
  <c r="P66" i="6" s="1"/>
  <c r="L66" i="6"/>
  <c r="M66" i="6" s="1"/>
  <c r="G66" i="6"/>
  <c r="C65" i="6"/>
  <c r="E66" i="6"/>
  <c r="R66" i="6"/>
  <c r="S66" i="6" s="1"/>
  <c r="B28" i="5"/>
  <c r="B238" i="5"/>
  <c r="B217" i="5"/>
  <c r="B280" i="5"/>
  <c r="B196" i="5"/>
  <c r="B175" i="5"/>
  <c r="B154" i="5"/>
  <c r="B70" i="5"/>
  <c r="B91" i="5"/>
  <c r="B133" i="5"/>
  <c r="B49" i="5"/>
  <c r="B7" i="5"/>
  <c r="B112" i="5"/>
  <c r="B259" i="5"/>
  <c r="B301" i="5"/>
  <c r="T130" i="6"/>
  <c r="T193" i="6"/>
  <c r="U74" i="3" l="1"/>
  <c r="Y74" i="3"/>
  <c r="V74" i="3"/>
  <c r="W74" i="3"/>
  <c r="X74" i="3"/>
  <c r="P73" i="3"/>
  <c r="O73" i="3"/>
  <c r="J27" i="5"/>
  <c r="H3" i="6"/>
  <c r="I3" i="6" s="1"/>
  <c r="G25" i="5"/>
  <c r="D71" i="3" s="1"/>
  <c r="E71" i="3" s="1"/>
  <c r="F71" i="3" s="1"/>
  <c r="N71" i="3" s="1"/>
  <c r="T171" i="6"/>
  <c r="T192" i="6"/>
  <c r="U3" i="6"/>
  <c r="T3" i="6"/>
  <c r="G191" i="6"/>
  <c r="R191" i="6"/>
  <c r="S191" i="6" s="1"/>
  <c r="E191" i="6"/>
  <c r="O191" i="6"/>
  <c r="P191" i="6" s="1"/>
  <c r="L191" i="6"/>
  <c r="M191" i="6" s="1"/>
  <c r="L128" i="6"/>
  <c r="M128" i="6" s="1"/>
  <c r="G128" i="6"/>
  <c r="R128" i="6"/>
  <c r="S128" i="6" s="1"/>
  <c r="O128" i="6"/>
  <c r="P128" i="6" s="1"/>
  <c r="E128" i="6"/>
  <c r="L233" i="6"/>
  <c r="M233" i="6" s="1"/>
  <c r="R233" i="6"/>
  <c r="S233" i="6" s="1"/>
  <c r="E233" i="6"/>
  <c r="O233" i="6"/>
  <c r="P233" i="6" s="1"/>
  <c r="G233" i="6"/>
  <c r="G149" i="6"/>
  <c r="R149" i="6"/>
  <c r="S149" i="6" s="1"/>
  <c r="E149" i="6"/>
  <c r="O149" i="6"/>
  <c r="P149" i="6" s="1"/>
  <c r="L149" i="6"/>
  <c r="M149" i="6" s="1"/>
  <c r="L44" i="6"/>
  <c r="M44" i="6" s="1"/>
  <c r="O44" i="6"/>
  <c r="P44" i="6" s="1"/>
  <c r="G44" i="6"/>
  <c r="E44" i="6"/>
  <c r="R44" i="6"/>
  <c r="S44" i="6" s="1"/>
  <c r="T66" i="6"/>
  <c r="G65" i="6"/>
  <c r="R65" i="6"/>
  <c r="S65" i="6" s="1"/>
  <c r="E65" i="6"/>
  <c r="O65" i="6"/>
  <c r="P65" i="6" s="1"/>
  <c r="L65" i="6"/>
  <c r="M65" i="6" s="1"/>
  <c r="E2" i="6"/>
  <c r="R2" i="6"/>
  <c r="S2" i="6" s="1"/>
  <c r="O2" i="6"/>
  <c r="P2" i="6" s="1"/>
  <c r="L2" i="6"/>
  <c r="M2" i="6" s="1"/>
  <c r="G2" i="6"/>
  <c r="H26" i="5"/>
  <c r="I26" i="5" s="1"/>
  <c r="D72" i="3"/>
  <c r="E72" i="3" s="1"/>
  <c r="F72" i="3" s="1"/>
  <c r="N72" i="3" s="1"/>
  <c r="T108" i="6"/>
  <c r="G170" i="6"/>
  <c r="R170" i="6"/>
  <c r="S170" i="6" s="1"/>
  <c r="E170" i="6"/>
  <c r="O170" i="6"/>
  <c r="P170" i="6" s="1"/>
  <c r="L170" i="6"/>
  <c r="M170" i="6" s="1"/>
  <c r="V3" i="6"/>
  <c r="G23" i="6"/>
  <c r="L23" i="6"/>
  <c r="M23" i="6" s="1"/>
  <c r="E23" i="6"/>
  <c r="R23" i="6"/>
  <c r="S23" i="6" s="1"/>
  <c r="O23" i="6"/>
  <c r="P23" i="6" s="1"/>
  <c r="W3" i="6"/>
  <c r="B174" i="5"/>
  <c r="B6" i="5"/>
  <c r="B27" i="5"/>
  <c r="B258" i="5"/>
  <c r="B153" i="5"/>
  <c r="B69" i="5"/>
  <c r="B237" i="5"/>
  <c r="B132" i="5"/>
  <c r="B300" i="5"/>
  <c r="B216" i="5"/>
  <c r="B111" i="5"/>
  <c r="B279" i="5"/>
  <c r="B195" i="5"/>
  <c r="B90" i="5"/>
  <c r="B48" i="5"/>
  <c r="T213" i="6"/>
  <c r="T87" i="6"/>
  <c r="T150" i="6"/>
  <c r="O212" i="6"/>
  <c r="P212" i="6" s="1"/>
  <c r="L212" i="6"/>
  <c r="M212" i="6" s="1"/>
  <c r="G212" i="6"/>
  <c r="E212" i="6"/>
  <c r="R212" i="6"/>
  <c r="S212" i="6" s="1"/>
  <c r="T24" i="6"/>
  <c r="L86" i="6"/>
  <c r="M86" i="6" s="1"/>
  <c r="G86" i="6"/>
  <c r="R86" i="6"/>
  <c r="S86" i="6" s="1"/>
  <c r="O86" i="6"/>
  <c r="P86" i="6" s="1"/>
  <c r="E86" i="6"/>
  <c r="O107" i="6"/>
  <c r="P107" i="6" s="1"/>
  <c r="E107" i="6"/>
  <c r="L107" i="6"/>
  <c r="M107" i="6" s="1"/>
  <c r="G107" i="6"/>
  <c r="R107" i="6"/>
  <c r="S107" i="6" s="1"/>
  <c r="T129" i="6"/>
  <c r="T234" i="6"/>
  <c r="T45" i="6"/>
  <c r="V73" i="3" l="1"/>
  <c r="W73" i="3"/>
  <c r="X73" i="3"/>
  <c r="U73" i="3"/>
  <c r="Y73" i="3"/>
  <c r="P72" i="3"/>
  <c r="O72" i="3"/>
  <c r="P71" i="3"/>
  <c r="O71" i="3"/>
  <c r="J26" i="5"/>
  <c r="H25" i="5"/>
  <c r="I25" i="5" s="1"/>
  <c r="G24" i="5"/>
  <c r="H24" i="5" s="1"/>
  <c r="I24" i="5" s="1"/>
  <c r="T191" i="6"/>
  <c r="T107" i="6"/>
  <c r="T212" i="6"/>
  <c r="T170" i="6"/>
  <c r="B257" i="5"/>
  <c r="B152" i="5"/>
  <c r="B47" i="5"/>
  <c r="B89" i="5"/>
  <c r="B299" i="5"/>
  <c r="B236" i="5"/>
  <c r="B131" i="5"/>
  <c r="B68" i="5"/>
  <c r="B215" i="5"/>
  <c r="B26" i="5"/>
  <c r="B5" i="5"/>
  <c r="B278" i="5"/>
  <c r="B194" i="5"/>
  <c r="B173" i="5"/>
  <c r="B110" i="5"/>
  <c r="V2" i="6"/>
  <c r="T128" i="6"/>
  <c r="W2" i="6"/>
  <c r="T44" i="6"/>
  <c r="H2" i="6"/>
  <c r="T149" i="6"/>
  <c r="T86" i="6"/>
  <c r="T23" i="6"/>
  <c r="U2" i="6"/>
  <c r="T2" i="6"/>
  <c r="T65" i="6"/>
  <c r="T233" i="6"/>
  <c r="W72" i="3" l="1"/>
  <c r="X72" i="3"/>
  <c r="U72" i="3"/>
  <c r="Y72" i="3"/>
  <c r="V72" i="3"/>
  <c r="X71" i="3"/>
  <c r="U71" i="3"/>
  <c r="Y71" i="3"/>
  <c r="V71" i="3"/>
  <c r="W71" i="3"/>
  <c r="B88" i="5"/>
  <c r="B256" i="5"/>
  <c r="B151" i="5"/>
  <c r="B193" i="5"/>
  <c r="B277" i="5"/>
  <c r="B67" i="5"/>
  <c r="B109" i="5"/>
  <c r="B4" i="5"/>
  <c r="B298" i="5"/>
  <c r="B46" i="5"/>
  <c r="B25" i="5"/>
  <c r="B214" i="5"/>
  <c r="B235" i="5"/>
  <c r="B172" i="5"/>
  <c r="B130" i="5"/>
  <c r="J25" i="5"/>
  <c r="J24" i="5"/>
  <c r="D70" i="3"/>
  <c r="E70" i="3" s="1"/>
  <c r="F70" i="3" s="1"/>
  <c r="N70" i="3" s="1"/>
  <c r="B66" i="5"/>
  <c r="B87" i="5"/>
  <c r="B192" i="5"/>
  <c r="B213" i="5"/>
  <c r="B171" i="5"/>
  <c r="B129" i="5"/>
  <c r="B150" i="5"/>
  <c r="B24" i="5"/>
  <c r="B276" i="5"/>
  <c r="B297" i="5"/>
  <c r="B45" i="5"/>
  <c r="B255" i="5"/>
  <c r="B234" i="5"/>
  <c r="B108" i="5"/>
  <c r="B3" i="5"/>
  <c r="I2" i="6"/>
  <c r="G23" i="5"/>
  <c r="P70" i="3" l="1"/>
  <c r="O70" i="3"/>
  <c r="H23" i="5"/>
  <c r="I23" i="5" s="1"/>
  <c r="D69" i="3"/>
  <c r="E69" i="3" s="1"/>
  <c r="F69" i="3" s="1"/>
  <c r="N69" i="3" s="1"/>
  <c r="U70" i="3" l="1"/>
  <c r="Y70" i="3"/>
  <c r="V70" i="3"/>
  <c r="W70" i="3"/>
  <c r="X70" i="3"/>
  <c r="P69" i="3"/>
  <c r="O69" i="3"/>
  <c r="J23" i="5"/>
  <c r="B2" i="5"/>
  <c r="B296" i="5"/>
  <c r="B212" i="5"/>
  <c r="B107" i="5"/>
  <c r="B170" i="5"/>
  <c r="B275" i="5"/>
  <c r="B191" i="5"/>
  <c r="B86" i="5"/>
  <c r="B44" i="5"/>
  <c r="B23" i="5"/>
  <c r="B254" i="5"/>
  <c r="B149" i="5"/>
  <c r="B65" i="5"/>
  <c r="B233" i="5"/>
  <c r="B128" i="5"/>
  <c r="W69" i="3" l="1"/>
  <c r="X69" i="3"/>
  <c r="U69" i="3"/>
  <c r="Y69" i="3"/>
  <c r="V69" i="3"/>
</calcChain>
</file>

<file path=xl/sharedStrings.xml><?xml version="1.0" encoding="utf-8"?>
<sst xmlns="http://schemas.openxmlformats.org/spreadsheetml/2006/main" count="1838" uniqueCount="1187">
  <si>
    <t>玩家实际不停游戏时间占自然时间比例估算因子</t>
  </si>
  <si>
    <t>正常可使用的建设单位数(VIP）</t>
  </si>
  <si>
    <t>战斗核心基础公式设计</t>
  </si>
  <si>
    <t>军团攻击力</t>
  </si>
  <si>
    <t>军团攻击力=武将统帅力+军团基础攻击力+兵团士气</t>
  </si>
  <si>
    <t>取值范围：30-400</t>
  </si>
  <si>
    <t>军团基础攻击力</t>
  </si>
  <si>
    <t>概述：该攻击力由军团内每个兵的攻击力加成得到，基本思路为兵力越多，基础攻击力越高。</t>
  </si>
  <si>
    <t>军团基础攻击力=(单位兵的攻击力/100*兵力)^军团攻击力调节因子</t>
  </si>
  <si>
    <t>军团攻击力调节因子</t>
  </si>
  <si>
    <t>取值范围：0-150</t>
  </si>
  <si>
    <t>单位兵的攻击力</t>
  </si>
  <si>
    <t>具体可见表格设计</t>
  </si>
  <si>
    <t>武将统帅力</t>
  </si>
  <si>
    <t>概述：类似三国志9中武将的统帅，决定兵团的部分攻击力</t>
  </si>
  <si>
    <t>取值范围：30-150</t>
  </si>
  <si>
    <t>最高统帅力</t>
  </si>
  <si>
    <t>兵团士气</t>
  </si>
  <si>
    <t>概述：基本类似三国志9中的士气概念</t>
  </si>
  <si>
    <t>取值范围：0-100</t>
  </si>
  <si>
    <t>士气MAX</t>
  </si>
  <si>
    <t>士气MIN</t>
  </si>
  <si>
    <t>军团防御力</t>
  </si>
  <si>
    <t>军团防御力=武将统帅力+军团基础防御力+兵团士气</t>
  </si>
  <si>
    <t>军团基础防御力</t>
  </si>
  <si>
    <t>军团基础防御力=(单位兵的防御力/1000*兵力)^军团防御力调节因子</t>
  </si>
  <si>
    <t>单位兵的防御力</t>
  </si>
  <si>
    <t>设计见表格</t>
  </si>
  <si>
    <t>伤害计算</t>
  </si>
  <si>
    <t>军团伤害值=((我方攻击力+我方武将统帅力+士兵士气)*攻击力绝对伤害因子+((我方攻击力+我方武将统帅力+士兵士气)-(敌方的防御力+敌方武将统帅力+敌方士气)+力量方差调节因子)^2/力量方差因子)*(我方兵力+敌方兵力)/兵力数量级因子</t>
  </si>
  <si>
    <t>攻击力绝对伤害因子</t>
  </si>
  <si>
    <t>力量方差因子</t>
  </si>
  <si>
    <t>力量方差调节因子</t>
  </si>
  <si>
    <t>兵力数量级因子</t>
  </si>
  <si>
    <t>城墙伤害计算</t>
  </si>
  <si>
    <r>
      <rPr>
        <sz val="11"/>
        <color indexed="8"/>
        <rFont val="宋体"/>
        <family val="2"/>
        <charset val="134"/>
      </rPr>
      <t>城墙伤害=(我方攻击力+我方武将</t>
    </r>
    <r>
      <rPr>
        <sz val="11"/>
        <color indexed="10"/>
        <rFont val="宋体"/>
        <family val="3"/>
        <charset val="134"/>
      </rPr>
      <t>武力</t>
    </r>
    <r>
      <rPr>
        <sz val="11"/>
        <color indexed="8"/>
        <rFont val="宋体"/>
        <family val="2"/>
        <charset val="134"/>
      </rPr>
      <t>+士兵士气)*攻击力绝对伤害因子*2*(我方兵力)/兵力城墙伤害因子</t>
    </r>
  </si>
  <si>
    <t>兵力城墙伤害因子</t>
  </si>
  <si>
    <t>单位兵对城墙的伤害</t>
  </si>
  <si>
    <t>攻打城墙兵力占初始兵力比例估算</t>
  </si>
  <si>
    <t>攻打回合数估算</t>
  </si>
  <si>
    <t>0级士兵</t>
  </si>
  <si>
    <t>定义：攻击力，防御力为0，速度为125(px/30s)，攻击速度3(次/s)，攻击范围1(格)</t>
  </si>
  <si>
    <t>士兵战力值</t>
  </si>
  <si>
    <t>士兵战力值=(当前士兵造成的伤害-0级士兵造成的伤害) + (0级士兵受到的损害-当前士兵受到的损害)</t>
  </si>
  <si>
    <t>以上作战对手均为0级士兵</t>
  </si>
  <si>
    <t>战法触发概率</t>
  </si>
  <si>
    <t>战法仅在兵团射程范围内触发，每个攻击回合，检查触发概率</t>
  </si>
  <si>
    <t>战法伤害值</t>
  </si>
  <si>
    <t>战法伤害值=武力绝对伤害值+武力相对伤害值</t>
  </si>
  <si>
    <t>武力绝对伤害值</t>
  </si>
  <si>
    <t>武力绝对伤害值=兵法基础伤害值/10*(武将武力+绝对武力方差调节因子)^2/绝对武力方差因子*(我方兵力+敌方兵力)/兵力数量级因子</t>
  </si>
  <si>
    <t>绝对武力方差调节因子</t>
  </si>
  <si>
    <t>绝对武力方差因子</t>
  </si>
  <si>
    <t>武力相对伤害值</t>
  </si>
  <si>
    <t>武力相对伤害值=兵法基础伤害值/10*(我方武将武力-敌方武将武力+相对武力方差调节因子)^2/相对武力方差因子*(我方兵力+敌方兵力)/兵力数量级因子</t>
  </si>
  <si>
    <t>相对武力方差调节因子</t>
  </si>
  <si>
    <t>相对武力方差因子</t>
  </si>
  <si>
    <t>战法一回合的期望伤害值</t>
  </si>
  <si>
    <t>战法一回合的期望伤害值=战法触发概率*战法伤害值*60%</t>
  </si>
  <si>
    <t>这里估计平均每回合接触的军队占总军队的60%</t>
  </si>
  <si>
    <t>战法下一级伤害是前一级的倍数</t>
  </si>
  <si>
    <t>武将携带兵法加成均摊概率估算(平均每场战斗携带两个兵法技能)</t>
  </si>
  <si>
    <t>士兵攻击范围触发战法概率调节因子</t>
  </si>
  <si>
    <t>粮食的消耗</t>
  </si>
  <si>
    <t>建造</t>
  </si>
  <si>
    <t>部队运输</t>
  </si>
  <si>
    <t>训练</t>
  </si>
  <si>
    <t>人口的基本消费</t>
  </si>
  <si>
    <t>木材的消耗</t>
  </si>
  <si>
    <t>科研</t>
  </si>
  <si>
    <t>铁矿的消耗</t>
  </si>
  <si>
    <t>黄金的消耗</t>
  </si>
  <si>
    <t>武将俸禄</t>
  </si>
  <si>
    <t>武将招募</t>
  </si>
  <si>
    <t>武将赏赐</t>
  </si>
  <si>
    <t>武将技能</t>
  </si>
  <si>
    <t>黄金的产出占消耗配比</t>
  </si>
  <si>
    <t>部队带兵人口最高值</t>
  </si>
  <si>
    <t>每点武将统帅力可带兵人口值</t>
  </si>
  <si>
    <t>建设时间分配比</t>
  </si>
  <si>
    <t>聚义堂(主基地)</t>
  </si>
  <si>
    <t>屋舍</t>
  </si>
  <si>
    <t>酒馆(招募好汉)</t>
  </si>
  <si>
    <t>英雄殿(管理好汉)</t>
  </si>
  <si>
    <t>刊造雕刻营(科技馆)</t>
  </si>
  <si>
    <t>栅栏</t>
  </si>
  <si>
    <t>驿站</t>
  </si>
  <si>
    <t>仓库</t>
  </si>
  <si>
    <t>市场</t>
  </si>
  <si>
    <t>联盟厅</t>
  </si>
  <si>
    <t>军机处</t>
  </si>
  <si>
    <t>农田</t>
  </si>
  <si>
    <t>伐木场</t>
  </si>
  <si>
    <t>矿场</t>
  </si>
  <si>
    <t>兵营</t>
  </si>
  <si>
    <t>建筑数</t>
  </si>
  <si>
    <t>建筑个数</t>
  </si>
  <si>
    <t>人口的分配</t>
  </si>
  <si>
    <t>屋舍人口数=屋舍军队人口数+屋舍建设人口数</t>
  </si>
  <si>
    <t>建设的人口数=军队人口数</t>
  </si>
  <si>
    <t>屋舍提供的军队人口总额是单个武将带兵的倍数</t>
  </si>
  <si>
    <t>军队人口</t>
  </si>
  <si>
    <t>建设人口</t>
  </si>
  <si>
    <t>武将</t>
  </si>
  <si>
    <t>统帅力点数MAX</t>
  </si>
  <si>
    <t>统帅力点数MIN</t>
  </si>
  <si>
    <t>武力点数MAX</t>
  </si>
  <si>
    <t>武力点数MIN</t>
  </si>
  <si>
    <t>政治点数MAX</t>
  </si>
  <si>
    <t>政治点数MIN</t>
  </si>
  <si>
    <t>政治点数单位加成百分比</t>
  </si>
  <si>
    <t>星级点数差</t>
  </si>
  <si>
    <t>设统帅为100，士气为100</t>
  </si>
  <si>
    <t>统帅士气+150</t>
  </si>
  <si>
    <t>武将武力</t>
  </si>
  <si>
    <t>兵力</t>
  </si>
  <si>
    <t>目标战力值</t>
  </si>
  <si>
    <t>攻击力</t>
  </si>
  <si>
    <t>军团城墙攻击伤害值</t>
  </si>
  <si>
    <t>军团城墙攻击伤害MIN</t>
  </si>
  <si>
    <t>军团城墙攻击伤害MAX</t>
  </si>
  <si>
    <t>防御力</t>
  </si>
  <si>
    <t>攻击间隔</t>
  </si>
  <si>
    <t>每回合攻击次数</t>
  </si>
  <si>
    <t>速度</t>
  </si>
  <si>
    <t>速度获得的加成数</t>
  </si>
  <si>
    <t>范围</t>
  </si>
  <si>
    <t>范围获得的加成数</t>
  </si>
  <si>
    <t>攻击力绝对伤害指数</t>
  </si>
  <si>
    <t>敌方攻击力绝对指数</t>
  </si>
  <si>
    <t>同等级攻击指数</t>
  </si>
  <si>
    <t>同等级防御指数</t>
  </si>
  <si>
    <t>同等兵力伤害值</t>
  </si>
  <si>
    <t>同等兵力受到伤害值</t>
  </si>
  <si>
    <t>同等兵力造成的伤害比率</t>
  </si>
  <si>
    <t>同等兵力受到的伤害比率</t>
  </si>
  <si>
    <t>同等兵力伤害指数</t>
  </si>
  <si>
    <t>攻击力绝对受伤害指数</t>
  </si>
  <si>
    <t>同等兵力受伤害指数</t>
  </si>
  <si>
    <t>同等兵力受伤害值</t>
  </si>
  <si>
    <t>同等兵力受伤害比率</t>
  </si>
  <si>
    <t>5000兵力进攻攻防伤害指数</t>
  </si>
  <si>
    <t>500兵力进攻其他伤害值</t>
  </si>
  <si>
    <t>500兵力进攻伤害比率</t>
  </si>
  <si>
    <t>5000兵力防守攻防伤害指数</t>
  </si>
  <si>
    <t>500兵力防守受伤害值</t>
  </si>
  <si>
    <t>500兵力防守受伤害比率</t>
  </si>
  <si>
    <t>兵法伤害期望值</t>
  </si>
  <si>
    <t>兵法伤害值</t>
  </si>
  <si>
    <t>兵法伤害占比</t>
  </si>
  <si>
    <t>兵法发动估算概率</t>
  </si>
  <si>
    <t>兵法基础触发概率</t>
  </si>
  <si>
    <t>兵法基础伤害</t>
  </si>
  <si>
    <t>MIN兵法伤害值</t>
  </si>
  <si>
    <t>MAX兵法伤害值</t>
  </si>
  <si>
    <t>MIN武力绝对伤害值</t>
  </si>
  <si>
    <t>MAX武力绝对伤害值</t>
  </si>
  <si>
    <t>MIN武力相对伤害值</t>
  </si>
  <si>
    <t>MAX武力相对伤害值</t>
  </si>
  <si>
    <t>MIN武将武力</t>
  </si>
  <si>
    <t>MAX武将武力</t>
  </si>
  <si>
    <t>0级士兵配置</t>
  </si>
  <si>
    <t>短弓兵</t>
  </si>
  <si>
    <t>特点</t>
  </si>
  <si>
    <t>攻防弱，速度适中，攻击范围较大</t>
  </si>
  <si>
    <t>长弓兵</t>
  </si>
  <si>
    <t>攻击防御适中，速度较慢，攻击范围最大</t>
  </si>
  <si>
    <t>连弩兵</t>
  </si>
  <si>
    <t>攻击力高，防御适中，速度较快，范围非常大</t>
  </si>
  <si>
    <t>枪兵</t>
  </si>
  <si>
    <t>攻击较弱，防御弱，速度较慢，攻击范围小</t>
  </si>
  <si>
    <t>长牌兵</t>
  </si>
  <si>
    <t>攻防适中，速度适中，攻击范围适中</t>
  </si>
  <si>
    <t>重牌兵</t>
  </si>
  <si>
    <t>攻防极高，速度较快，攻击范围最小</t>
  </si>
  <si>
    <t>轻骑兵</t>
  </si>
  <si>
    <t>攻防弱，速度最快，攻击范围小</t>
  </si>
  <si>
    <t>重骑兵</t>
  </si>
  <si>
    <t>攻防适中，速度快，攻击范围最小</t>
  </si>
  <si>
    <t>虎豹骑</t>
  </si>
  <si>
    <t>攻高，防御适中，速度快，攻击范围小</t>
  </si>
  <si>
    <t>城防投手</t>
  </si>
  <si>
    <t>城防射手</t>
  </si>
  <si>
    <t>城防炮手</t>
  </si>
  <si>
    <t>等级</t>
  </si>
  <si>
    <t>单位产出量(s)</t>
  </si>
  <si>
    <t>每小时产出量</t>
  </si>
  <si>
    <t>每天产出量</t>
  </si>
  <si>
    <t>每天总产量</t>
  </si>
  <si>
    <t>储藏总量(3天)</t>
  </si>
  <si>
    <t>各种加成</t>
  </si>
  <si>
    <t>总资源单位产出量</t>
  </si>
  <si>
    <t>升级需要时间(天)</t>
  </si>
  <si>
    <t>游戏时间(天)</t>
  </si>
  <si>
    <t>当前总产出</t>
  </si>
  <si>
    <t>屌丝玩家</t>
  </si>
  <si>
    <t>中产阶级</t>
  </si>
  <si>
    <t>高富帅</t>
  </si>
  <si>
    <t>黄金</t>
  </si>
  <si>
    <t>黄金做成稀缺资源，因此产出只是消耗的65%</t>
  </si>
  <si>
    <t>税率</t>
  </si>
  <si>
    <t>黄金100%产出即消耗量</t>
  </si>
  <si>
    <t>建筑</t>
  </si>
  <si>
    <t>粮食消耗</t>
  </si>
  <si>
    <t>粮食配比</t>
  </si>
  <si>
    <t>木材消耗</t>
  </si>
  <si>
    <t>木材配比</t>
  </si>
  <si>
    <t>铁矿消耗</t>
  </si>
  <si>
    <t>铁矿配比</t>
  </si>
  <si>
    <t>黄金消耗</t>
  </si>
  <si>
    <t>黄金配比</t>
  </si>
  <si>
    <t>建筑需求</t>
  </si>
  <si>
    <t>技术需求</t>
  </si>
  <si>
    <t>钻石消耗</t>
  </si>
  <si>
    <t>人口消耗</t>
  </si>
  <si>
    <t>英雄殿(管理英雄)</t>
  </si>
  <si>
    <t>人口占用</t>
  </si>
  <si>
    <t>建设总时间(h）</t>
  </si>
  <si>
    <t>建设时间(s)</t>
  </si>
  <si>
    <t>每级建设时间(h)</t>
  </si>
  <si>
    <t>每级建设时间(d)</t>
  </si>
  <si>
    <t>可占领的野地数</t>
  </si>
  <si>
    <t>可供建造的空地数</t>
  </si>
  <si>
    <t>军队人口数</t>
  </si>
  <si>
    <t>建设人口数</t>
  </si>
  <si>
    <t>人口总数</t>
  </si>
  <si>
    <t>人口上限(用于其他军团的进驻和自己军队的扩张)</t>
  </si>
  <si>
    <t>刷新人数</t>
  </si>
  <si>
    <t>二星武将权重加成</t>
  </si>
  <si>
    <t>三星武将权重加成</t>
  </si>
  <si>
    <t>四星武将权重加成</t>
  </si>
  <si>
    <t>五星武将权重加成</t>
  </si>
  <si>
    <t>可管理好汉数</t>
  </si>
  <si>
    <t>同时冷却的招募队列数</t>
  </si>
  <si>
    <t>耐久度</t>
  </si>
  <si>
    <t>城墙受损估算</t>
  </si>
  <si>
    <t>招募冷却数</t>
  </si>
  <si>
    <t>盟军可进驻数</t>
  </si>
  <si>
    <t>可派遣队伍数</t>
  </si>
  <si>
    <t>派兵上限(人口)</t>
  </si>
  <si>
    <t>训练(按照一个城计算)</t>
  </si>
  <si>
    <t>兵力估算</t>
  </si>
  <si>
    <t>单位兵训练时间(s/人)</t>
  </si>
  <si>
    <t>总时间(多冷却队列)(h)</t>
  </si>
  <si>
    <t>单位兵人口</t>
  </si>
  <si>
    <t>总兵人口</t>
  </si>
  <si>
    <t>平均总人口(各兵种平均)</t>
  </si>
  <si>
    <t>部队需求人口数</t>
  </si>
  <si>
    <t>兵力标准估算</t>
  </si>
  <si>
    <t>单位兵粮食</t>
  </si>
  <si>
    <t>粮食</t>
  </si>
  <si>
    <t>占粮食训练总消耗百分比</t>
  </si>
  <si>
    <t>单位兵木材</t>
  </si>
  <si>
    <t>木材</t>
  </si>
  <si>
    <t>占木材训练总消耗百分比</t>
  </si>
  <si>
    <t>单位兵铁矿</t>
  </si>
  <si>
    <t>铁矿</t>
  </si>
  <si>
    <t>占铁矿训练总消耗百分比</t>
  </si>
  <si>
    <t>百分比总消耗</t>
  </si>
  <si>
    <t>所有兵种占粮食比</t>
  </si>
  <si>
    <t>所有兵种占木材比</t>
  </si>
  <si>
    <t>所有兵种占铁矿比</t>
  </si>
  <si>
    <t>编号</t>
  </si>
  <si>
    <t>统帅</t>
  </si>
  <si>
    <t>武力</t>
  </si>
  <si>
    <t>政治</t>
  </si>
  <si>
    <t>总点数</t>
  </si>
  <si>
    <t>成长力</t>
  </si>
  <si>
    <t>星级</t>
  </si>
  <si>
    <t>俸禄</t>
  </si>
  <si>
    <t>描述</t>
  </si>
  <si>
    <t>1星配额概率</t>
  </si>
  <si>
    <t>2星配额概率</t>
  </si>
  <si>
    <t>3星配额概率</t>
  </si>
  <si>
    <t>4星配额概率</t>
  </si>
  <si>
    <t>1星实际概率</t>
  </si>
  <si>
    <t>2星实际概率</t>
  </si>
  <si>
    <t>3星实际概率</t>
  </si>
  <si>
    <t>4星实际概率</t>
  </si>
  <si>
    <t>5星实际概率</t>
  </si>
  <si>
    <t>项燕（?－前223年），楚国下相（今江苏省宿迁宿城区）人。战国末期楚国大将军，是抗秦将领项梁之父，西楚霸王项羽的祖父。</t>
  </si>
  <si>
    <t>赵高（?－前207年），中国战国时期秦国及秦朝政治人物，历仕秦始皇、秦二世和秦王子婴三代君主，沙丘之变和望夷宫之变的主谋，指鹿为马事件的策划者。</t>
  </si>
  <si>
    <t>战国时魏将，中国古代著名军事家，孙庞斗智故事的主角之一。</t>
  </si>
  <si>
    <t>李广</t>
  </si>
  <si>
    <t>霍去病</t>
  </si>
  <si>
    <t>吕虔</t>
  </si>
  <si>
    <t>曹操手下战将，最初被刘晔推荐给曹操，在讨吕布时射死布将薛兰，在征刘备时与李典等人同为先锋，在赤壁时掌管水军后军，屡随曹操征战，多有战功。</t>
  </si>
  <si>
    <t>陈宫</t>
  </si>
  <si>
    <t>刘晔</t>
  </si>
  <si>
    <t>曹洪</t>
  </si>
  <si>
    <t>夏侯惇</t>
  </si>
  <si>
    <t>夏侯惇（？－220年），字元让，沛国谯县（今属安徽省亳州市）人，曹操的从兄弟[1]，汉朝开国功臣之一夏侯婴的后代。</t>
  </si>
  <si>
    <t>曹操</t>
  </si>
  <si>
    <t>王平</t>
  </si>
  <si>
    <t>王平（?－248年），字子均，巴西宕渠人，三国时期曹魏将领，后投降蜀汉成为北伐将领，官至镇北大将军，封安汉侯。</t>
  </si>
  <si>
    <t>马谡</t>
  </si>
  <si>
    <t>马谡[1]（190年－228年），字幼常，荆州襄阳宜城（今湖北宜城）人。是蜀汉将领，也是侍中马良之弟。</t>
  </si>
  <si>
    <t>张飞</t>
  </si>
  <si>
    <t>关羽</t>
  </si>
  <si>
    <t>程秉</t>
  </si>
  <si>
    <t>程秉（？－？），字德枢，汝南南顿人。三国时东吴官员，三国时儒学学者。</t>
  </si>
  <si>
    <t>张昭</t>
  </si>
  <si>
    <t>孙权麾下大臣，“二张”之一。由周瑜举荐，作了孙策的谋士，孙策临终前留下遗言“内事不决问张昭”。</t>
  </si>
  <si>
    <t>孙坚</t>
  </si>
  <si>
    <t>陆逊</t>
  </si>
  <si>
    <t>陆逊（183年－245年3月19日[1]），本名陆议，字伯言，吴郡吴县（今江苏省苏州市）人，是三国时代吴国著名的军事家、政治家，是孙策之女婿，吴王孙权称帝后被任命为丞相。</t>
  </si>
  <si>
    <t>太史慈</t>
  </si>
  <si>
    <t>杨修</t>
  </si>
  <si>
    <t>杨修（175年－219年），字德祖，弘农华阴（今陕西华阴东）人，袁术外甥，太尉杨彪之子，出身高门士族。</t>
  </si>
  <si>
    <t>韩遂</t>
  </si>
  <si>
    <t>韩遂（永和年间－215年），又名韩约，字文约，东汉末年凉州地区的割据军阀之一。</t>
  </si>
  <si>
    <t>吕布</t>
  </si>
  <si>
    <t>隋唐</t>
  </si>
  <si>
    <t>胡公秦叔宝第二十四。本为张须陀部属勇将，张身后归裴仁基部属，又随裴投诚李密，为瓦岗军上将。在李密与宇文明及童山之战中立下大功。</t>
  </si>
  <si>
    <t>蔡庆</t>
  </si>
  <si>
    <t>焦挺</t>
  </si>
  <si>
    <t>扈三娘</t>
  </si>
  <si>
    <t>凌振</t>
  </si>
  <si>
    <t>解珍</t>
  </si>
  <si>
    <t>杨雄</t>
  </si>
  <si>
    <t>关胜</t>
  </si>
  <si>
    <t>武松</t>
  </si>
  <si>
    <t>宋江</t>
  </si>
  <si>
    <t>宋朝</t>
  </si>
  <si>
    <t>北宋初期重要将领，军事家，开国功臣。</t>
  </si>
  <si>
    <t>杨延昭</t>
  </si>
  <si>
    <t>本名延朗，后改为杨延昭，契丹（应为辽国）把他看作是天上的六郎星宿“将星”下凡，故称亦称杨六郎</t>
  </si>
  <si>
    <t>元朝</t>
  </si>
  <si>
    <t>元太宗窝阔台当政后，耶律楚材定君臣礼仪，立课税制度，使蒙古国粗有仪制和法制、国用充足。废屠城旧制，保全攻占诸地人民。</t>
  </si>
  <si>
    <t>明朝</t>
  </si>
  <si>
    <t>兵种范围属性</t>
  </si>
  <si>
    <t>获得的额外攻击次数</t>
  </si>
  <si>
    <t>解释</t>
  </si>
  <si>
    <t>兵种速度属性(px/30s)</t>
  </si>
  <si>
    <t>获得的额外攻击优势</t>
  </si>
  <si>
    <t>兵法熟练度等级</t>
  </si>
  <si>
    <t>兵法触发概率</t>
  </si>
  <si>
    <t>攻击范围</t>
  </si>
  <si>
    <t>攻击面积</t>
  </si>
  <si>
    <t>兵法战场触发概率估算</t>
  </si>
  <si>
    <t>战法触发概率加成</t>
  </si>
  <si>
    <t>初始给予资源(训练)</t>
  </si>
  <si>
    <t>可派出的武将数</t>
  </si>
  <si>
    <t>1星武将基础刷新概率</t>
  </si>
  <si>
    <t>2星武将基础刷新概率</t>
  </si>
  <si>
    <t>3星武将基础刷新概率</t>
  </si>
  <si>
    <t>4星武将基础刷新概率</t>
  </si>
  <si>
    <t>5星武将基础刷新概率</t>
  </si>
  <si>
    <t>1格范围只能打四向的敌对，是个很大的弱项</t>
  </si>
  <si>
    <t>未知</t>
  </si>
  <si>
    <t>有一个武将是堂主</t>
  </si>
  <si>
    <t>中间可以放枪兵或者工兵，本兵种获得防护效果估算为多了30%攻击次数</t>
  </si>
  <si>
    <t>中间可以放枪兵、工兵或者骑兵，防护可能更大</t>
  </si>
  <si>
    <t>后期加成效果成长不会变快</t>
  </si>
  <si>
    <t>武将星级</t>
  </si>
  <si>
    <t>基础点数</t>
  </si>
  <si>
    <t>实际时间占自然时间比</t>
  </si>
  <si>
    <t>实际游戏时间(h）</t>
  </si>
  <si>
    <t>朝代</t>
    <phoneticPr fontId="8" type="noConversion"/>
  </si>
  <si>
    <t>其子赵括纸上谈兵，使赵遭受长平之战的重创。</t>
    <phoneticPr fontId="8" type="noConversion"/>
  </si>
  <si>
    <t>生卒年不详，中山灵寿(今河北灵寿西北)人。战国后期杰出的军事家，拜燕上将军，受封昌国君。代表作 助燕伐齐：率燕军半年内连下齐国70余城，为燕国雪耻</t>
    <phoneticPr fontId="8" type="noConversion"/>
  </si>
  <si>
    <t>战国时名将。系田齐宗室的疏远族属。生卒年不详。临淄(今山东淄博东北)人。复国后官居齐国相。代表作 “火牛阵”：可以写进军事教课书的经典战役，谱写以弱胜强的军事神话。 齐国复国：用反间计除乐毅，以仅剩的两城收复齐国的70余城。</t>
    <phoneticPr fontId="8" type="noConversion"/>
  </si>
  <si>
    <t>生卒年不详，频阳东乡(今陕西省富平县东北)人，秦代杰出的军事家，是继白起之后秦国的又一位名将。受封秦国武成侯。</t>
    <phoneticPr fontId="8" type="noConversion"/>
  </si>
  <si>
    <t>赵奢，生卒年不详，号：马服君，汉族“马”姓起源。赵国人，与赵王室同宗，当届贵族。战国后期赵国名将。代表作:阏与大战：重挫强秦，使其多年不敢小视赵国。</t>
    <phoneticPr fontId="8" type="noConversion"/>
  </si>
  <si>
    <t>山东德州陵县人，生于公元前32７年卒于公元前24３年，死时已是８４岁高龄．战国时期赵国杰出的军事将领，拜为赵国国相，受封平信君。率军攻齐：取昔阳(今河北晋州西北)，威震东方 鄗代之战：大败燕军主力，阵斩栗腹。长驱500里，进围燕国都城蓟，逼燕割15城给赵</t>
    <phoneticPr fontId="8" type="noConversion"/>
  </si>
  <si>
    <t>特点描述</t>
    <phoneticPr fontId="8" type="noConversion"/>
  </si>
  <si>
    <t>老而弥坚，攻守兼备</t>
    <phoneticPr fontId="8" type="noConversion"/>
  </si>
  <si>
    <t>执法无私，悉心治军，与下同赏。</t>
    <phoneticPr fontId="8" type="noConversion"/>
  </si>
  <si>
    <t>精通兵法，审时度势。</t>
    <phoneticPr fontId="8" type="noConversion"/>
  </si>
  <si>
    <t>擅长智慧谋略，爱民如子。</t>
    <phoneticPr fontId="8" type="noConversion"/>
  </si>
  <si>
    <t>打仗无一败绩，擅度势，为人谨慎，有政治头脑。</t>
    <phoneticPr fontId="8" type="noConversion"/>
  </si>
  <si>
    <t>李牧</t>
    <phoneticPr fontId="8" type="noConversion"/>
  </si>
  <si>
    <t>战国时期赵国人，战国时期赵国最杰出的军事家、统帅，官至赵国相，大将军衔，受封赵国武安君。代表作 抗击匈奴：长年对抗匈奴，一举歼灭10万匈奴铁骑，保赵国边关10年平安。</t>
    <phoneticPr fontId="8" type="noConversion"/>
  </si>
  <si>
    <t>是战国时期为数不多的攻守兼备的名将，擅长出奇兵以少胜多。</t>
    <phoneticPr fontId="8" type="noConversion"/>
  </si>
  <si>
    <t>孙膑</t>
    <phoneticPr fontId="8" type="noConversion"/>
  </si>
  <si>
    <t>战国时期著名军事家。孙武后裔。 齐国阿(今山东阳谷东北)、鄄(今鄄城北)一带人。代表作 《孙膑兵法》：军事的经典著作</t>
    <phoneticPr fontId="8" type="noConversion"/>
  </si>
  <si>
    <t>高深的军事理论，多智，擅用计谋。</t>
    <phoneticPr fontId="8" type="noConversion"/>
  </si>
  <si>
    <t>白起</t>
    <phoneticPr fontId="8" type="noConversion"/>
  </si>
  <si>
    <t>也叫公孙起，战国时期秦国郿县(今陕西郿县东北)人，中国历史上著名的军事家、统帅。官居秦国尉，受封秦国武安君。伊阙之战：斩杀韩，魏联军24万。鄢郢之战：攻陷楚国国都，迫使楚国迁都。长平之战：坑杀40万赵国士兵，使赵国从此一蹶不振。</t>
    <phoneticPr fontId="8" type="noConversion"/>
  </si>
  <si>
    <t>百战百胜，擅长歼灭战，杀人无数，令六国闻白起之名胆寒。</t>
    <phoneticPr fontId="8" type="noConversion"/>
  </si>
  <si>
    <t>吴起</t>
    <phoneticPr fontId="8" type="noConversion"/>
  </si>
  <si>
    <t>吴起(?—前381年)战国初期著名的****家，卓越的军事家、统帅、军事理论家、军事改革家。《吴起兵法》：著名的军事作品，与《孙子兵法》齐名。在魏国与其他诸侯国打了72仗，其中64仗全胜，其余平手，从无败绩！</t>
    <phoneticPr fontId="8" type="noConversion"/>
  </si>
  <si>
    <t>战无败绩，治国能人，文武双全。</t>
    <phoneticPr fontId="8" type="noConversion"/>
  </si>
  <si>
    <t>字长卿，后人尊称其为孙子、孙武子。他出生于公元前535 年左右的齐国乐安（今山东惠民），具体的生卒年月日不可考。代表作 《孙子兵法》：著名的军事作品。柏举之战：以吴国3万大破楚国20万，创造以少胜多的战争奇迹。</t>
    <phoneticPr fontId="8" type="noConversion"/>
  </si>
  <si>
    <t>超强的军事理论能力，用兵如神，知名度高。</t>
    <phoneticPr fontId="8" type="noConversion"/>
  </si>
  <si>
    <t>荆轲</t>
    <phoneticPr fontId="8" type="noConversion"/>
  </si>
  <si>
    <t>中国古代著名刺客。也称庆卿、荆卿、庆轲。</t>
    <phoneticPr fontId="8" type="noConversion"/>
  </si>
  <si>
    <t>范蠡</t>
    <phoneticPr fontId="8" type="noConversion"/>
  </si>
  <si>
    <t>吕不韦</t>
    <phoneticPr fontId="8" type="noConversion"/>
  </si>
  <si>
    <t>谋略</t>
    <phoneticPr fontId="8" type="noConversion"/>
  </si>
  <si>
    <t>李斯</t>
    <phoneticPr fontId="8" type="noConversion"/>
  </si>
  <si>
    <t>夏姬</t>
    <phoneticPr fontId="8" type="noConversion"/>
  </si>
  <si>
    <t>性别</t>
    <phoneticPr fontId="8" type="noConversion"/>
  </si>
  <si>
    <t>女</t>
    <phoneticPr fontId="8" type="noConversion"/>
  </si>
  <si>
    <t>女</t>
    <phoneticPr fontId="8" type="noConversion"/>
  </si>
  <si>
    <t>李嫣</t>
    <phoneticPr fontId="8" type="noConversion"/>
  </si>
  <si>
    <t>勾践</t>
    <phoneticPr fontId="8" type="noConversion"/>
  </si>
  <si>
    <t>夫差</t>
    <phoneticPr fontId="8" type="noConversion"/>
  </si>
  <si>
    <t>蒙括</t>
    <phoneticPr fontId="8" type="noConversion"/>
  </si>
  <si>
    <t>管仲</t>
    <phoneticPr fontId="8" type="noConversion"/>
  </si>
  <si>
    <t>除谋略点数</t>
    <phoneticPr fontId="8" type="noConversion"/>
  </si>
  <si>
    <t>秦代将领王翦之子。生卒年不详，汉族，频阳东乡（今陕西省富平县东北）人，秦代名将，名将王翦之子，与其父是秦灭六国战争中的主要将领。</t>
    <phoneticPr fontId="8" type="noConversion"/>
  </si>
  <si>
    <t>最终被吕后胁迫，留了下来。病死在长安。谥号留侯</t>
    <phoneticPr fontId="8" type="noConversion"/>
  </si>
  <si>
    <t>刘邦同乡好友。为人武勇无比。曾多次解救刘邦。但在刘邦病危时听其作乱谣言，竟令陈平周勃前去杀之</t>
    <phoneticPr fontId="8" type="noConversion"/>
  </si>
  <si>
    <t xml:space="preserve">原项羽手下。后投刘邦。虽然行为不检点但并不为刘邦所忌。后为丞相，吕后死后帮着剿灭吕家余孽。自述“我多诡计，是道家所忌” </t>
    <phoneticPr fontId="8" type="noConversion"/>
  </si>
  <si>
    <t>沛县小官。与刘邦交厚跟着他起兵。主管后勤。为所有功臣中功劳第一。后为丞相，主管内政。</t>
    <phoneticPr fontId="8" type="noConversion"/>
  </si>
  <si>
    <t xml:space="preserve">刘邦手下大将。吕氏乱政风波后为文帝朝丞相，但能力远不及陈平。后辞去官职。景帝朝名将周亚夫是其子 </t>
    <phoneticPr fontId="8" type="noConversion"/>
  </si>
  <si>
    <t>与萧何一样都原为沛县小官。丞相。素有“萧规曹随”一说。</t>
    <phoneticPr fontId="8" type="noConversion"/>
  </si>
  <si>
    <t>英布</t>
    <phoneticPr fontId="8" type="noConversion"/>
  </si>
  <si>
    <t>三王之一。为刘邦打下江山立下汗马功劳，但后被刘邦流谴，最终被吕后所杀。</t>
    <phoneticPr fontId="8" type="noConversion"/>
  </si>
  <si>
    <t xml:space="preserve">又称黥布。本为项军手下大将，后投刘邦，为三王之一。最后被刘邦出兵击杀。 </t>
    <phoneticPr fontId="8" type="noConversion"/>
  </si>
  <si>
    <t>郦食其</t>
    <phoneticPr fontId="8" type="noConversion"/>
  </si>
  <si>
    <t>虞姬</t>
    <phoneticPr fontId="8" type="noConversion"/>
  </si>
  <si>
    <t>项伯</t>
    <phoneticPr fontId="8" type="noConversion"/>
  </si>
  <si>
    <t>项庄</t>
    <phoneticPr fontId="8" type="noConversion"/>
  </si>
  <si>
    <t>范增</t>
    <phoneticPr fontId="8" type="noConversion"/>
  </si>
  <si>
    <t>龙且</t>
    <phoneticPr fontId="8" type="noConversion"/>
  </si>
  <si>
    <t>项籍麾下大将，被封为九江王，后来投靠刘邦。</t>
    <phoneticPr fontId="8" type="noConversion"/>
  </si>
  <si>
    <t>钟离昧</t>
    <phoneticPr fontId="8" type="noConversion"/>
  </si>
  <si>
    <t>刘邦</t>
    <phoneticPr fontId="8" type="noConversion"/>
  </si>
  <si>
    <t>季布</t>
    <phoneticPr fontId="8" type="noConversion"/>
  </si>
  <si>
    <t>项籍麾下大将，西楚灭亡后由夏侯婴推荐仕汉。</t>
    <phoneticPr fontId="8" type="noConversion"/>
  </si>
  <si>
    <t>王昭君</t>
    <phoneticPr fontId="8" type="noConversion"/>
  </si>
  <si>
    <t>女</t>
    <phoneticPr fontId="8" type="noConversion"/>
  </si>
  <si>
    <t>女</t>
    <phoneticPr fontId="8" type="noConversion"/>
  </si>
  <si>
    <t>班超</t>
    <phoneticPr fontId="8" type="noConversion"/>
  </si>
  <si>
    <t>卫青</t>
    <phoneticPr fontId="8" type="noConversion"/>
  </si>
  <si>
    <t>字仲卿，汉族，河东平阳（今山西临汾市）人。西汉武帝时的大司马大将军。</t>
    <phoneticPr fontId="8" type="noConversion"/>
  </si>
  <si>
    <t>卫青善于以战养战；用兵敢于深入 ，奇正兼擅；为将号令严明，与士卒同甘苦；威信很高，位极人臣，但从不养士。</t>
    <phoneticPr fontId="8" type="noConversion"/>
  </si>
  <si>
    <t>中国西汉武帝时期的杰出军事家，是名将卫青的外甥，任大司马骠骑将军。</t>
    <phoneticPr fontId="8" type="noConversion"/>
  </si>
  <si>
    <t>中国西汉时期的名将。称之为飞将军</t>
    <phoneticPr fontId="8" type="noConversion"/>
  </si>
  <si>
    <t>周勃</t>
    <phoneticPr fontId="8" type="noConversion"/>
  </si>
  <si>
    <t>秦末汉初的军事家和政治家、西汉开国功臣，沛县(今江苏沛县)人，汉高祖封为绛侯。</t>
    <phoneticPr fontId="8" type="noConversion"/>
  </si>
  <si>
    <t>座驾：乌骓马，兵器：鬼头刀。</t>
    <phoneticPr fontId="8" type="noConversion"/>
  </si>
  <si>
    <t>周勃为人憨厚刚正，高祖称他可委以大事。可是周勃不习经术，鄙薄儒生。</t>
    <phoneticPr fontId="8" type="noConversion"/>
  </si>
  <si>
    <t>吕雉</t>
    <phoneticPr fontId="8" type="noConversion"/>
  </si>
  <si>
    <t>窦婴</t>
    <phoneticPr fontId="8" type="noConversion"/>
  </si>
  <si>
    <t>窦太后侄。吴、楚七国之乱时，被景帝任为大将军，守荥阳，监齐、赵兵。七国破，封魏其侯。武帝初，任丞相。</t>
    <phoneticPr fontId="8" type="noConversion"/>
  </si>
  <si>
    <t>申屠嘉</t>
    <phoneticPr fontId="8" type="noConversion"/>
  </si>
  <si>
    <t>跟从刘邦攻打项籍，升任为军队首领。跟随（刘邦）攻打黥布的（敌）军，任都尉。</t>
    <phoneticPr fontId="8" type="noConversion"/>
  </si>
  <si>
    <t>刘彻</t>
    <phoneticPr fontId="8" type="noConversion"/>
  </si>
  <si>
    <t>刘恒</t>
    <phoneticPr fontId="8" type="noConversion"/>
  </si>
  <si>
    <t>嬴政</t>
    <phoneticPr fontId="8" type="noConversion"/>
  </si>
  <si>
    <t>霍光</t>
    <phoneticPr fontId="8" type="noConversion"/>
  </si>
  <si>
    <t>中国汉代卓越的探险家，旅行家与外交家，对丝绸之路的开拓有重大的贡献。</t>
    <phoneticPr fontId="8" type="noConversion"/>
  </si>
  <si>
    <t>周亚夫</t>
    <phoneticPr fontId="8" type="noConversion"/>
  </si>
  <si>
    <t xml:space="preserve">西汉时期（公元前206年～公元８年）的著名将军，沛县（今属中国东南部的江苏省）人。他是名将绛侯周勃的次子，在历史上也非常有名。 </t>
    <phoneticPr fontId="8" type="noConversion"/>
  </si>
  <si>
    <t>汉武帝刘彻</t>
    <phoneticPr fontId="8" type="noConversion"/>
  </si>
  <si>
    <t>汉文帝刘恒</t>
    <phoneticPr fontId="8" type="noConversion"/>
  </si>
  <si>
    <t xml:space="preserve">李陵(?—前74年)，陇西成纪(今甘肃静宁南)人，字少卿，西汉名将，李广之孙。 </t>
    <phoneticPr fontId="8" type="noConversion"/>
  </si>
  <si>
    <t>汉武帝死后，他受命为汉昭帝的辅政大臣，执掌汉室最高权力近20年，为汉室的安定和中兴建立了功勋，成为西汉历史发展中的重要政治人物。</t>
    <phoneticPr fontId="8" type="noConversion"/>
  </si>
  <si>
    <t>李广利</t>
  </si>
  <si>
    <t>张骞</t>
  </si>
  <si>
    <t>中国西汉时期将领。汉武帝宠妃李夫人之兄，是昌邑哀王（刘髆）的舅舅。</t>
  </si>
  <si>
    <t>李陵</t>
  </si>
  <si>
    <t>岑彭</t>
    <phoneticPr fontId="8" type="noConversion"/>
  </si>
  <si>
    <t>邓禹</t>
    <phoneticPr fontId="8" type="noConversion"/>
  </si>
  <si>
    <t>东汉中兴名将，“云台二十八将”之首。</t>
    <phoneticPr fontId="8" type="noConversion"/>
  </si>
  <si>
    <t>马武</t>
    <phoneticPr fontId="8" type="noConversion"/>
  </si>
  <si>
    <t>东汉大将，“云台二十八将”之一。初入绿林军，后归刘秀，东汉建立后，任捕虏将军，封杨虚侯。</t>
    <phoneticPr fontId="8" type="noConversion"/>
  </si>
  <si>
    <t>坚镡</t>
    <phoneticPr fontId="8" type="noConversion"/>
  </si>
  <si>
    <t>世祖讨河北，或荐镡者，因得召见。以其吏能，署主簿。又拜偏将军，从平河北，别击破大枪于卢奴。“云台二十八将”之一。</t>
    <phoneticPr fontId="8" type="noConversion"/>
  </si>
  <si>
    <t>傅俊</t>
    <phoneticPr fontId="8" type="noConversion"/>
  </si>
  <si>
    <t>积弩将军昆阳侯，字子卫，颍川襄城人。东汉大将 , “云台二十八将”之一。</t>
    <phoneticPr fontId="8" type="noConversion"/>
  </si>
  <si>
    <t>刘隆</t>
    <phoneticPr fontId="8" type="noConversion"/>
  </si>
  <si>
    <t>东汉初南阳（治今河南南阳）人，安众侯宗室。新莽末年，投奔更始，拜为骑都尉。后归附刘秀，封亢父侯，拜诛虏将军，讨平李宪。“云台二十八将”之一。</t>
    <phoneticPr fontId="8" type="noConversion"/>
  </si>
  <si>
    <t>马成</t>
    <phoneticPr fontId="8" type="noConversion"/>
  </si>
  <si>
    <t>马成(？～56年)字君迁。南阳郡棘阳(今新野县东北)人。东汉开国功臣，东汉大将,“云台二十八将”之一。</t>
    <phoneticPr fontId="8" type="noConversion"/>
  </si>
  <si>
    <t>杜茂</t>
    <phoneticPr fontId="8" type="noConversion"/>
  </si>
  <si>
    <t>杜茂(?—43年),骠骑大将军参蘧侯，字诸公，南阳冠军人。东汉大将，“云台二十八将”之一。</t>
    <phoneticPr fontId="8" type="noConversion"/>
  </si>
  <si>
    <t>王梁</t>
    <phoneticPr fontId="8" type="noConversion"/>
  </si>
  <si>
    <t>王梁字君严，渔阳要阳人也。为郡吏，太守彭宠以梁守狐奴令，与盖延、吴汉俱将兵南及世祖于广阿，拜偏将军。“云台二十八将”之一。</t>
    <phoneticPr fontId="8" type="noConversion"/>
  </si>
  <si>
    <t>景丹</t>
    <phoneticPr fontId="8" type="noConversion"/>
  </si>
  <si>
    <t>朱佑</t>
    <phoneticPr fontId="8" type="noConversion"/>
  </si>
  <si>
    <t>骠骑大将军栎阳侯，字孙卿，冯翊栎阳（今陕西西安市临潼区）人。东汉大将,“云台二十八将”之一。</t>
    <phoneticPr fontId="8" type="noConversion"/>
  </si>
  <si>
    <t>很小就成了孤儿，归外家复阳刘氏，往来舂陵，世祖与伯升皆亲爱之。伯升拜大司徒，以佑为护军。“云台二十八将”之一。</t>
    <phoneticPr fontId="8" type="noConversion"/>
  </si>
  <si>
    <t>耿纯</t>
    <phoneticPr fontId="8" type="noConversion"/>
  </si>
  <si>
    <t>钜鹿宋子(今河北赵县北)人，东汉大将，开国功臣，“云台二十八将”之一。</t>
    <phoneticPr fontId="8" type="noConversion"/>
  </si>
  <si>
    <t>刘植</t>
    <phoneticPr fontId="8" type="noConversion"/>
  </si>
  <si>
    <t>骁骑将军昌成侯，字伯先，巨鹿昌城人。东汉大将,“云台二十八将”之一。</t>
    <phoneticPr fontId="8" type="noConversion"/>
  </si>
  <si>
    <t>邳彤</t>
    <phoneticPr fontId="8" type="noConversion"/>
  </si>
  <si>
    <t>能文善武，东汉名医，光武帝刘秀手下云台二十八将之一。</t>
    <phoneticPr fontId="8" type="noConversion"/>
  </si>
  <si>
    <t>万脩</t>
    <phoneticPr fontId="8" type="noConversion"/>
  </si>
  <si>
    <t>跟任光，李忠是同事，后来一同归顺刘秀。更始年间(公元23--25年)任信都令，迎光武帝，拜偏将军。平河北，因功封槐里侯，为云台二十八将之一。</t>
    <phoneticPr fontId="8" type="noConversion"/>
  </si>
  <si>
    <t>李忠</t>
    <phoneticPr fontId="8" type="noConversion"/>
  </si>
  <si>
    <t>父为高密都尉。忠元始中以父任为郎，署中数十人，而忠独以好礼修整称。王莽时为新博属长，郡中咸敬信之。为云台二十八将之一。</t>
    <phoneticPr fontId="8" type="noConversion"/>
  </si>
  <si>
    <t>任光</t>
    <phoneticPr fontId="8" type="noConversion"/>
  </si>
  <si>
    <t>后汉光武帝时名将，南阳宛人。云台二十八将之一，少忠厚，为乡里所爱。初为乡啬夫、郡县吏。</t>
    <phoneticPr fontId="8" type="noConversion"/>
  </si>
  <si>
    <t>祭遵</t>
    <phoneticPr fontId="8" type="noConversion"/>
  </si>
  <si>
    <t>字弟孙，颍川颍阳(今河南许昌)人。东汉大将，“云台二十八将”之一。</t>
    <phoneticPr fontId="8" type="noConversion"/>
  </si>
  <si>
    <t>王霸</t>
    <phoneticPr fontId="8" type="noConversion"/>
  </si>
  <si>
    <t>东汉名将，“云台二十八将”之一。新莽末，从刘秀起兵，长期戍守北部边疆，后封淮陵侯。</t>
    <phoneticPr fontId="8" type="noConversion"/>
  </si>
  <si>
    <t>铫期</t>
    <phoneticPr fontId="8" type="noConversion"/>
  </si>
  <si>
    <t>身材魁梧，容貌威严。“云台二十八将”之一。</t>
    <phoneticPr fontId="8" type="noConversion"/>
  </si>
  <si>
    <t>耿弇</t>
    <phoneticPr fontId="8" type="noConversion"/>
  </si>
  <si>
    <t>挟风茂陵(今陕西兴平东北)人。东汉中兴名将，“云台二十八将”之一。西汉末，从刘秀起兵，任大将军。刘秀称帝后，任建威大将军，封好畤侯。</t>
    <phoneticPr fontId="8" type="noConversion"/>
  </si>
  <si>
    <t>臧宫</t>
    <phoneticPr fontId="8" type="noConversion"/>
  </si>
  <si>
    <t>东汉中兴名将，“云台二十八将”之一。</t>
  </si>
  <si>
    <t>东汉中兴名将，“云台二十八将”之一。</t>
    <phoneticPr fontId="8" type="noConversion"/>
  </si>
  <si>
    <t>陈俊</t>
    <phoneticPr fontId="8" type="noConversion"/>
  </si>
  <si>
    <t>东汉大将,“云台二十八将”之一。一开始跟随刘嘉，官拜长史。后来跟贾复一起经刘嘉推荐投奔刘秀。作战勇猛，在河北比较闻名。</t>
    <phoneticPr fontId="8" type="noConversion"/>
  </si>
  <si>
    <t>盖延</t>
    <phoneticPr fontId="8" type="noConversion"/>
  </si>
  <si>
    <t>东汉大将,“云台二十八将”之一。一开始是彭宠护军，后来跟吴汉一起投奔刘秀。他是一名虎将，在刘秀征战山东时功劳卓越</t>
    <phoneticPr fontId="8" type="noConversion"/>
  </si>
  <si>
    <t>吴汉</t>
    <phoneticPr fontId="8" type="noConversion"/>
  </si>
  <si>
    <t>东汉中兴名将，“云台二十八将”位居第三。任偏将军、大将军，刘秀称帝后，升任大司马，封舞阳侯。</t>
    <phoneticPr fontId="8" type="noConversion"/>
  </si>
  <si>
    <t>贾复</t>
    <phoneticPr fontId="8" type="noConversion"/>
  </si>
  <si>
    <t>云台二十八将之一,南阳郡冠军县（今河南邓县西北）人，出身儒生。</t>
    <phoneticPr fontId="8" type="noConversion"/>
  </si>
  <si>
    <t>冯异</t>
    <phoneticPr fontId="8" type="noConversion"/>
  </si>
  <si>
    <t>寇恂</t>
    <phoneticPr fontId="8" type="noConversion"/>
  </si>
  <si>
    <t>东汉名将，“云台二十八将”之一。</t>
    <phoneticPr fontId="8" type="noConversion"/>
  </si>
  <si>
    <t>张角</t>
  </si>
  <si>
    <t>张宝</t>
  </si>
  <si>
    <t>张梁</t>
  </si>
  <si>
    <t>张辽</t>
  </si>
  <si>
    <t>张郃</t>
  </si>
  <si>
    <t>巨鹿郡的在野人士。为太平道的教祖，向民众广传教义。趁社会动乱，得到广大民众支持。结成黄巾党对抗汉王朝，发动黄巾之乱。</t>
  </si>
  <si>
    <t>张角之弟。和张角一起举兵欲推翻汉王朝，而发动黄巾之乱。自称地公将军，用兄长传授的妖术指挥叛乱，后被属下严政刺杀。</t>
  </si>
  <si>
    <t>张角、张宝之弟。和兄长们一起举兵欲推翻汉王朝，而发动黄巾之乱。自称人公将军，张角死后继续指挥叛乱，败给了官军，在曲阳战死。</t>
  </si>
  <si>
    <t>演义中为蜀汉五虎大将之一。与刘备、关羽结为异姓兄弟。在长坂坡之战中，单枪匹马在长坂桥上，喝退曹操万大军的追击。后因关羽死于东吴之手，急于为兄报仇，迁怒部将范疆张达，在睡觉时被范疆张达所杀。</t>
  </si>
  <si>
    <t>魏将，曾为吕布的属下转战各地。吕布战败身亡后，改投曹操军营。守卫合淝之时，仅凭八百士兵就击退了十万吴兵。</t>
  </si>
  <si>
    <t>魏将，本是袁绍的属下，有勇有谋，由于郭图之计，身陷绝境，最后归顺了曹操。主要活跃于对蜀作战中，街亭之战时包围马谡，并大获全胜。</t>
  </si>
  <si>
    <t>张邈</t>
  </si>
  <si>
    <t>陈留太守，张超之兄。讨伐董卓的第六镇诸侯。本来与曹操是好友，可是经陈宫劝说后，背叛曹操。劝吕布攻打兖州，但是失败了。</t>
  </si>
  <si>
    <t>张纮</t>
  </si>
  <si>
    <t>吴臣，与张昭一起并称为“二张”。由周瑜举荐，以谋士身份加入。随军参加了赤壁、合淝之战。临终前，建议孙权迁都建业。</t>
  </si>
  <si>
    <t>张苞</t>
  </si>
  <si>
    <t>张飞的长子，将父亲的遗体收敛入棺后，向刘备报告。与关兴有结义兄弟的情谊。</t>
  </si>
  <si>
    <t>刘备</t>
  </si>
  <si>
    <t>刘备，字玄德(161~223)，汉景帝第七子中山靖王刘胜后裔，祖父刘雄曾任长水县尉，父刘弘无官，因家道中落，只得以卖草鞋维生，15岁入私塾，老师卢植，同学公孙瓒，后结识关羽ˋ张飞，因击败黄巾军有功被封安喜县尉，之后于新野请诸葛亮出芦，在忠义之士帮助下，建立蜀汉，最后病逝于白帝城，年63岁，谥号昭烈皇帝</t>
  </si>
  <si>
    <t>刘表</t>
  </si>
  <si>
    <t>镇南将军、荆州牧，与当地七贤人号称“江夏八俊”。袁绍告知刘表孙坚得到玉玺的消息，刘表截住回江东的孙坚，后孙坚跨江击刘表，孙坚中埋伏而死。远交袁绍，近结张绣，内纳刘备，称雄荆江。但因宠信蔡夫人，使大权落在蔡瑁手上，死后传位蔡氏儿子刘琮，导致曹操攻荆州，蔡瑁率众投降。</t>
  </si>
  <si>
    <t>曹操谋士。经郭嘉举荐给曹操，他屡献妙计，对天下形势的发展往往一语中的。对袁绍作战时提出用发石车，击退了敌人来自营楼的攻击。刘晔历仕数朝，是曹魏的三朝元老。</t>
  </si>
  <si>
    <t>刘璋</t>
  </si>
  <si>
    <t>刘禅</t>
  </si>
  <si>
    <t>刘琦</t>
  </si>
  <si>
    <t>刘琮</t>
  </si>
  <si>
    <t>刘封</t>
  </si>
  <si>
    <t>刘备养子，原姓寇，因听从孟达谗言，拒绝派兵支援关羽，导致关羽战死，被刘备赐死</t>
  </si>
  <si>
    <t>王允</t>
  </si>
  <si>
    <t>东汉司徒。董卓夺取中央的控制权后深感忧虑，假意合作的同时寻求诛灭董卓的方法。先将七星宝刀借与曹操行刺，失败后又以养女貂蝉行使离间计，终于成功唆使吕布杀死董卓。后拒绝董卓部下的归降，被逼反的董卓余部围困之下，慨然跳下城楼身亡。</t>
  </si>
  <si>
    <t>字文台，(155~191)春秋兵法家孙武的后代，17岁时单独闯入海盗船上杀死海贼头领而出名，后来征讨黄巾军有功被封长沙太守，18路讨董诸侯之一，最后在荆州襄阳城郊外中刘表埋伏而死，年36岁</t>
  </si>
  <si>
    <t>孙策</t>
  </si>
  <si>
    <t>字伯符，(175~200)孙坚长子，孙坚死后便接下父亲的部队投靠袁术，后来听从谋士朱治的谏言攻打吴郡，在周瑜的帮助下，3年便攻下吴郡，被誉为江东小霸王，最后遭吴郡太守许贡的部下杀害，年26岁</t>
  </si>
  <si>
    <t>孙权</t>
  </si>
  <si>
    <t>字仲谋，(182~252)孙坚次子，孙策死后便接管江东，因眼珠为绿色人称碧眼儿，于229年称帝，建立吴国，在位期间为吴国最繁盛时期，谥号吴大帝，年70岁</t>
  </si>
  <si>
    <t>字孟德(155~220)小名阿瞒，祖父曹腾，父曹嵩，本姓夏侯，少时被桥玄称治世之能臣乱世之奸雄，因征讨黄巾军有功封为济南相，18路讨董诸侯之一，后来在官渡打败袁绍统一北方，然后举兵南下遭孙权刘备联军于赤壁打败，216年封为魏王，死后曹丕追谥魏武帝，年65岁</t>
  </si>
  <si>
    <t>曹仁</t>
  </si>
  <si>
    <t>曹操堂弟(168~223)，官至大将军。曹仁于曹操起兵时与曹洪一同前来投奔。后从征袁术、吕布、张绣，参加官渡之战，南征孙权刘备，曹仁负责坚守城池，多立功勋。曹丕称帝后封曹仁为大司马。夷陵之战后，曹仁奉曹丕之命进军濡须口，却被守将朱桓杀败，回到洛阳，不久后病逝。</t>
  </si>
  <si>
    <t>曹操堂弟。随曹操追袭董卓荥阳时，曹军为董卓部将徐荣所败，曹操失马，曹洪舍命献马并救护曹操，使曹操免于厄难。后多随军征伐，讨黄巾、张邈、吕布、袁绍时，咸有功劳。后引军助夏侯渊、徐晃、张郃镇守西线。马超袭关中时，洪与徐晃并为前部，却因禁不住挑衅而失关。后搏战马超，再次救得曹操脱离险境。曹操命其领御林军。曹丕即位时，封为卫将军，进封野王侯，并与曹休掌典禁军。</t>
  </si>
  <si>
    <t>曹昂</t>
  </si>
  <si>
    <t>曹丕</t>
  </si>
  <si>
    <t>曹植</t>
  </si>
  <si>
    <t>曹纯</t>
  </si>
  <si>
    <t>曹休</t>
  </si>
  <si>
    <t>曹彰</t>
  </si>
  <si>
    <t>曹睿</t>
  </si>
  <si>
    <t>李儒</t>
  </si>
  <si>
    <t>董卓的女婿、首席谋士，为董卓亲信，大小事宜均与之参谋，堪称智囊。董卓趁乱进京、说降吕布、废立皇帝、迁都长安等举动，均离不开李儒的参谋之功。少帝刘辩被废后不满，李儒奉董卓之命，亲自带人入宫毒死刘辩。后王允使计离间董卓、吕布，李儒劝董卓放弃貂蝉换取吕布的效忠，董卓没有听从，死于吕布之手。董卓死时，李儒卧病在家，被家仆捆绑献出，处斩。</t>
  </si>
  <si>
    <t>李典</t>
  </si>
  <si>
    <t>早期就跟随曹操的大将之一。逍遥津之战中抛弃与乐、张的不和，与张辽精选八百人，攻击吴军，一度逼退东吴军。官至破虏将军，三十六岁去世。魏文帝曹丕继位后追谥号为愍侯。</t>
  </si>
  <si>
    <t>初为曹操第一谋士，因曹操杀害吕伯奢一家而离开曹操，后成为吕布谋士，终因吕布兵败不愿投降曹操被杀。</t>
  </si>
  <si>
    <t>赵云</t>
  </si>
  <si>
    <t>刘备五虎将。开始跟随公孙瓒，后投靠刘备，当年长阪恶战，赵云怀揣阿斗七进七出，杀得曹军闻风丧胆。刘备入西川，赵云随诸葛亮、张飞等人沿江而上作为援军，为平定益州做出了贡献。刘备死后，赵云跟随诸葛亮北伐，子龙单骑退追兵。为蜀汉立下赫赫战功。</t>
  </si>
  <si>
    <t>马良</t>
  </si>
  <si>
    <t>马岱</t>
  </si>
  <si>
    <t>马腾</t>
  </si>
  <si>
    <t>西凉太守，征西将军，马超之父。十八路讨董卓诸侯之一。李郭专政时期，与朝中侍中马宇等讨伐李郭二人，马腾率兵进攻长安，马宇等事败漏被杀，马腾退走。曹操控制朝廷时，汉献帝写下了衣带诏，约刘备、马腾等人起兵讨伐曹操。事件失败后，马腾回到西凉拥兵自重。后被曹操引诱入京杀害。</t>
  </si>
  <si>
    <t>马超</t>
  </si>
  <si>
    <t>马腾之子，刘备五虎将。初随马腾勤王，因粮草不济失败。后马腾被曹操所害，超与韩遂起兵为马腾报仇，曾追打得曹操割须弃袍。但被曹操使反间计，误以为韩遂欲投曹，使韩遂真投曹操，被曹操打败后投张鲁，后刘备攻张鲁时，被同乡说服投降刘备。刘备称帝后第二年马超病逝。</t>
  </si>
  <si>
    <t>韩馥</t>
  </si>
  <si>
    <t>东汉的冀州牧。率军参加讨伐董卓联军。同盟决裂后，被寻找根据地的袁绍夺取了冀州，抛下妻儿去投奔张邈。</t>
  </si>
  <si>
    <t>韩当</t>
  </si>
  <si>
    <t>东吴的开国老将之一，初随孙坚同程普、黄盖转战南北，后从孙策平定江东。扶佐孙权，多负勤劳。</t>
  </si>
  <si>
    <t>夏侯兰</t>
  </si>
  <si>
    <t>夏侯恩</t>
  </si>
  <si>
    <t>夏侯霸</t>
  </si>
  <si>
    <t>夏侯渊</t>
  </si>
  <si>
    <t>夏侯惇族弟，擅长千里奔袭。初期随曹操征伐，官渡之战为曹操督运粮草，又督诸将先后平定昌豨、徐和、雷绪、商曜等叛乱。后率军驻凉州，逐马超、破韩遂、灭宋建、横扫羌、氐，虎步关右。张鲁降曹操后夏侯渊留守汉中，于定军山被刘备部将黄忠所袭，战死。官至征西将军，封博昌亭侯，谥曰愍侯。</t>
  </si>
  <si>
    <t>武艺天下第一。先后跟随丁原、董卓，并最终杀死了丁原和董卓。成为独立势力后，吕布与曹操为敌，和刘备、袁术等诸侯时敌时友，最终不敌曹操和刘备的联军，兵败人亡。</t>
  </si>
  <si>
    <t>吕伯奢</t>
  </si>
  <si>
    <t>曹操因刺杀董卓不成而逃离洛阳，被陈宫所救，共同来到吕伯奢家。但曹操却误以为其家人的磨刀声是要杀死自己，尽杀其家人。后遇见买酒归来的吕伯奢，曹操担心吕伯奢将告发自己，于是挥剑砍死吕伯奢。</t>
  </si>
  <si>
    <t>董卓</t>
  </si>
  <si>
    <t>本屯兵凉州，于十常侍之乱时受何进之召率军进京，即掌控朝中大权。其为人残忍嗜杀，倒行逆施，招致群雄联合讨伐，但联合军在董卓迁都长安不久后瓦解。后被王允设连环计，利用貂蝉挑拨其与手下大将兼义子吕布的关系，使吕布杀了董卓，余部由李傕等人率领。</t>
  </si>
  <si>
    <t>胡车儿</t>
  </si>
  <si>
    <t>胡轸</t>
  </si>
  <si>
    <t>华雄部下，协同华雄守卫汜水关，在与孙坚的军队作战时，被程普所杀。</t>
  </si>
  <si>
    <t>周泰</t>
  </si>
  <si>
    <t>周仓</t>
  </si>
  <si>
    <t>许褚</t>
  </si>
  <si>
    <t>许攸</t>
  </si>
  <si>
    <t>袁绍的谋士，年轻时为曹操好友。多次出谋划策都不为袁绍所用。官渡之战之际，许攸因家人犯法被收治而投奔曹操，提供了重要情报，建议曹操偷袭乌巢，结果大获全胜。官渡之战后，许攸跟随曹操到达邺城，口出狂言，轻视曹军将士，被许褚一怒之下杀死，曹操见后深责许褚，下令厚葬许攸。</t>
  </si>
  <si>
    <t>邓艾</t>
  </si>
  <si>
    <t>诸葛瑾</t>
  </si>
  <si>
    <t>诸葛均</t>
  </si>
  <si>
    <t>朱治</t>
  </si>
  <si>
    <t>司马师</t>
  </si>
  <si>
    <t>司马昭</t>
  </si>
  <si>
    <t>蒋钦</t>
  </si>
  <si>
    <t>蒋干</t>
  </si>
  <si>
    <t>丁奉</t>
  </si>
  <si>
    <t>丁原</t>
  </si>
  <si>
    <t>汉并州刺史、吕布义父。董卓入京都，欲废少帝，丁原大怒，愤而离席。次日，引军城外搦战，吕布大败董卓军队。后卓遣虎贲中郎将李肃说原义子吕布杀原，割首献卓</t>
  </si>
  <si>
    <t>黄忠</t>
  </si>
  <si>
    <t>黄月英</t>
  </si>
  <si>
    <t>黄盖</t>
  </si>
  <si>
    <t>孙吴名将，历仕孙坚、孙策、孙权三任君主。为孙氏江山立下汗马功劳，赤壁之战时，献苦肉计使曹操的内应相信自己是真降曹操，导致最后火烧赤壁，孙刘联盟以少胜多，打败曹操。</t>
  </si>
  <si>
    <t>黄祖</t>
  </si>
  <si>
    <t>刘表部下江夏太守。孙坚跨江击刘表时，黄祖部下杀孙坚于岘山，黄祖被黄盖所擒。后刘表不忍弃黄祖，遂以孙坚尸体换黄祖归。曹操让弥衡出使荆州，因其侮辱刘表，刘表不能容忍，送祢衡到黄祖处，被黄祖所杀。屡次大战都被孙策孙权所破，又不肯用甘宁，于是甘宁投孙权。甘宁率众征讨黄祖，被甘宁所杀。</t>
  </si>
  <si>
    <t>郭嘉</t>
  </si>
  <si>
    <t>曹操帐下谋士，官至军师祭酒，封洧阳亭侯。初随袁绍，认为袁绍不能干大事而隐居，由程昱举荐给曹操。郭嘉是曹操最看重又最可惜的谋士。料事如神，为曹操统一中国北方立下了功勋。曾以十胜十败使曹操下定决心抗袁；料定孙策会被刺客所杀。后于曹操征伐乌丸时病逝，年仅三十八岁。谥曰贞侯。</t>
  </si>
  <si>
    <t>袁谭</t>
  </si>
  <si>
    <t>袁熙</t>
  </si>
  <si>
    <t>袁尚</t>
  </si>
  <si>
    <t>袁绍</t>
  </si>
  <si>
    <t>四世三公。原为何进手下司隶校尉，助何进剿除宦官，何进与宦官同归于尽。董卓入京，大权独揽，与袁绍不合，袁绍反后率领十八路诸侯讨伐董卓。后诸侯互相割据，袁绍先用计得了韩馥管辖的冀州，又夺青州，并州。后又打败公孙瓒，得到幽州。官渡之战时，被曹操所败，元气大伤。平定冀州叛乱后病死。</t>
  </si>
  <si>
    <t>袁术</t>
  </si>
  <si>
    <t>四世三公。袁绍之弟。初为虎贲中郎将。董卓进京后以袁术为后将军，袁术因畏祸而出奔南阳。与袁绍、曹操等同时起兵，共讨董卓。后与袁绍对立，被袁绍、曹操击败，率馀众奔九江，割据扬州。建安二年（197年）称帝，建号仲氏。此后袁术奢侈荒淫，横征暴敛，使江淮地区残破不堪，民多饥死，部众离心，先后为吕布、曹操所破，呕血而死。</t>
  </si>
  <si>
    <t>何进</t>
  </si>
  <si>
    <t>灵帝时大将军，何皇后的哥哥。黄巾军起义时，镇压了马元义的密谋。灵帝死后，蹇硕从灵帝愿望，欲立刘协为主，设计杀害何进，未果被杀。何进独揽大权。何进担心宦官势力大，无法剿除奸党。在袁绍的建议下，召董卓引兵入京，逼迫何太后杀十常侍。后十常侍害怕，设计杀了何进</t>
  </si>
  <si>
    <t>荀攸</t>
  </si>
  <si>
    <t>荀彧之侄，三国时期曹操的首席军师之一。初仕大将军何进，董卓进京揽大权，荀攸后弃官还乡。曹操在兖州时，荀攸同荀彧共来投靠，为曹操重用。曹操迎天子都许，拜为军师。攸随讨吕布，定河北，及官渡、赤壁之战，屡出奇谋。及魏建，以荀攸为尚书令。曹操进魏王时，荀攸认为曹操叛汉，曹操发怒，攸忧愤成疾，后来就死了。</t>
  </si>
  <si>
    <t>荀彧</t>
  </si>
  <si>
    <t>旧随袁绍，因知袁绍终不能成大事遂与其侄荀攸投奔曹操，被曹操比作张良。为曹操出过很多重要的战略谋划。建议曹操“奉天子以令不臣”，使曹操得到很多诸侯的控制权。经常参与国家大事并经常留守许都。曾和郭嘉以“十胜十败”使曹操下决心抗袁，使曹操大败袁绍统一北方。后董昭劝曹操称魏公，荀彧反对，不久在曹操的暗示下服毒自杀。</t>
  </si>
  <si>
    <t>程普</t>
  </si>
  <si>
    <t>同黄盖、韩当自孙坚起兵便跟随孙氏，为孙吴崛起立下汗马功劳。后与周瑜同掌兵权。程普被封为江夏太守。</t>
  </si>
  <si>
    <t>程昱</t>
  </si>
  <si>
    <t>曹操谋士。曾于于徐州用计迫降关羽；曹操征河北，昱举羽以敌颜良，又于仓亭献十面埋伏之计，大胜袁绍。后曹操与刘备大战，昱计挟亲赚徐庶，使庶来投。从南征，昱谏曹操以防火攻，又识黄盖粮船之伪，免大寨遭创，曹操亦因此逃逸得及。后又于濡须劝曹操班师。魏国既建，以程昱为卫尉。</t>
  </si>
  <si>
    <t>公孙瓒</t>
  </si>
  <si>
    <t>北平太守。幼从卢植学，与先主为友。后先主起兵，瓒多有举荐。及董卓乱政，瓒从曹操令，起兵助之。曾受袁绍诱惑，攻打冀州韩馥，不想让袁绍用计得了冀州，后因冀州地常与袁绍争，交战多次，终为所败，于易京楼中引火自焚。</t>
  </si>
  <si>
    <t>孟获</t>
  </si>
  <si>
    <t>南中豪强。雍闿因刘备的逝世而起事，则孟获受到其邀请。雍闿被杀时，率领雍闿的军队抵抗蜀汉。最后败于南中之战，成为蜀汉的官吏。官至御史中丞。</t>
  </si>
  <si>
    <t>庞德</t>
  </si>
  <si>
    <t>关平</t>
  </si>
  <si>
    <t>关兴</t>
  </si>
  <si>
    <t>关索</t>
  </si>
  <si>
    <t>刘备的结义二弟，一生追随刘备征战啥场，义薄云天，又兼武艺高强，闻名天下。于虎牢关温酒斩华雄，以斩颜良诛文丑报曹操，千里走单骑过五关斩六将投刘备。刘备得益州后，帮刘备守荆州，水淹于禁七军威震华夏，被刘备封为五虎上将之首。后东吴吕蒙偷袭荆州，关羽兵败被潘璋所杀。</t>
  </si>
  <si>
    <t>徐晃字公明</t>
  </si>
  <si>
    <t>徐庶</t>
  </si>
  <si>
    <t>徐盛</t>
  </si>
  <si>
    <t>蔡瑁</t>
  </si>
  <si>
    <t>刘表麾下大将，其姊为刘表后妻。曾两次被派出战孙坚军队，先后被黄盖、程普所败。刘备投荆州时，因怕大权落于刘备之手，于是设计杀刘备，但被刘备走脱。刘表死后，立刘琮为主，曹操南征时，率众投降。赤壁之战时统领曹操水军，被周瑜以反间计所害。</t>
  </si>
  <si>
    <t>蔡和</t>
  </si>
  <si>
    <t>蔡中</t>
  </si>
  <si>
    <t>高顺</t>
  </si>
  <si>
    <t>严白虎</t>
  </si>
  <si>
    <t>潘凤</t>
  </si>
  <si>
    <t>韩馥上将。在汜水关前被派出战华雄，被斩。</t>
  </si>
  <si>
    <t>文聘</t>
  </si>
  <si>
    <t>文丑</t>
  </si>
  <si>
    <t>袁绍手下大将。曾于延津关射落张辽，大战徐晃。但与关羽战几回合，关羽赤兔马快，被追上斩杀。</t>
  </si>
  <si>
    <t>贾诩</t>
  </si>
  <si>
    <t>曾先后担任三国军阀李傕、张绣、曹操的谋士。曾建议李傕郭汜带兵杀回洛阳杀败吕布、王允；又曾帮张绣多次与曹操大战，取得不错战绩，后劝张绣一起投降了曹操；曹操立储时，帮助曹丕接任，后曹丕篡汉为帝，封贾诩为魏国太尉，谥曰肃侯。</t>
  </si>
  <si>
    <t>左慈</t>
  </si>
  <si>
    <t>华雄</t>
  </si>
  <si>
    <t>为董卓帐下都督。十八路诸侯讨伐董卓时，董卓派华雄抵挡，华雄在李肃帮助下，于汜水关杀败孙坚，后凭借武力在诸侯面前耀武扬威，被关羽所斩。</t>
  </si>
  <si>
    <t>孔融</t>
  </si>
  <si>
    <t>孔融少时成名。建安七子之一。献帝时任北海相，世称孔北海，十八路反董卓诸侯之一。曹操攻徐州时，曾率兵救徐州，使徐州得救。</t>
  </si>
  <si>
    <t>魏延</t>
  </si>
  <si>
    <t>皇甫嵩</t>
  </si>
  <si>
    <t>黄巾起义爆发时，任左中郎将，与朱俊、卢植各率军镇压起义军，后官至太尉，封槐里侯。与黄巾军张梁时，连胜七阵，斩张梁于曲阳。后卢植得罪小人，论罪几死，皇甫嵩又表奏卢植有功无罪，朝廷复卢植原官。</t>
  </si>
  <si>
    <t>淳于琼</t>
  </si>
  <si>
    <t>本为汉右军校尉，后为袁绍部将。官渡之战，淳于琼督领二万人马守乌巢，整日酗酒无备。曹操率军偷袭，淳于琼醉卧而不能迎敌，战败被擒，粮谷被烧，曹操命割去其耳鼻手指，缚于马上放回。袁绍怒而斩之。</t>
  </si>
  <si>
    <t>裴元绍</t>
  </si>
  <si>
    <t>乐进</t>
  </si>
  <si>
    <t>曹操重要将领。最早投到曹操帐下，胆勇过人，随军多年，南征北讨，战功无数。曾于合肥之战突袭孙权，差点捉得孙权。与凌统大战之时被甘宁射伤。战功累累，被封为右将军。</t>
  </si>
  <si>
    <t>鲁肃</t>
  </si>
  <si>
    <t>廖化</t>
  </si>
  <si>
    <t>姜维</t>
  </si>
  <si>
    <t>法正</t>
  </si>
  <si>
    <t>东吴大将。因奉母亲之命向孔融报恩，黄巾贼管亥围北海，慈助融抗之，请来刘备，大败贼众。后归扬州刺史刘繇，于神亭同一小将斗孙策十三骑。后繇败死，策擒慈，求为其将，慈降。慈招谕繇残军归，守言应诺。自此太史慈助孙策扫荡江东。赤壁战中，孙权用慈为先锋。后于合肥城中伏，为张辽所遣弓弩兵射为重伤，回营发遗世之言，不治身死。</t>
  </si>
  <si>
    <t>凌操</t>
  </si>
  <si>
    <t>凌统</t>
  </si>
  <si>
    <t>蒯良</t>
  </si>
  <si>
    <t>蒯越之兄，足智多谋，刘表谋士。袁术向刘表借粮不成，派孙坚讨伐刘表，蒯良建议坚守，蔡瑁不听，大败。刘表派吕公迎战，吕公听从蒯良计谋，用兵设伏射杀孙坚，解了危机。后来孙策以黄祖换取孙坚尸首，两家各罢兵。蒯良又劝刘表砍其使，乘胜下江东，然而刘表不纳其言，坐失良机。</t>
  </si>
  <si>
    <t>蒯越</t>
  </si>
  <si>
    <t>蒯良之弟，刘表谋士。袁绍通知刘表孙坚暗得国玺归南一事，刘表遣蒯越截击孙坚，大破其军。后刘备依荆州，送的卢马与刘表，蒯越知的卢乃凶马，劝刘表奉还。蔡瑁欲杀刘备，蒯越用计调开赵云，刘备差点被害。刘表死后，刘琮嗣位，蒯越与傅巽等劝其降曹操。蒯越随刘琮降曹操，被封为江陵太守樊亭侯。</t>
  </si>
  <si>
    <t>典韦</t>
  </si>
  <si>
    <t>曹操大将，被曹操称为“古之恶来”。曹操与吕布交战时被困于濮阳西寨，典韦以十余枝短戟刺杀敌军，一戟一人坠马，并无虚发，又挺双铁戟驱赶吕布手下四将。此后曹操中陈宫之计被困于濮阳城中，典韦拼死保护曹操逃出。后张绣投降曹操后反叛曹操，典韦被灌醉，双铁戟被偷走。张绣叛乱，典韦独身一人抵挡敌军，终因寡不敌众，背后中枪而死。</t>
  </si>
  <si>
    <t>糜芳</t>
  </si>
  <si>
    <t>糜竺</t>
  </si>
  <si>
    <t>糜芳之兄，刘备妻糜夫人之兄。初随陶谦，曹操攻徐州，糜竺向孔融求救，孔融再请来刘备，终使徐州得救。后陶谦三让徐州给刘备，糜竺从此跟随刘备。后糜芳叛蜀，糜竺羞愧忧郁得病而亡。</t>
  </si>
  <si>
    <t>甘宁</t>
  </si>
  <si>
    <t>纪灵</t>
  </si>
  <si>
    <t>简雍</t>
  </si>
  <si>
    <t>颜良</t>
  </si>
  <si>
    <t>袁绍手下最强大将。曾于白马关二十合打败徐晃，令曹营大将尽皆栗然。但关羽出战，颜良欲上前问，不料赤兔马快，被关羽一刀砍死。</t>
  </si>
  <si>
    <t>朵思大王</t>
  </si>
  <si>
    <t>带来洞主</t>
  </si>
  <si>
    <t>大乔（孙策妻）（乔国老女）</t>
  </si>
  <si>
    <t>貂蝉（董卓妾）（吕布妾）（关羽妾）（王允义女）</t>
  </si>
  <si>
    <t>王允义女。先被王允派来诱惑吕布，又被献于董卓，再由貂蝉从中挑拨吕布与董卓之间的关系，致使后来吕布杀了董卓。后一直跟着吕布，吕布死后不知所踪。</t>
  </si>
  <si>
    <t>祝融夫人</t>
    <phoneticPr fontId="8" type="noConversion"/>
  </si>
  <si>
    <t>（孟获妻）</t>
  </si>
  <si>
    <t>诸葛亮</t>
    <phoneticPr fontId="8" type="noConversion"/>
  </si>
  <si>
    <t>庞统</t>
    <phoneticPr fontId="8" type="noConversion"/>
  </si>
  <si>
    <t>司马懿</t>
    <phoneticPr fontId="8" type="noConversion"/>
  </si>
  <si>
    <t>小乔</t>
    <phoneticPr fontId="8" type="noConversion"/>
  </si>
  <si>
    <t>周瑜</t>
    <phoneticPr fontId="8" type="noConversion"/>
  </si>
  <si>
    <t>吕蒙</t>
    <phoneticPr fontId="8" type="noConversion"/>
  </si>
  <si>
    <t>鲍三娘</t>
    <phoneticPr fontId="8" type="noConversion"/>
  </si>
  <si>
    <t>鲍三娘是鲍凯的女儿，关索的妻子，鲍家的三女，是一个有美貌，又十分懂得武艺的人，只爱那些武艺非凡的男人，打败了一个向她比武取亲的人。</t>
    <phoneticPr fontId="8" type="noConversion"/>
  </si>
  <si>
    <t>宇文成都</t>
    <phoneticPr fontId="8" type="noConversion"/>
  </si>
  <si>
    <t>天宝大将宇文成都，胯下赛龙五斑驹，掌中凤翅镏金镗，勇贯三军，是大隋朝的顶梁柱</t>
    <phoneticPr fontId="8" type="noConversion"/>
  </si>
  <si>
    <t>李元霸</t>
    <phoneticPr fontId="8" type="noConversion"/>
  </si>
  <si>
    <t>西府赵王李元霸，李元霸胯下千里一盏灯，手中一对擂鼓瓮金锤谁也惹不起，为头一条好汉</t>
    <phoneticPr fontId="8" type="noConversion"/>
  </si>
  <si>
    <t>裴元庆</t>
    <phoneticPr fontId="8" type="noConversion"/>
  </si>
  <si>
    <t>锤太保裴元庆裴三公子，胯下一字没角癞麒麟，掌中一对八棱梅花亮银锤，是以后瓦岗山头号猛将</t>
    <phoneticPr fontId="8" type="noConversion"/>
  </si>
  <si>
    <t>李渊</t>
    <phoneticPr fontId="8" type="noConversion"/>
  </si>
  <si>
    <t>唐朝开国皇帝。</t>
    <phoneticPr fontId="8" type="noConversion"/>
  </si>
  <si>
    <t>唐太宗</t>
    <phoneticPr fontId="8" type="noConversion"/>
  </si>
  <si>
    <t>李世民</t>
    <phoneticPr fontId="8" type="noConversion"/>
  </si>
  <si>
    <t>武则天</t>
    <phoneticPr fontId="8" type="noConversion"/>
  </si>
  <si>
    <t>杨玉环</t>
    <phoneticPr fontId="8" type="noConversion"/>
  </si>
  <si>
    <t>安禄山</t>
    <phoneticPr fontId="8" type="noConversion"/>
  </si>
  <si>
    <t>史思明</t>
    <phoneticPr fontId="8" type="noConversion"/>
  </si>
  <si>
    <t>他在30岁前一直混迹在边疆地区，是一个不很安分的商人。30岁那年步入军旅，在不到4年的时间就做到平卢将军。天宝元年（741）正月初一，他刚刚40岁时，一跃成为驻守边疆的藩镇安禄山家乡朝阳古城一级的最高军事统帅——平卢军节度使。在此后的十几年中，他飞黄腾达，在唐朝严格按照任职年限资格任官的体制下，创造了和平年代边疆军帅仕途腾达的神话。</t>
    <phoneticPr fontId="8" type="noConversion"/>
  </si>
  <si>
    <t>与安禄山同乡相善。初为互市牙郎，亦以骁勇为幽州节度使张守所知，任为捉生将。天宝年间累立战功，官至平卢兵马使。曾到长安奏事，为玄宗赏识，赐名思明。</t>
    <phoneticPr fontId="8" type="noConversion"/>
  </si>
  <si>
    <t>唐代著名的军事家。武举出身。安史之乱时任朔方节度使，在河北打败史思明。后连回纥收复洛阳、长安两京，功居平乱之首，晋为中书令，封汾阳郡王。</t>
    <phoneticPr fontId="8" type="noConversion"/>
  </si>
  <si>
    <t>郭子仪</t>
    <phoneticPr fontId="8" type="noConversion"/>
  </si>
  <si>
    <t>玄武门之变以后，李世民由于早就器重他的胆识才能，非但没有怪罪于他，而且还把他任为谏官之职，并经常引入内廷，询问政事得失。魏征喜逢知己之主，竭诚辅佐，知无不言，言无不尽。</t>
    <phoneticPr fontId="8" type="noConversion"/>
  </si>
  <si>
    <t>魏征</t>
    <phoneticPr fontId="8" type="noConversion"/>
  </si>
  <si>
    <t>狄仁杰</t>
    <phoneticPr fontId="8" type="noConversion"/>
  </si>
  <si>
    <t>武则天时期宰相，杰出的政治家。狄仁杰为官，如老子所言"圣人无常心，以百姓心为心"，为了拯救无辜，敢于拂逆君主之意，始终保持体恤百姓、不畏权势的本色，始终是居庙堂之上，以民为忧，后人称之为"唐室砥柱"。</t>
    <phoneticPr fontId="8" type="noConversion"/>
  </si>
  <si>
    <t>李靖</t>
    <phoneticPr fontId="8" type="noConversion"/>
  </si>
  <si>
    <t>唐初杰出的军事家将领、军事理论家、民族英雄。</t>
    <phoneticPr fontId="8" type="noConversion"/>
  </si>
  <si>
    <t>李建成</t>
    <phoneticPr fontId="8" type="noConversion"/>
  </si>
  <si>
    <t>唐高祖李渊长子。长期在京辅佐李渊确立唐初大政。</t>
    <phoneticPr fontId="8" type="noConversion"/>
  </si>
  <si>
    <t>平阳公主</t>
    <phoneticPr fontId="8" type="noConversion"/>
  </si>
  <si>
    <t>唐高祖李渊的第三个女儿，也是李渊嫡妻窦氏（窦皇后）的爱女。她是一个真正的巾帼英雄，才识胆略丝毫不逊色于她的兄弟们。</t>
    <phoneticPr fontId="8" type="noConversion"/>
  </si>
  <si>
    <t>松赞干布的父亲囊日论赞，是一位很有作为的赞普。受父亲的影响，少年时代的松赞干布就已显现出非凡的才能。父亲被仇人毒害而死后，13岁的他即赞普位。即位后，他一面缉查凶手，一面训练军队，很快平息各地的叛乱，统一各部，定都逻些（今拉萨），建立了吐蕃奴隶制政权。之后，又先后降服周围的苏毗、多弥、白兰、党项、羊同等部，势力日益强盛。</t>
    <phoneticPr fontId="8" type="noConversion"/>
  </si>
  <si>
    <t>松赞干布</t>
    <phoneticPr fontId="8" type="noConversion"/>
  </si>
  <si>
    <t>长孙无忌</t>
    <phoneticPr fontId="8" type="noConversion"/>
  </si>
  <si>
    <t>是唐太宗李世民的内兄，文德顺圣皇后的哥哥。长孙无忌非常好学，“该博文史”。隋朝义宁元年（617年），李渊起兵太原。无忌进见，渊爱其才略，授任渭北行军典签。自此辅佐李世民，建立了唐朝政权，是唐朝的开国功臣，以功第一，封齐国公，后徙赵国公。武德九年(626年)，参与发动玄武门之变，帮助李世民夺取帝位。</t>
    <phoneticPr fontId="8" type="noConversion"/>
  </si>
  <si>
    <t>唐三藏</t>
    <phoneticPr fontId="8" type="noConversion"/>
  </si>
  <si>
    <t>文成公主</t>
    <phoneticPr fontId="8" type="noConversion"/>
  </si>
  <si>
    <t>慕容顺之子。父死，年幼嗣位。大臣争权，国中大乱。唐太宗遣军援之，封为河源郡王，授乌地也拔勒豆可汗。</t>
    <phoneticPr fontId="8" type="noConversion"/>
  </si>
  <si>
    <t>裴炎</t>
    <phoneticPr fontId="8" type="noConversion"/>
  </si>
  <si>
    <t>来俊臣</t>
    <phoneticPr fontId="8" type="noConversion"/>
  </si>
  <si>
    <t>唐朝武则天时酷吏。</t>
    <phoneticPr fontId="8" type="noConversion"/>
  </si>
  <si>
    <t>太平公主</t>
    <phoneticPr fontId="8" type="noConversion"/>
  </si>
  <si>
    <t>太平公主是我国历史上赫赫有名的人物，她不仅仅因为是中国历史上第一个女皇武则天的女儿，而且几乎真的成了“武则天第二”。</t>
    <phoneticPr fontId="8" type="noConversion"/>
  </si>
  <si>
    <t>唐中叶名将。营州柳城(今辽宁朝阳)人。父楷洛，本契丹酋长，于武则天时附唐。光弼少善骑射，历任朔方(今宁夏灵武西北)、河西(今甘肃武威)将校。</t>
    <phoneticPr fontId="8" type="noConversion"/>
  </si>
  <si>
    <t>李光弼</t>
    <phoneticPr fontId="8" type="noConversion"/>
  </si>
  <si>
    <t>保义可汗</t>
    <phoneticPr fontId="8" type="noConversion"/>
  </si>
  <si>
    <t>唐册封为保义可汗，次年，改回纥为回鹘。助唐击吐蕃，收复凉州、北庭、龟兹等地。又西征至中亚拔贺那国，扩张领土。后为吐蕃击败。曾遣使长安请婚，不果而卒。</t>
    <phoneticPr fontId="8" type="noConversion"/>
  </si>
  <si>
    <t>庞勋</t>
    <phoneticPr fontId="8" type="noConversion"/>
  </si>
  <si>
    <t>唐末桂林戍卒起义军领袖。初在戍守桂林的徐州，泗州军中任粮料官。公元863年，唐曾在徐州、泗州募兵二千戍守交趾，其中抽出八百人戍守桂林（广西桂林）。</t>
    <phoneticPr fontId="8" type="noConversion"/>
  </si>
  <si>
    <t>程咬金</t>
    <phoneticPr fontId="8" type="noConversion"/>
  </si>
  <si>
    <t>原名咬金，后更名知节。汉族，济州东阿斑鸠店人（今属山东省东平县）。唐朝开国名将，封卢国公，位列凌烟阁二十四功臣。</t>
    <phoneticPr fontId="8" type="noConversion"/>
  </si>
  <si>
    <t>秦叔宝</t>
    <phoneticPr fontId="8" type="noConversion"/>
  </si>
  <si>
    <t>殷开山</t>
    <phoneticPr fontId="8" type="noConversion"/>
  </si>
  <si>
    <t>唐凌烟阁二十四功臣之一。父殷僧首为隋朝秘书丞，隋末为大谷长。</t>
    <phoneticPr fontId="8" type="noConversion"/>
  </si>
  <si>
    <t>房玄龄</t>
    <phoneticPr fontId="8" type="noConversion"/>
  </si>
  <si>
    <t>汉族，齐州临淄人（今山东省济南市章丘市相公庄镇），是中国唐朝时的开国宰相，杰出谋臣，大唐“贞观之治”的主要缔造者之一。</t>
    <phoneticPr fontId="8" type="noConversion"/>
  </si>
  <si>
    <t xml:space="preserve">薛仁贵 </t>
  </si>
  <si>
    <t xml:space="preserve">程名振  </t>
  </si>
  <si>
    <t>杨素</t>
  </si>
  <si>
    <t xml:space="preserve">苏定方  </t>
  </si>
  <si>
    <t>薛讷</t>
  </si>
  <si>
    <t xml:space="preserve">尉迟恭  </t>
  </si>
  <si>
    <t xml:space="preserve">罗艺  </t>
  </si>
  <si>
    <t xml:space="preserve">高仙之  </t>
  </si>
  <si>
    <t xml:space="preserve">李绩  </t>
  </si>
  <si>
    <t xml:space="preserve">黄巢 </t>
  </si>
  <si>
    <t>李道宗</t>
  </si>
  <si>
    <t>韩擒虎</t>
  </si>
  <si>
    <t>契苾何力</t>
    <phoneticPr fontId="8" type="noConversion"/>
  </si>
  <si>
    <t>杜迁</t>
  </si>
  <si>
    <t>朱贵</t>
  </si>
  <si>
    <t>林冲</t>
  </si>
  <si>
    <t>吴用</t>
  </si>
  <si>
    <t>公孙胜</t>
  </si>
  <si>
    <t>阮小二</t>
  </si>
  <si>
    <t>阮小五</t>
  </si>
  <si>
    <t>阮小七</t>
  </si>
  <si>
    <t>白胜</t>
  </si>
  <si>
    <t>秦明</t>
  </si>
  <si>
    <t>花荣</t>
  </si>
  <si>
    <t>燕青</t>
  </si>
  <si>
    <t>王英</t>
  </si>
  <si>
    <t>石勇</t>
  </si>
  <si>
    <t>戴宗</t>
  </si>
  <si>
    <t>李逵</t>
  </si>
  <si>
    <t>李俊</t>
  </si>
  <si>
    <t>张顺</t>
  </si>
  <si>
    <t>欧鹏</t>
  </si>
  <si>
    <t>李应</t>
  </si>
  <si>
    <t>石秀</t>
  </si>
  <si>
    <t>解宝</t>
  </si>
  <si>
    <t>顾大嫂</t>
  </si>
  <si>
    <t>时迁</t>
  </si>
  <si>
    <t>柴进</t>
  </si>
  <si>
    <t>朱仝</t>
  </si>
  <si>
    <t>呼延灼</t>
  </si>
  <si>
    <t>鲁智深</t>
  </si>
  <si>
    <t>杨志</t>
  </si>
  <si>
    <t>徐宁</t>
  </si>
  <si>
    <t>史进</t>
  </si>
  <si>
    <t>朱武</t>
  </si>
  <si>
    <t>周通</t>
  </si>
  <si>
    <t>张青</t>
  </si>
  <si>
    <t>孙二娘</t>
  </si>
  <si>
    <t>卢俊义</t>
  </si>
  <si>
    <t>索超</t>
  </si>
  <si>
    <t>蔡福</t>
  </si>
  <si>
    <t>董平</t>
  </si>
  <si>
    <t>张清</t>
  </si>
  <si>
    <t>宋万</t>
    <phoneticPr fontId="8" type="noConversion"/>
  </si>
  <si>
    <t>地魔星·云里金刚。宋万是梁山泊的元老，因为高大威猛，所以人称“云里金刚”。早先和王伦、杜迁占梁山为王，武艺平常。</t>
    <phoneticPr fontId="8" type="noConversion"/>
  </si>
  <si>
    <t>地妖星·摸着天。杜迁是梁山泊的元老，第一个上梁山的好汉。因为身长猿臂，人称“摸着天”。早先同王伦、宋万、朱贵一齐占山为王，本事平平，武艺一般。</t>
    <phoneticPr fontId="8" type="noConversion"/>
  </si>
  <si>
    <t>地囚星·旱地忽律。梁山第九十二条好汉。林冲上梁山时，在梁山脚下一酒店里遇到朱贵。朱贵是梁山王伦手下的耳目，江湖上叫“旱地忽律”。</t>
    <phoneticPr fontId="8" type="noConversion"/>
  </si>
  <si>
    <t>天雄星·豹子头。林冲是小说《水浒传》中的重要人物之一，外号豹子头，东京（今河南开封）人。生性耿直，爱交好汉；武艺高强，惯使丈八蛇矛</t>
    <phoneticPr fontId="8" type="noConversion"/>
  </si>
  <si>
    <t>天机星·智多星。吴用，字学究，是《水浒传》中的人物，梁山排名第三。山东济州郓城县东溪村人。满腹经纶，通晓六韬三略，足智多谋，常以诸葛亮自比，道号“加亮先生”，人称"智多星"。</t>
    <phoneticPr fontId="8" type="noConversion"/>
  </si>
  <si>
    <t>天闲星·入云龙。道号“一清先生”，生得一双杏眼，络腮胡须，身长八尺，相貌堂堂，乃蓟州人氏，自幼在乡中好习枪棒，学成武艺多般，大家都呼他为公孙胜大郎。后来师从罗真人，学得一身道术，善能呼风唤雨，驾雾腾云，江湖上都称他做“入云龙”。</t>
    <phoneticPr fontId="8" type="noConversion"/>
  </si>
  <si>
    <t>天剑星·立地太岁。梁山四寨水军头领第四位。阮小二 、阮小五、阮小七三兄弟，是梁山泊旁边石碣村人，个个武艺出众，义气当先，敢为兄弟赴汤蹈火。</t>
    <phoneticPr fontId="8" type="noConversion"/>
  </si>
  <si>
    <t>天罪星·短命二郎。排梁山八大水军头领第五位。阮小五在阮氏三兄弟中排行第二，亦是梁山有名的水中好汉，浪里英雄。</t>
    <phoneticPr fontId="8" type="noConversion"/>
  </si>
  <si>
    <t>天败星·活阎罗。活阎罗在梁山的座次排第三十一。外号“活阎罗”，是梁山泊水军将领之一</t>
    <phoneticPr fontId="8" type="noConversion"/>
  </si>
  <si>
    <t>地耗星·白日鼠。黄泥冈东十里路安乐村的一个闲汉，和晁盖等好汉一起智取生辰纲。</t>
    <phoneticPr fontId="8" type="noConversion"/>
  </si>
  <si>
    <t>天猛星·霹雳火。其性如烈火，故而有“霹雳火”的绰号。善使一条狼牙棒，有万夫不当之勇。</t>
    <phoneticPr fontId="8" type="noConversion"/>
  </si>
  <si>
    <t>天英星·小李广。有“百步穿杨”的功夫。在梁山泊英雄中排行第九，为马军八虎骑兼先锋使第一员。</t>
    <phoneticPr fontId="8" type="noConversion"/>
  </si>
  <si>
    <t>天巧星·浪子。本书中的帅哥之一，绰号“浪子”，原是卢俊义的心腹亲随，会吹箫唱曲，又射一手好箭，有百步穿杨之功，平方腊后，燕青感于政治纷争复杂难测，便独自隐退。</t>
    <phoneticPr fontId="8" type="noConversion"/>
  </si>
  <si>
    <t>地微星·矮脚虎。祖籍两淮，“为他五短身材”，故被称为“矮脚虎”。王英和“锦毛虎”燕顺、“白面郎君”郑天寿原是清风山的山贼，在捉到宋江后佩服宋江的为人而归顺。</t>
    <phoneticPr fontId="8" type="noConversion"/>
  </si>
  <si>
    <t>地丑星·石将军。大名府人氏，好赌，绰号“石将军”。</t>
    <phoneticPr fontId="8" type="noConversion"/>
  </si>
  <si>
    <t>天魁星·及时雨。梁山一百单八将之首，人称“孝义黑三郎”、“及时雨”、“呼保义”。</t>
    <phoneticPr fontId="8" type="noConversion"/>
  </si>
  <si>
    <t>晁盖</t>
    <phoneticPr fontId="8" type="noConversion"/>
  </si>
  <si>
    <t>托塔天王。是梁山泊的总寨主，山东郓城县东溪村人，东溪村保正，本乡财主。他武功超群，神武过人，平生仗义疏财，为人义薄云天，专爱结交天下好汉，闻名江湖。喜欢刺枪使棒，身强力壮，不娶妻室，终日打熬筋骨，是一个真正敢于为民请命的好汉，如沧海横流般尽显英雄本色。</t>
    <phoneticPr fontId="8" type="noConversion"/>
  </si>
  <si>
    <t>天速星·神行太保。在水浒英雄榜上排在第二十位。好交朋友，够义气，做事情稍有心机。</t>
    <phoneticPr fontId="8" type="noConversion"/>
  </si>
  <si>
    <t>天杀星·黑旋风。李逵是中国古代小说《水浒传》中的一位重要人物，他也是在《水浒传》中最鲁莽的人物，尽管如此，但他为人心粗胆大、率直忠诚、仗义疏财，是《水浒传》中不可或缺的角色。</t>
    <phoneticPr fontId="8" type="noConversion"/>
  </si>
  <si>
    <t>天寿星·混江龙。上梁山后，李俊凭借一身水中好功夫，多次为梁山建功立业。</t>
    <phoneticPr fontId="8" type="noConversion"/>
  </si>
  <si>
    <t>天损星·浪里白条。在梁山排第三十位，水寨八员头领第三位，外号“浪里白条”，天损星。 在对抗朝廷的几次围剿里，张顺接连擒拿牛邦喜、高俅，威名大振。</t>
    <phoneticPr fontId="8" type="noConversion"/>
  </si>
  <si>
    <t>方腊</t>
    <phoneticPr fontId="8" type="noConversion"/>
  </si>
  <si>
    <t>北宋末年农民起义领袖。</t>
    <phoneticPr fontId="8" type="noConversion"/>
  </si>
  <si>
    <t>地阔星·摩云金翅。使的一手大滚刀 。祖贯是黄州人氏，守把大江军户，因被官府和生活所逼，在黄门山落草为寇。</t>
    <phoneticPr fontId="8" type="noConversion"/>
  </si>
  <si>
    <t>天富星·扑天雕。同柴进一起掌管钱粮财物。原是李家庄庄主，江湖人称“扑天雕”，使一条浑铁点钢枪，背后藏有五口飞刀，能够百步以内伤人。</t>
    <phoneticPr fontId="8" type="noConversion"/>
  </si>
  <si>
    <t>天牢星·病关索。因为“一身好武艺，面貌微黄”，而得绰号“病关索”。</t>
    <phoneticPr fontId="8" type="noConversion"/>
  </si>
  <si>
    <t>天慧星·拚命三郎。有一身好武艺，又爱打抱不平，外号“拼命三郎”。</t>
    <phoneticPr fontId="8" type="noConversion"/>
  </si>
  <si>
    <t>天暴星·两头蛇。登州好汉，兄弟俩守梁山山前南路第一关，解珍为步军第九名头领</t>
    <phoneticPr fontId="8" type="noConversion"/>
  </si>
  <si>
    <t>天哭星·双尾蝎。同哥哥一样打扮，穿虎皮套袄，提一把钢叉。兄弟俩出成双，死成对，作战英勇。</t>
    <phoneticPr fontId="8" type="noConversion"/>
  </si>
  <si>
    <t>地慧星·一丈青。是梁山三位女将之一。原与祝家庄的祝彪订了亲，宋江攻打祝家庄时，同为独龙岗上的扈家庄派兵救援祝家庄，扈三娘于阵前俘获了梁山的王英，后来被林冲所擒，便投降梁山，成为梁山第一女将。</t>
    <phoneticPr fontId="8" type="noConversion"/>
  </si>
  <si>
    <t>女</t>
    <phoneticPr fontId="8" type="noConversion"/>
  </si>
  <si>
    <t>女</t>
    <phoneticPr fontId="8" type="noConversion"/>
  </si>
  <si>
    <t>地阴星·母大虫。梁山第二位女英雄，有一身本领，原来在登州城东门外开酒店。</t>
    <phoneticPr fontId="8" type="noConversion"/>
  </si>
  <si>
    <t>天贵星·小旋风。精通武艺，人称柴大官人，江湖上又唤做“小旋风”。后周世宗柴荣的嫡派子孙，因陈桥让位有德，宋太祖敕赐丹书铁券在家中。</t>
    <phoneticPr fontId="8" type="noConversion"/>
  </si>
  <si>
    <t>地贼星·鼓上蚤。绰号“鼓上蚤”，祖籍高唐州人士，流落江湖到蓟州，整天做些飞檐走壁、跳篱骗马的勾当。。</t>
    <phoneticPr fontId="8" type="noConversion"/>
  </si>
  <si>
    <t>天满星·美髯公。富户出身，曾为郓城县马兵都头。为人极为重义气，先义释晁盖等劫掠生辰纲的七星，后因义释因打死白秀英的步兵都头雷横被刺配沧州。</t>
    <phoneticPr fontId="8" type="noConversion"/>
  </si>
  <si>
    <t>天威星·双鞭将。宋朝开国名将铁鞭王呼延赞嫡派子孙，祖籍并州太原（今属山西太原），上梁山之前为汝宁郡都统制，武艺高强，杀伐骁勇，有万夫不当之勇。</t>
    <phoneticPr fontId="8" type="noConversion"/>
  </si>
  <si>
    <t>天孤星·花和尚。原名鲁达，当过提辖，又称鲁提辖智深。因为见郑屠欺侮金翠莲父女，三拳打死了镇关西，出家当和尚时法名智深，绰号花和尚鲁智深。</t>
    <phoneticPr fontId="8" type="noConversion"/>
  </si>
  <si>
    <t>天伤星·行者。是梁山一百单八将之一，在梁山排行第十四位，人称行者武松。神武非凡，曾经在景阳冈上空手打死一只吊睛白额虎，“武松打虎”的事迹也在后世广为流传。</t>
    <phoneticPr fontId="8" type="noConversion"/>
  </si>
  <si>
    <t>天暗星·青面兽。原为殿帅府制使，因押送花石纲在黄河里翻了船，不敢回京赴命，四处逃难。</t>
    <phoneticPr fontId="8" type="noConversion"/>
  </si>
  <si>
    <t>天佑星·金枪手。金枪法、钩镰枪法天下独步，原为京师金枪班教头。</t>
    <phoneticPr fontId="8" type="noConversion"/>
  </si>
  <si>
    <t>天微星·九纹龙。马军八虎骑兼先锋使第七名。史进是东京八十万禁军王进的徒弟，因身上纹有九条青龙，人称“九纹龙”。</t>
    <phoneticPr fontId="8" type="noConversion"/>
  </si>
  <si>
    <t>地魁星·神机军师。能使两口双刀，精通阵法，很有谋略。同陈达、杨春，一起在少华山落草。</t>
    <phoneticPr fontId="8" type="noConversion"/>
  </si>
  <si>
    <t>地空星·小霸王。早先在桃花山落草为王。因外表酷似项羽，人称“小霸王”，使一杆走水绿沉枪。</t>
    <phoneticPr fontId="8" type="noConversion"/>
  </si>
  <si>
    <t>地刑星·菜园子。本在孟州道光明寺种菜，却因为小事杀了光明寺里的僧人，逃出后在大树坡作劫匪，结识了孙二娘，便在十字坡开设酒店，用蒙汗药为害过往行人，做人肉包子的生意。后来跟随二龙山众头领加入梁山泊，坐上第一百零二把交椅，司职“打探声息”、“邀接来宾头领”并负责管理“西山酒店”。</t>
    <phoneticPr fontId="8" type="noConversion"/>
  </si>
  <si>
    <t>地壮星·母夜叉。人称“梁山妖艳第一”。在《水浒传》她是张青的妻子，别号地壮星母夜叉。</t>
    <phoneticPr fontId="8" type="noConversion"/>
  </si>
  <si>
    <t>天罡星·玉麒麟。因为相貌丰伟、武艺高超而得到“玉麒麟”的雅号，祖居北京大名府，原来是河北大名府富商，后来成为梁山第二首领。</t>
    <phoneticPr fontId="8" type="noConversion"/>
  </si>
  <si>
    <t>天勇星·大刀。梁山泊英雄中排马军五虎将第一位。是三国名将关羽的后代，使一把青龙偃月刀，精通兵法。</t>
    <phoneticPr fontId="8" type="noConversion"/>
  </si>
  <si>
    <t>天空星·急先锋。河北人氏，原系大名府留守司正牌军，北京上将，惯使一把金蘸斧。七尺身材，面圆耳大，唇阔口方，腮边一部落腮胡须。因他性急，上阵时当先厮杀，人称"急先锋"。</t>
    <phoneticPr fontId="8" type="noConversion"/>
  </si>
  <si>
    <t>地平星·铁臂膊。原为大名府两院押狱兼行刑刽子手，因杀人手段高强，人呼“铁臂膊”，和弟弟蔡庆都是干杀人行刑看牢子这一行的。</t>
    <phoneticPr fontId="8" type="noConversion"/>
  </si>
  <si>
    <t>地损星·一枝花。大名府专管牢狱的小押狱，是个有名的刽子手。他生来爱带一枝花，人称“一枝花蔡庆”</t>
    <phoneticPr fontId="8" type="noConversion"/>
  </si>
  <si>
    <t>地恶星·没面目。独门单传三十六路擒龙手。排梁山第九十八条好汉，是步军将校第十六员。</t>
    <phoneticPr fontId="8" type="noConversion"/>
  </si>
  <si>
    <t>天立星·双枪将。使一双长枪，勇猛无敌。宋江攻打东平府，董平感谢宋江不杀之恩，归顺梁山。</t>
    <phoneticPr fontId="8" type="noConversion"/>
  </si>
  <si>
    <t>天捷星·没羽箭。本为东昌府猛将，曾用飞石技连伤梁山一十五将，后被吴用设计擒拿，归顺梁山。</t>
    <phoneticPr fontId="8" type="noConversion"/>
  </si>
  <si>
    <t>地轴星·轰天雷。凌振是当时的火炮专家，他造的火炮能打十四五里远。他又精通武艺，是一个非常厉害的人物。</t>
    <phoneticPr fontId="8" type="noConversion"/>
  </si>
  <si>
    <t>南宋末抗元名将。</t>
    <phoneticPr fontId="8" type="noConversion"/>
  </si>
  <si>
    <t>张世杰</t>
    <phoneticPr fontId="8" type="noConversion"/>
  </si>
  <si>
    <t>赵光义</t>
    <phoneticPr fontId="8" type="noConversion"/>
  </si>
  <si>
    <t>宋太宗，他曾参加陈桥驿兵变，拥立其兄为帝。继承太祖各个击破割据政权的方针,迫吴越王献土归降，又亲征灭北汉，试图收复幽云十六州。</t>
    <phoneticPr fontId="8" type="noConversion"/>
  </si>
  <si>
    <t>赵匡胤</t>
    <phoneticPr fontId="8" type="noConversion"/>
  </si>
  <si>
    <t>赵匡胤(927～976)，北宋的创建者。涿州(今属河北)人。五代时，为后周将领，以战功升殿前都点检，统领禁军。后周显德七年(960年)，他通过陈桥兵变夺取后周政权，建国号宋，都城开封(今河南)。他以三年时间平息内部反对势力，随后进行统一全国的军事行动，采取先南后北、先易后难的战略方针，征战十余年，平定荆南、后蜀、南汉等各地割据政权。</t>
    <phoneticPr fontId="8" type="noConversion"/>
  </si>
  <si>
    <t>岳飞</t>
    <phoneticPr fontId="8" type="noConversion"/>
  </si>
  <si>
    <t>南宋抗金名将、民族英雄。</t>
    <phoneticPr fontId="8" type="noConversion"/>
  </si>
  <si>
    <t>石守信</t>
    <phoneticPr fontId="8" type="noConversion"/>
  </si>
  <si>
    <t>余玠</t>
    <phoneticPr fontId="8" type="noConversion"/>
  </si>
  <si>
    <t>南宋末抗蒙名臣。</t>
    <phoneticPr fontId="8" type="noConversion"/>
  </si>
  <si>
    <t>南宋大臣，抗金名将。虞允文身材雄伟，身高六尺四寸，史称其“慷慨磊落有大志，而言动有则度，人望而知为任重之器”。早年以文学入仕，到了中晚年，抓住机会，在宋金风云中，大展才华，终成一代名相，千古流芳。</t>
    <phoneticPr fontId="8" type="noConversion"/>
  </si>
  <si>
    <t>虞允文</t>
    <phoneticPr fontId="8" type="noConversion"/>
  </si>
  <si>
    <t>杨延昭与士卒同甘苦，智勇善战，号令严明，身先士卒，深受士卒的拥戴</t>
    <phoneticPr fontId="8" type="noConversion"/>
  </si>
  <si>
    <t>杨业</t>
    <phoneticPr fontId="8" type="noConversion"/>
  </si>
  <si>
    <t>又名杨继业，（并州太原）今山西太原人，北宋名将。他从小就擅长骑射，爱好打猎。曾对同伴说：“我他日为将用兵，亦犹鹰犬逐雉兔尔”。他刀斩萧多罗，生擒辽将领李重海，使辽军望之丧胆，“望见业旌旗即引去”。太平兴国七年，契丹三万骑兵分三路攻宋。 中路袭击雁门，被杨业打得大败，杀死辽军三千人，俘虏一万多，牛马五万多，攻破堡垒三十六个，战果辉煌。由于杨业屡立战功，人们称他为“杨无敌”。</t>
    <phoneticPr fontId="8" type="noConversion"/>
  </si>
  <si>
    <t>杨文广</t>
    <phoneticPr fontId="8" type="noConversion"/>
  </si>
  <si>
    <t>杨文广，北宋名将。字仲容，祖籍麟州（今陕西神木北）。杨延昭子，曾为范仲淹所擢用。</t>
    <phoneticPr fontId="8" type="noConversion"/>
  </si>
  <si>
    <t>穆桂英</t>
    <phoneticPr fontId="8" type="noConversion"/>
  </si>
  <si>
    <t>穆桂英原为穆柯寨穆羽之女，武艺超群、机智勇敢，传说有神女传授神箭飞刀之术。</t>
    <phoneticPr fontId="8" type="noConversion"/>
  </si>
  <si>
    <t>花木兰</t>
    <phoneticPr fontId="8" type="noConversion"/>
  </si>
  <si>
    <t>巾帼英雄，花木兰的事迹流传至今，中国古代民族英雄，忠孝节义，以替父从军击败入侵民族而闻名天下，唐代皇帝追封为“孝烈将军”。</t>
    <phoneticPr fontId="8" type="noConversion"/>
  </si>
  <si>
    <t>萧燕燕，汉名绰。辽北院枢密使兼北府宰相萧思温之女，辽景宗耶律贤的皇后。景宗因长期患病，由萧皇后代理军国大事。</t>
    <phoneticPr fontId="8" type="noConversion"/>
  </si>
  <si>
    <t>萧太后</t>
    <phoneticPr fontId="8" type="noConversion"/>
  </si>
  <si>
    <t>文天祥收复兴国等县，包围赣州，军势颇盛。不过，文天祥组织起来的民兵，战斗力不强，很快就被元军击溃，文天祥的妻子也被元军俘掳。</t>
    <phoneticPr fontId="8" type="noConversion"/>
  </si>
  <si>
    <t>文天祥</t>
    <phoneticPr fontId="8" type="noConversion"/>
  </si>
  <si>
    <t>金、元之际全真道长。字通密，号长春子。登州栖霞人(今属山东)人。金大定年间，学道于全真教祖师王重阳，与另外六弟子被称为“七真”或“全真七子”。王重阳死后，他隐居溪(今陕西宝鸡东南)、陇州(今陕西陇县)等地，潜心修炼，渐有声名。曾一度被金世宗召至中都(今北京)传教。</t>
    <phoneticPr fontId="8" type="noConversion"/>
  </si>
  <si>
    <t>丘处机</t>
    <phoneticPr fontId="8" type="noConversion"/>
  </si>
  <si>
    <t>王重阳</t>
    <phoneticPr fontId="8" type="noConversion"/>
  </si>
  <si>
    <t>潘美</t>
    <phoneticPr fontId="8" type="noConversion"/>
  </si>
  <si>
    <t>宋初名将。潘美南征北战，在北宋统一战争中，起了重要的作用。</t>
    <phoneticPr fontId="8" type="noConversion"/>
  </si>
  <si>
    <t>南宋杰出的军事家、统帅。</t>
    <phoneticPr fontId="8" type="noConversion"/>
  </si>
  <si>
    <t>孟珙</t>
    <phoneticPr fontId="8" type="noConversion"/>
  </si>
  <si>
    <t>曹彬</t>
    <phoneticPr fontId="8" type="noConversion"/>
  </si>
  <si>
    <t>北宋名将</t>
    <phoneticPr fontId="8" type="noConversion"/>
  </si>
  <si>
    <t>五代时期后周的皇帝，史称周世宗，杰出的政治家、军事家、统帅。</t>
    <phoneticPr fontId="8" type="noConversion"/>
  </si>
  <si>
    <t>柴荣</t>
    <phoneticPr fontId="8" type="noConversion"/>
  </si>
  <si>
    <t>岳云</t>
    <phoneticPr fontId="8" type="noConversion"/>
  </si>
  <si>
    <t>岳飞之子，其母李氏。岳云生于钦宗年间，相州汤阴人（河南），慷慨忠勇，颇有父风，未尝不与，百战百胜。双手握有两锤，80余斤，乃是双银锤。岳云曾杀死金国大将金弹子、银弹子。他参加了许许多多的战争，身上有上百余伤痕。</t>
    <phoneticPr fontId="8" type="noConversion"/>
  </si>
  <si>
    <t>高宠</t>
    <phoneticPr fontId="8" type="noConversion"/>
  </si>
  <si>
    <t>高宠是岳飞手下的一员虎将。高宠是南宋抗金时期的第一枪。 他用的是杆碗口粗的虎头枪。</t>
    <phoneticPr fontId="8" type="noConversion"/>
  </si>
  <si>
    <t>北宋初年大将。字藏用，五代时常山真定（今河北正定）人。宋太祖妹夫。以拥戴有功，宋初为殿前副都点检，曾参与平定李筠、李重进之乱。</t>
    <phoneticPr fontId="8" type="noConversion"/>
  </si>
  <si>
    <t>高怀德</t>
    <phoneticPr fontId="8" type="noConversion"/>
  </si>
  <si>
    <t>呼延瓒</t>
    <phoneticPr fontId="8" type="noConversion"/>
  </si>
  <si>
    <t>呼延赞出生于将门之家。父亲呼延琮，后周时为淄州马步都指挥使。呼延赞初踏入军旅生涯时为一名骁骑卒，因他在战场上勇于作战，被宋太祖提拔为骁雄军使。</t>
    <phoneticPr fontId="8" type="noConversion"/>
  </si>
  <si>
    <t>牛皋</t>
    <phoneticPr fontId="8" type="noConversion"/>
  </si>
  <si>
    <t>南宋将领，出身射世，精通武功。他一生戎马生涯，出生入死，战功卓著，被誉为抗金名将，深受岳飞的器重和人民的爱戴。</t>
    <phoneticPr fontId="8" type="noConversion"/>
  </si>
  <si>
    <t>汤怀</t>
    <phoneticPr fontId="8" type="noConversion"/>
  </si>
  <si>
    <t>汤怀使用的是长枪，枪是红缨杆枪。汤怀奉岳飞命,保护状元张九成往金营侍候徽、钦二帝。金兀术喜汤勇壮,用重兵围之,迫使降金。汤怀不屈,死战,力竭自刎。</t>
    <phoneticPr fontId="8" type="noConversion"/>
  </si>
  <si>
    <t>陆文龙</t>
    <phoneticPr fontId="8" type="noConversion"/>
  </si>
  <si>
    <t>金兀术义子，岳家军第二号大将。</t>
    <phoneticPr fontId="8" type="noConversion"/>
  </si>
  <si>
    <t>韩世忠</t>
    <phoneticPr fontId="8" type="noConversion"/>
  </si>
  <si>
    <t>字良臣，两宋之际的名将，汉族，与岳飞、张俊，刘光世合称“中兴四将”。身材魁伟，勇猛过人。出身贫寒，18岁应募从军。英勇善战，胸怀韬略，在抗击西夏和金的战争中为宋朝立下了汗马功劳，而且在平定各地的叛乱中也作出了重大的贡献。</t>
    <phoneticPr fontId="8" type="noConversion"/>
  </si>
  <si>
    <t>北宋末、南宋初抗金名臣。字汝霖，汉族，婺州义乌（今浙江金华义乌）人，刚直豪爽，沉毅知兵。宗泽东京保卫战是两宋之际以宗泽等抗战派将领为首的宋朝军民抗击金军侵略、保卫首都开封的重要战争。</t>
    <phoneticPr fontId="8" type="noConversion"/>
  </si>
  <si>
    <t>宗泽</t>
    <phoneticPr fontId="8" type="noConversion"/>
  </si>
  <si>
    <t>生于松江府华亭县折桂阁（今上海），祖籍邵武（今属福建），自祖父一辈起迁居无锡县（今江苏省无锡市）。徽宗政和二年（1112年）进士。他和赵鼎、李光、胡铨合称“南宋四名臣”。</t>
    <phoneticPr fontId="8" type="noConversion"/>
  </si>
  <si>
    <t>李纲</t>
    <phoneticPr fontId="8" type="noConversion"/>
  </si>
  <si>
    <t>北宋汾州西河人，面有刺字，善骑射，人称“面涅将军”。他出身贫寒，宋仁宗宝元元年（1038年）为延州指挥使，勇而善谋，在宋夏战争中，他每战披头散发，戴铜面具，冲锋陷阵，立下了累累战功。</t>
    <phoneticPr fontId="8" type="noConversion"/>
  </si>
  <si>
    <t>狄青</t>
    <phoneticPr fontId="8" type="noConversion"/>
  </si>
  <si>
    <t>刘光世(1089-1142)，南宋将领。字平叔，保安军(今陕西志丹)人</t>
    <phoneticPr fontId="8" type="noConversion"/>
  </si>
  <si>
    <t>刘光世</t>
    <phoneticPr fontId="8" type="noConversion"/>
  </si>
  <si>
    <t>出身贫庶，自小弓马娴熟，十六岁时以三阳弓箭手投身行伍，征南蛮，攻西夏，御金兵，累立战功，授武功大夫，逝世后追封为循王。</t>
    <phoneticPr fontId="8" type="noConversion"/>
  </si>
  <si>
    <t>张俊</t>
    <phoneticPr fontId="8" type="noConversion"/>
  </si>
  <si>
    <t>李继隆</t>
    <phoneticPr fontId="8" type="noConversion"/>
  </si>
  <si>
    <t>大宋名将，李处耘长子，祖籍上党（今山西长治人）以荫补供奉官。善骑射，晓音律，好读《春秋左氏传》，以礼待儒士，多智谋，谦虚谨慎。参与平定后蜀、江南，有军功李继迁扰边，与田仁朗等率兵击败。</t>
    <phoneticPr fontId="8" type="noConversion"/>
  </si>
  <si>
    <t>字宝臣，北宋大将。官至御史大夫。名将曹彬之后。</t>
    <phoneticPr fontId="8" type="noConversion"/>
  </si>
  <si>
    <t>驭军严明，赏罚立决。宰相丁谓逐寇准，恶玮不附己，指为准党。</t>
    <phoneticPr fontId="8" type="noConversion"/>
  </si>
  <si>
    <t>曹玮</t>
    <phoneticPr fontId="8" type="noConversion"/>
  </si>
  <si>
    <t>种世衡</t>
    <phoneticPr fontId="8" type="noConversion"/>
  </si>
  <si>
    <t>北宋边疆名将。重气节，有才略。</t>
    <phoneticPr fontId="8" type="noConversion"/>
  </si>
  <si>
    <t>梁红玉</t>
    <phoneticPr fontId="8" type="noConversion"/>
  </si>
  <si>
    <t>宋朝著名抗金女英雄。淮安北辰坊人，因家贫战乱流离润州为妓。遭人虐待，为韩世忠所救。梁红玉感其恩义，以身相许。</t>
    <phoneticPr fontId="8" type="noConversion"/>
  </si>
  <si>
    <t>李庭芝</t>
    <phoneticPr fontId="8" type="noConversion"/>
  </si>
  <si>
    <t>李家十二世同居一堂，忠信节义，代代善武，人称“义门李氏”</t>
    <phoneticPr fontId="8" type="noConversion"/>
  </si>
  <si>
    <t>西施</t>
    <phoneticPr fontId="8" type="noConversion"/>
  </si>
  <si>
    <t>项燕</t>
    <phoneticPr fontId="8" type="noConversion"/>
  </si>
  <si>
    <t>蔺相如</t>
    <phoneticPr fontId="8" type="noConversion"/>
  </si>
  <si>
    <t>赵高</t>
    <phoneticPr fontId="8" type="noConversion"/>
  </si>
  <si>
    <t>庞涓</t>
    <phoneticPr fontId="8" type="noConversion"/>
  </si>
  <si>
    <t>赵奢</t>
    <phoneticPr fontId="8" type="noConversion"/>
  </si>
  <si>
    <t>廉颇</t>
    <phoneticPr fontId="8" type="noConversion"/>
  </si>
  <si>
    <t>孙武</t>
    <phoneticPr fontId="8" type="noConversion"/>
  </si>
  <si>
    <t>赵括</t>
    <phoneticPr fontId="8" type="noConversion"/>
  </si>
  <si>
    <t>乐毅</t>
    <phoneticPr fontId="8" type="noConversion"/>
  </si>
  <si>
    <t>田单</t>
    <phoneticPr fontId="8" type="noConversion"/>
  </si>
  <si>
    <t>王翦</t>
    <phoneticPr fontId="8" type="noConversion"/>
  </si>
  <si>
    <t>项梁</t>
    <phoneticPr fontId="8" type="noConversion"/>
  </si>
  <si>
    <t>樊哙</t>
    <phoneticPr fontId="8" type="noConversion"/>
  </si>
  <si>
    <t>项羽</t>
    <phoneticPr fontId="8" type="noConversion"/>
  </si>
  <si>
    <t>曹参</t>
    <phoneticPr fontId="8" type="noConversion"/>
  </si>
  <si>
    <t>王贲</t>
    <phoneticPr fontId="8" type="noConversion"/>
  </si>
  <si>
    <t>陈平</t>
    <phoneticPr fontId="8" type="noConversion"/>
  </si>
  <si>
    <t>韩信</t>
    <phoneticPr fontId="8" type="noConversion"/>
  </si>
  <si>
    <t>张良</t>
    <phoneticPr fontId="8" type="noConversion"/>
  </si>
  <si>
    <t>萧何</t>
    <phoneticPr fontId="8" type="noConversion"/>
  </si>
  <si>
    <t>周勃</t>
    <phoneticPr fontId="8" type="noConversion"/>
  </si>
  <si>
    <t>彭越</t>
    <phoneticPr fontId="8" type="noConversion"/>
  </si>
  <si>
    <t>王保保</t>
    <phoneticPr fontId="8" type="noConversion"/>
  </si>
  <si>
    <t>耶律楚材</t>
    <phoneticPr fontId="8" type="noConversion"/>
  </si>
  <si>
    <t xml:space="preserve">于谦 </t>
    <phoneticPr fontId="8" type="noConversion"/>
  </si>
  <si>
    <t>蓝玉</t>
    <phoneticPr fontId="8" type="noConversion"/>
  </si>
  <si>
    <t>朱棣</t>
    <phoneticPr fontId="8" type="noConversion"/>
  </si>
  <si>
    <t>铁木真</t>
    <phoneticPr fontId="8" type="noConversion"/>
  </si>
  <si>
    <t>董文炳</t>
    <phoneticPr fontId="8" type="noConversion"/>
  </si>
  <si>
    <t>察合台</t>
    <phoneticPr fontId="8" type="noConversion"/>
  </si>
  <si>
    <t>忽必烈</t>
    <phoneticPr fontId="8" type="noConversion"/>
  </si>
  <si>
    <t>李恒</t>
    <phoneticPr fontId="8" type="noConversion"/>
  </si>
  <si>
    <t>李思齐</t>
    <phoneticPr fontId="8" type="noConversion"/>
  </si>
  <si>
    <t>托雷</t>
    <phoneticPr fontId="8" type="noConversion"/>
  </si>
  <si>
    <t>哲别</t>
    <phoneticPr fontId="8" type="noConversion"/>
  </si>
  <si>
    <t>哲别骁勇善战，由十户长屡升至千户长。太祖六年（公元1211年），成吉思汗将兵南下攻金。金筑乌沙堡拒之。成吉思汗命哲别攻之，破乌沙堡、乌月营。</t>
    <phoneticPr fontId="8" type="noConversion"/>
  </si>
  <si>
    <t>史天泽</t>
    <phoneticPr fontId="8" type="noConversion"/>
  </si>
  <si>
    <t>中国元朝名将。字润甫，永清(今属河北)人。1225 年春，接替其兄史天倪都元帅职。</t>
    <phoneticPr fontId="8" type="noConversion"/>
  </si>
  <si>
    <t>一代天骄、成吉思汗铁木真，是中国历史上杰出的政治家、军事家。姓孛儿只斤，乞颜氏，蒙古族。他军事才能卓越，战略上重视联远攻近，力避树敌过多。用兵注重谋探敌情、分割包围、远程奇袭、佯退诱敌、运动中歼敌等战法，史称“深谋有大略，用兵如神”。</t>
    <phoneticPr fontId="8" type="noConversion"/>
  </si>
  <si>
    <t>窝阔台</t>
    <phoneticPr fontId="8" type="noConversion"/>
  </si>
  <si>
    <t>大蒙古国第二代大汗，青年时代便随成吉思汗征服漠北诸部。公元1229年，成吉思汗死后第三年，窝阔台即大汗位。即位后，强化了国家机器，提高了大汗权威。</t>
    <phoneticPr fontId="8" type="noConversion"/>
  </si>
  <si>
    <t>成吉思汗幼子，尊号“也可那颜”（大官人）。早年随成吉思汗征战，参与攻金和西征，在窝阔台时期曾经发挥过重大作用，当时人认为“托雷之功，著在社稷”。</t>
    <phoneticPr fontId="8" type="noConversion"/>
  </si>
  <si>
    <t>蒙哥</t>
    <phoneticPr fontId="8" type="noConversion"/>
  </si>
  <si>
    <t>大蒙古国第四代大汗，托雷的长子，“蒙哥”，蒙古语意为“长生”。公元1251年，在阔帖兀阿兰举行大会，拥蒙哥即大汗位，颁发政令，革除前朝弊政。1259年二月，蒙哥率全军渡鸡爪滩，至石子山，猛攻钓鱼山，因宋将王坚恃险坚守，屡攻不克。天气暑湿，军中疫疠流行，兵士多病死，蒙哥亦染疾，七月逝世于钓鱼山。</t>
    <phoneticPr fontId="8" type="noConversion"/>
  </si>
  <si>
    <t>长兄蒙哥即大汗位，忽必烈总理漠南汉地军国庶事，南驻爪忽都之地。1253年，受京兆封地，忽必烈又在这里任诸儒臣兴立屯田，兴复吏治，恢复农业，建立学校，进一步取得北方汉族地主阶级对他的拥护，为元王朝的建立提供了社会基础。1279年，灭亡在崖山的南宋残余势力，完成了全国的大统一。元朝是中国历史上第一个少数民族统治全国的王朝，它初步奠定了中国疆域的规模。</t>
    <phoneticPr fontId="8" type="noConversion"/>
  </si>
  <si>
    <t>速不台</t>
    <phoneticPr fontId="8" type="noConversion"/>
  </si>
  <si>
    <t>蒙古名将，其征战所及东至高丽、西达波兰、匈牙利、北到西伯利亚、南抵开封，是古代世界征战范围最广的将领，勇猛善战，被称蒙古“四狗”之一。</t>
    <phoneticPr fontId="8" type="noConversion"/>
  </si>
  <si>
    <t>博尔忽</t>
    <phoneticPr fontId="8" type="noConversion"/>
  </si>
  <si>
    <t>成吉思汗的“四杰”之一。1203年在战场上，窝阔台与博尔忽被敌军隔开，窝阔台颈项中箭，血在凝结，博尔忽以口吸吮，淤血沿着嘴角流下来，救了铁木真的爱子。</t>
    <phoneticPr fontId="8" type="noConversion"/>
  </si>
  <si>
    <t>博尔术</t>
    <phoneticPr fontId="8" type="noConversion"/>
  </si>
  <si>
    <t>“志意沉雄，善战知兵”，多立战功。成吉思汗的“四杰”之一。</t>
    <phoneticPr fontId="8" type="noConversion"/>
  </si>
  <si>
    <t>赤老温</t>
    <phoneticPr fontId="8" type="noConversion"/>
  </si>
  <si>
    <t>又称齐拉衮，蒙古国大将，成吉思汗的“四杰”之一，以雄勇善战著称。铁木真早年遭泰赤乌部塔儿忽台执禁，得其营救幸免于难。</t>
    <phoneticPr fontId="8" type="noConversion"/>
  </si>
  <si>
    <t>木华黎</t>
    <phoneticPr fontId="8" type="noConversion"/>
  </si>
  <si>
    <t>成吉思汗的“四杰”之一，以沉毅多智、雄勇善战著称。1211年，从成吉思汗攻金，参与攻野狐岭、金中都、北京等战役的指挥。</t>
    <phoneticPr fontId="8" type="noConversion"/>
  </si>
  <si>
    <t>伯颜</t>
    <phoneticPr fontId="8" type="noConversion"/>
  </si>
  <si>
    <t>元代名将，杰出的军事家。公元1273年，元军在襄阳、樊城之战中获胜，结束了长期以来元宋的对峙局面，打开了南宋在长江中游的门户。次年，伯颜率军20万沿长江而下取临安，攻取鄂州。次年，伯颜军在丁家洲之战中大败宋军十三万，进占建康。</t>
    <phoneticPr fontId="8" type="noConversion"/>
  </si>
  <si>
    <t>明将徐达、常遇春进兵山西，保保出雁门乘虚攻北平，明兵直捣太原，保保还救，被明兵夜袭兵营，率十八骑仓卒北走，收集残部屯兵甘肃，成为明朝西北边患。1370年在沈儿峪被明将徐达击败，逃往和林。逾年，大败徐达，斩明军数万。</t>
    <phoneticPr fontId="8" type="noConversion"/>
  </si>
  <si>
    <t>察合台汗国的建立者。铁木真次子。攻金，初领有西辽旧地。后随父西征，得封地，建立察合台汗国。</t>
    <phoneticPr fontId="8" type="noConversion"/>
  </si>
  <si>
    <t>字彦明，元朝名将。曾随忽必烈征讨大理，后来平定李檀叛乱。曾在焦山之战击退宋军，伐宋时担任东路军统帅，宋朝投降后，平定南方各省。</t>
    <phoneticPr fontId="8" type="noConversion"/>
  </si>
  <si>
    <t>西夏皇族后裔，曾参与襄樊战役，从南面攻克樊城；参与伯颜灭宋，后镇守鄂州。在崖山之战中击败宋军，平定岭南。在远征交趾战役中，中毒箭，不治身亡。</t>
    <phoneticPr fontId="8" type="noConversion"/>
  </si>
  <si>
    <t>元末将领.字世贤，罗山（今属河南）人。初与察罕铁木儿组织地主武装，镇压红巾军，后拥兵陕西，任陕西等地行中书省平章政事，忙于与诸将自相争战。明洪武二年（1369年）降明。</t>
    <phoneticPr fontId="8" type="noConversion"/>
  </si>
  <si>
    <t>郑成功</t>
    <phoneticPr fontId="8" type="noConversion"/>
  </si>
  <si>
    <t>明清之际抗清名将，民族英雄。</t>
    <phoneticPr fontId="8" type="noConversion"/>
  </si>
  <si>
    <t>元末农民起义领袖之一，领导了江浙海盐民反对元朝统治的武装起义。</t>
    <phoneticPr fontId="8" type="noConversion"/>
  </si>
  <si>
    <t>张士诚</t>
    <phoneticPr fontId="8" type="noConversion"/>
  </si>
  <si>
    <t>朱元璋</t>
    <phoneticPr fontId="8" type="noConversion"/>
  </si>
  <si>
    <t>在明统一战争中，明朝消灭四川明升夏政权的战争。</t>
    <phoneticPr fontId="8" type="noConversion"/>
  </si>
  <si>
    <t>明成祖朱棣（1360－1424年），明朝第三位皇帝，明太祖朱元璋第四子。生于应天，时事征伐，受封为燕王，指挥了洪武朝的第七次和第八次北伐，并取得大胜。后发动靖难之役，起兵攻打侄儿建文帝。</t>
    <phoneticPr fontId="8" type="noConversion"/>
  </si>
  <si>
    <t>明朝兵部尚书。于谦由进士出身，因参与平定汉王朱高煦谋反有功，得到明宣宗器重，担任明朝山西河南巡抚。明英宗时期，因得罪王振下狱，后释放，起为兵部侍郎。土木堡之变后，于谦继任兵部尚书，指挥明军取得京师保卫战的胜利。</t>
    <phoneticPr fontId="8" type="noConversion"/>
  </si>
  <si>
    <t>袁崇焕</t>
    <phoneticPr fontId="8" type="noConversion"/>
  </si>
  <si>
    <t>明末著名军事统帅。字元素。广西藤县人。大败后金十万围攻大军，炮伤努尔哈赤，赢得明朝对后金作战的第一次胜利（史称“宁远大捷”），一扫明军望敌而溃的暮气，收复辽西大片土地。</t>
    <phoneticPr fontId="8" type="noConversion"/>
  </si>
  <si>
    <t>俞通海</t>
    <phoneticPr fontId="8" type="noConversion"/>
  </si>
  <si>
    <t>明初大将，水军统帅。</t>
    <phoneticPr fontId="8" type="noConversion"/>
  </si>
  <si>
    <t>徐达</t>
    <phoneticPr fontId="8" type="noConversion"/>
  </si>
  <si>
    <t>中国明朝开国军事统帅。初朱元璋为郭子兴部将，往归之。从南略定远，取和州。渡江拔攻城取拔寨，皆为军锋之冠，后为大将，统兵征战。吴元年，为左相国，拜大将军。</t>
    <phoneticPr fontId="8" type="noConversion"/>
  </si>
  <si>
    <t>熊廷弼</t>
    <phoneticPr fontId="8" type="noConversion"/>
  </si>
  <si>
    <t>明朝名将。</t>
    <phoneticPr fontId="8" type="noConversion"/>
  </si>
  <si>
    <t>戚继光</t>
    <phoneticPr fontId="8" type="noConversion"/>
  </si>
  <si>
    <t>明朝抗倭名将、军事家。</t>
    <phoneticPr fontId="8" type="noConversion"/>
  </si>
  <si>
    <t>刘基</t>
    <phoneticPr fontId="8" type="noConversion"/>
  </si>
  <si>
    <t>明朝开国功臣，杰出的政治家、军事家和文学家。</t>
    <phoneticPr fontId="8" type="noConversion"/>
  </si>
  <si>
    <t>明初大将。大将军常遇春妻弟。</t>
    <phoneticPr fontId="8" type="noConversion"/>
  </si>
  <si>
    <t>李自成</t>
    <phoneticPr fontId="8" type="noConversion"/>
  </si>
  <si>
    <t>明末李自成领导的农民起义。</t>
    <phoneticPr fontId="8" type="noConversion"/>
  </si>
  <si>
    <t>李定国</t>
    <phoneticPr fontId="8" type="noConversion"/>
  </si>
  <si>
    <t>明末清初大西农民军领袖之一。</t>
    <phoneticPr fontId="8" type="noConversion"/>
  </si>
  <si>
    <t>李文忠</t>
    <phoneticPr fontId="8" type="noConversion"/>
  </si>
  <si>
    <t>明朝开国名将。李文忠好学问，通韬略，交儒士，严治军，临阵奋勇，战功卓著。</t>
    <phoneticPr fontId="8" type="noConversion"/>
  </si>
  <si>
    <t>明朝开国名将。元末参加刘福通军，随李喜喜入蜀。旋率部归朱元璋，从偏裨升为大将。</t>
    <phoneticPr fontId="8" type="noConversion"/>
  </si>
  <si>
    <t>傅友德</t>
    <phoneticPr fontId="8" type="noConversion"/>
  </si>
  <si>
    <t>常遇春</t>
    <phoneticPr fontId="8" type="noConversion"/>
  </si>
  <si>
    <t>明初大将,雄勇善射。</t>
    <phoneticPr fontId="8" type="noConversion"/>
  </si>
  <si>
    <t>元末农民起义领袖，友谅曾任县小吏，元至正十五年(1355年)正月，徐寿辉遣其将倪文俊复破沔阳，友谅于黄蓬起义（今监利县分盐镇黄棚村），加入红巾军，初为簿书掾，后以功升元帅。</t>
    <phoneticPr fontId="8" type="noConversion"/>
  </si>
  <si>
    <t>陈友谅</t>
    <phoneticPr fontId="8" type="noConversion"/>
  </si>
  <si>
    <t>邓子龙</t>
    <phoneticPr fontId="8" type="noConversion"/>
  </si>
  <si>
    <t>中国明朝名将。字武桥，善骑射，明韬略。</t>
    <phoneticPr fontId="8" type="noConversion"/>
  </si>
  <si>
    <t>蒋琬</t>
    <phoneticPr fontId="8" type="noConversion"/>
  </si>
  <si>
    <t>实际统帅</t>
    <phoneticPr fontId="8" type="noConversion"/>
  </si>
  <si>
    <t>实际武力</t>
    <phoneticPr fontId="8" type="noConversion"/>
  </si>
  <si>
    <t>实际政治</t>
    <phoneticPr fontId="8" type="noConversion"/>
  </si>
  <si>
    <t>实际谋略</t>
    <phoneticPr fontId="8" type="noConversion"/>
  </si>
  <si>
    <t>实际除谋略点数</t>
    <phoneticPr fontId="8" type="noConversion"/>
  </si>
  <si>
    <t>实际总点数</t>
    <phoneticPr fontId="8" type="noConversion"/>
  </si>
  <si>
    <t>春秋战国</t>
  </si>
  <si>
    <t>汉朝</t>
  </si>
  <si>
    <t>楚汉时期</t>
  </si>
  <si>
    <t>三国时期</t>
    <phoneticPr fontId="8" type="noConversion"/>
  </si>
  <si>
    <t>水浒人物</t>
    <phoneticPr fontId="8" type="noConversion"/>
  </si>
  <si>
    <t>除谋略点数均值</t>
    <phoneticPr fontId="8" type="noConversion"/>
  </si>
  <si>
    <t>除谋略星级</t>
    <phoneticPr fontId="8" type="noConversion"/>
  </si>
  <si>
    <t>过滤智将</t>
    <phoneticPr fontId="8" type="noConversion"/>
  </si>
  <si>
    <t>5星配额概率</t>
    <phoneticPr fontId="8" type="noConversion"/>
  </si>
  <si>
    <t>资源</t>
    <phoneticPr fontId="8" type="noConversion"/>
  </si>
  <si>
    <t>声望</t>
    <phoneticPr fontId="8" type="noConversion"/>
  </si>
  <si>
    <t>武将经验</t>
    <phoneticPr fontId="8" type="noConversion"/>
  </si>
  <si>
    <t>+</t>
    <phoneticPr fontId="8" type="noConversion"/>
  </si>
  <si>
    <t>-</t>
    <phoneticPr fontId="8" type="noConversion"/>
  </si>
  <si>
    <t>兵力(资源)</t>
    <phoneticPr fontId="8" type="noConversion"/>
  </si>
  <si>
    <t>等级</t>
    <phoneticPr fontId="8" type="noConversion"/>
  </si>
  <si>
    <t>需要打仗次数</t>
    <phoneticPr fontId="8" type="noConversion"/>
  </si>
  <si>
    <t>开城条件</t>
    <phoneticPr fontId="8" type="noConversion"/>
  </si>
  <si>
    <t>开城数</t>
    <phoneticPr fontId="8" type="noConversion"/>
  </si>
  <si>
    <t>城主武将等级</t>
    <phoneticPr fontId="8" type="noConversion"/>
  </si>
  <si>
    <t>如果胜利可以掠夺到除黄金以外的所有资源一定数量</t>
    <phoneticPr fontId="8" type="noConversion"/>
  </si>
  <si>
    <t>掠夺百分比</t>
    <phoneticPr fontId="8" type="noConversion"/>
  </si>
  <si>
    <t>保护资源百分比</t>
    <phoneticPr fontId="8" type="noConversion"/>
  </si>
  <si>
    <t>粮食保护量</t>
    <phoneticPr fontId="8" type="noConversion"/>
  </si>
  <si>
    <t>木材保护量</t>
    <phoneticPr fontId="8" type="noConversion"/>
  </si>
  <si>
    <t>铁矿保护量</t>
    <phoneticPr fontId="8" type="noConversion"/>
  </si>
  <si>
    <t>掠夺渴望获得资源vs我军消耗资源的倍数</t>
    <phoneticPr fontId="8" type="noConversion"/>
  </si>
  <si>
    <t>玩家开小号数</t>
    <phoneticPr fontId="8" type="noConversion"/>
  </si>
  <si>
    <t>当前总产出(计算小号)</t>
    <phoneticPr fontId="8" type="noConversion"/>
  </si>
  <si>
    <t>玩家开小号实际得益</t>
    <phoneticPr fontId="8" type="noConversion"/>
  </si>
  <si>
    <t>玩家小号实际得益占比估计</t>
    <phoneticPr fontId="8" type="noConversion"/>
  </si>
  <si>
    <t>基本生产占比</t>
    <phoneticPr fontId="8" type="noConversion"/>
  </si>
  <si>
    <t>运输占比</t>
    <phoneticPr fontId="8" type="noConversion"/>
  </si>
  <si>
    <t>防御占比</t>
    <phoneticPr fontId="8" type="noConversion"/>
  </si>
  <si>
    <t>操作损耗</t>
    <phoneticPr fontId="8" type="noConversion"/>
  </si>
  <si>
    <t>被其他劫获</t>
    <phoneticPr fontId="8" type="noConversion"/>
  </si>
  <si>
    <t>暂时不用，可以有但是没有用</t>
    <phoneticPr fontId="8" type="noConversion"/>
  </si>
  <si>
    <t>最大兵力值</t>
    <phoneticPr fontId="8" type="noConversion"/>
  </si>
  <si>
    <t>Min活跃度</t>
    <phoneticPr fontId="8" type="noConversion"/>
  </si>
  <si>
    <t>Max活跃度</t>
    <phoneticPr fontId="8" type="noConversion"/>
  </si>
  <si>
    <t>资源=掠夺城池仓库外资源*掠夺百分比</t>
    <phoneticPr fontId="8" type="noConversion"/>
  </si>
  <si>
    <t>城池使用资源百分比估算</t>
    <phoneticPr fontId="8" type="noConversion"/>
  </si>
  <si>
    <t>武将经验演算</t>
    <phoneticPr fontId="8" type="noConversion"/>
  </si>
  <si>
    <t>case 1</t>
    <phoneticPr fontId="8" type="noConversion"/>
  </si>
  <si>
    <t>击杀敌兵百分比</t>
    <phoneticPr fontId="8" type="noConversion"/>
  </si>
  <si>
    <t>损兵百分比</t>
    <phoneticPr fontId="8" type="noConversion"/>
  </si>
  <si>
    <t>我方兵力</t>
    <phoneticPr fontId="8" type="noConversion"/>
  </si>
  <si>
    <t>敌方兵力</t>
    <phoneticPr fontId="8" type="noConversion"/>
  </si>
  <si>
    <t>兵力差异调节因子</t>
    <phoneticPr fontId="8" type="noConversion"/>
  </si>
  <si>
    <t>武将差异调节因子</t>
    <phoneticPr fontId="8" type="noConversion"/>
  </si>
  <si>
    <t>我方兵人口合</t>
    <phoneticPr fontId="8" type="noConversion"/>
  </si>
  <si>
    <t>敌方兵人口合</t>
    <phoneticPr fontId="8" type="noConversion"/>
  </si>
  <si>
    <t>守城平均人口数</t>
    <phoneticPr fontId="8" type="noConversion"/>
  </si>
  <si>
    <t>case 2</t>
  </si>
  <si>
    <t>case 3</t>
  </si>
  <si>
    <t>case 4</t>
  </si>
  <si>
    <t>case 5</t>
  </si>
  <si>
    <t>case 6</t>
  </si>
  <si>
    <t>case 7</t>
  </si>
  <si>
    <t>case 8</t>
  </si>
  <si>
    <t>case 9</t>
  </si>
  <si>
    <t>case 10</t>
  </si>
  <si>
    <t>case 11</t>
  </si>
  <si>
    <t>case 12</t>
  </si>
  <si>
    <t>case 13</t>
  </si>
  <si>
    <t>case 14</t>
  </si>
  <si>
    <t>case 15</t>
  </si>
  <si>
    <t>case 16</t>
  </si>
  <si>
    <t>case 17</t>
  </si>
  <si>
    <t>case 18</t>
  </si>
  <si>
    <t>case 19</t>
  </si>
  <si>
    <t>case 20</t>
  </si>
  <si>
    <t>case 21</t>
  </si>
  <si>
    <t>case 22</t>
  </si>
  <si>
    <t>case 23</t>
  </si>
  <si>
    <t>case 24</t>
  </si>
  <si>
    <t>case 25</t>
  </si>
  <si>
    <t>case 26</t>
  </si>
  <si>
    <t>case 27</t>
  </si>
  <si>
    <t>我方武将统帅+武力点数</t>
    <phoneticPr fontId="8" type="noConversion"/>
  </si>
  <si>
    <t>敌方武将统+武力帅点数</t>
    <phoneticPr fontId="8" type="noConversion"/>
  </si>
  <si>
    <t>我方获得的经验</t>
    <phoneticPr fontId="8" type="noConversion"/>
  </si>
  <si>
    <t>敌方获得的经验</t>
    <phoneticPr fontId="8" type="noConversion"/>
  </si>
  <si>
    <t>经验基值</t>
    <phoneticPr fontId="8" type="noConversion"/>
  </si>
  <si>
    <t>武将经验=((我方击敌百分比)+(1-我方损兵百分比))/2*((敌方兵力人口合/我方兵人口合)^兵力差异调节因子+(敌方武将统帅、武力点数之和/我方武将统帅、武力点数之和)^武将差异调节因子)/2*经验基值*(双方兵力+兵力数量级调节因子1)^兵力数量级调节因子2/兵力数量级调节因子3</t>
    <phoneticPr fontId="8" type="noConversion"/>
  </si>
  <si>
    <t>兵力数量级调节因子2</t>
    <phoneticPr fontId="8" type="noConversion"/>
  </si>
  <si>
    <t>兵力数量级调节因子3</t>
    <phoneticPr fontId="8" type="noConversion"/>
  </si>
  <si>
    <t>兵力数量级调节因子1</t>
    <phoneticPr fontId="8" type="noConversion"/>
  </si>
  <si>
    <t>case 28</t>
  </si>
  <si>
    <t>case 29</t>
  </si>
  <si>
    <t>case 30</t>
  </si>
  <si>
    <t>case 31</t>
  </si>
  <si>
    <t>case 32</t>
  </si>
  <si>
    <t>case 33</t>
  </si>
  <si>
    <t>case 34</t>
  </si>
  <si>
    <t>case 35</t>
  </si>
  <si>
    <t>case 36</t>
  </si>
  <si>
    <t>case 37</t>
  </si>
  <si>
    <t>case 38</t>
  </si>
  <si>
    <t>case 39</t>
  </si>
  <si>
    <t>case 40</t>
  </si>
  <si>
    <t>case 41</t>
  </si>
  <si>
    <t>case 42</t>
  </si>
  <si>
    <t>case 43</t>
  </si>
  <si>
    <t>case 44</t>
  </si>
  <si>
    <t>case 45</t>
  </si>
  <si>
    <t>case 46</t>
  </si>
  <si>
    <t>case 47</t>
  </si>
  <si>
    <t>case 48</t>
  </si>
  <si>
    <t>兵力量级因子</t>
    <phoneticPr fontId="8" type="noConversion"/>
  </si>
  <si>
    <t>我方基准经验</t>
    <phoneticPr fontId="8" type="noConversion"/>
  </si>
  <si>
    <t>敌方基准经验</t>
    <phoneticPr fontId="8" type="noConversion"/>
  </si>
  <si>
    <t>平均经验</t>
    <phoneticPr fontId="8" type="noConversion"/>
  </si>
  <si>
    <t>玩家主厅最高等级</t>
    <phoneticPr fontId="8" type="noConversion"/>
  </si>
  <si>
    <t>武将最高等级</t>
    <phoneticPr fontId="8" type="noConversion"/>
  </si>
  <si>
    <t>升级需要经验</t>
    <phoneticPr fontId="8" type="noConversion"/>
  </si>
  <si>
    <t>总经验</t>
    <phoneticPr fontId="8" type="noConversion"/>
  </si>
  <si>
    <t>攻城平均人口数</t>
    <phoneticPr fontId="8" type="noConversion"/>
  </si>
  <si>
    <t>掠夺&amp;征服</t>
    <phoneticPr fontId="8" type="noConversion"/>
  </si>
  <si>
    <t>活跃度</t>
    <phoneticPr fontId="8" type="noConversion"/>
  </si>
  <si>
    <t>鼓励大规模战斗</t>
    <phoneticPr fontId="8" type="noConversion"/>
  </si>
  <si>
    <t>活跃度调节因子2</t>
    <phoneticPr fontId="8" type="noConversion"/>
  </si>
  <si>
    <t>活跃度调节因子1</t>
    <phoneticPr fontId="8" type="noConversion"/>
  </si>
  <si>
    <t>活跃度=power(和人对战中损失的兵力,活跃度调节因子1)/最大兵力值*活跃度调节因子2</t>
    <phoneticPr fontId="8" type="noConversion"/>
  </si>
  <si>
    <t>具备资质的开城将领数比可开城数比例</t>
    <phoneticPr fontId="8" type="noConversion"/>
  </si>
  <si>
    <t>获得活跃度</t>
    <phoneticPr fontId="8" type="noConversion"/>
  </si>
  <si>
    <t>活跃度要求</t>
    <phoneticPr fontId="8" type="noConversion"/>
  </si>
  <si>
    <t>粮食</t>
    <phoneticPr fontId="8" type="noConversion"/>
  </si>
  <si>
    <t>木材</t>
    <phoneticPr fontId="8" type="noConversion"/>
  </si>
  <si>
    <t>铁矿</t>
    <phoneticPr fontId="8" type="noConversion"/>
  </si>
  <si>
    <t>运输成本(单元格)</t>
    <phoneticPr fontId="8" type="noConversion"/>
  </si>
  <si>
    <t>可到达的距离</t>
    <phoneticPr fontId="8" type="noConversion"/>
  </si>
  <si>
    <t>时间</t>
    <phoneticPr fontId="8" type="noConversion"/>
  </si>
  <si>
    <t>主厅等级</t>
    <phoneticPr fontId="8" type="noConversion"/>
  </si>
  <si>
    <t>木材限制距离</t>
    <phoneticPr fontId="8" type="noConversion"/>
  </si>
  <si>
    <t>铁矿限制距离</t>
    <phoneticPr fontId="8" type="noConversion"/>
  </si>
  <si>
    <t>粮食限制距离</t>
    <phoneticPr fontId="8" type="noConversion"/>
  </si>
  <si>
    <t>建筑数</t>
    <phoneticPr fontId="8" type="noConversion"/>
  </si>
  <si>
    <t>地图中的最远距离(从地图中心到另一张地图中心)</t>
    <phoneticPr fontId="8" type="noConversion"/>
  </si>
  <si>
    <t>地图中最近可移动距离</t>
    <phoneticPr fontId="8" type="noConversion"/>
  </si>
  <si>
    <t>初始给予资源(部队运输)</t>
    <phoneticPr fontId="8" type="noConversion"/>
  </si>
  <si>
    <t>地图最远距离行军时间</t>
    <phoneticPr fontId="8" type="noConversion"/>
  </si>
  <si>
    <t>小时</t>
    <phoneticPr fontId="8" type="noConversion"/>
  </si>
  <si>
    <t>分钟</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</si>
</sst>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0_ "/>
    <numFmt numFmtId="177" formatCode="0.00_ "/>
    <numFmt numFmtId="178" formatCode="#,##0_);[Red]\(#,##0\)"/>
    <numFmt numFmtId="179" formatCode="0_ "/>
  </numFmts>
  <fonts count="9">
    <font>
      <sz val="11"/>
      <color indexed="8"/>
      <name val="宋体"/>
      <family val="2"/>
      <charset val="134"/>
    </font>
    <font>
      <sz val="11"/>
      <name val="宋体"/>
      <family val="2"/>
      <charset val="134"/>
    </font>
    <font>
      <sz val="11"/>
      <color indexed="9"/>
      <name val="宋体"/>
      <family val="3"/>
      <charset val="134"/>
    </font>
    <font>
      <b/>
      <sz val="11"/>
      <color indexed="8"/>
      <name val="宋体"/>
      <family val="3"/>
      <charset val="134"/>
    </font>
    <font>
      <sz val="11"/>
      <color indexed="8"/>
      <name val="宋体"/>
      <family val="3"/>
      <charset val="134"/>
    </font>
    <font>
      <sz val="11"/>
      <color indexed="47"/>
      <name val="宋体"/>
      <family val="2"/>
      <charset val="134"/>
    </font>
    <font>
      <sz val="11"/>
      <name val="宋体"/>
      <family val="3"/>
      <charset val="134"/>
    </font>
    <font>
      <sz val="11"/>
      <color indexed="10"/>
      <name val="宋体"/>
      <family val="3"/>
      <charset val="134"/>
    </font>
    <font>
      <sz val="9"/>
      <name val="宋体"/>
      <family val="2"/>
      <charset val="134"/>
    </font>
  </fonts>
  <fills count="12">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13"/>
        <bgColor indexed="64"/>
      </patternFill>
    </fill>
    <fill>
      <patternFill patternType="solid">
        <fgColor indexed="8"/>
        <bgColor indexed="64"/>
      </patternFill>
    </fill>
    <fill>
      <patternFill patternType="solid">
        <fgColor indexed="44"/>
        <bgColor indexed="64"/>
      </patternFill>
    </fill>
    <fill>
      <patternFill patternType="solid">
        <fgColor indexed="29"/>
        <bgColor indexed="64"/>
      </patternFill>
    </fill>
    <fill>
      <patternFill patternType="solid">
        <fgColor indexed="47"/>
        <bgColor indexed="64"/>
      </patternFill>
    </fill>
    <fill>
      <patternFill patternType="solid">
        <fgColor indexed="9"/>
        <bgColor indexed="64"/>
      </patternFill>
    </fill>
    <fill>
      <patternFill patternType="solid">
        <fgColor rgb="FFFFFF00"/>
        <bgColor indexed="64"/>
      </patternFill>
    </fill>
    <fill>
      <patternFill patternType="solid">
        <fgColor theme="0" tint="-0.249977111117893"/>
        <bgColor indexed="64"/>
      </patternFill>
    </fill>
  </fills>
  <borders count="1">
    <border>
      <left/>
      <right/>
      <top/>
      <bottom/>
      <diagonal/>
    </border>
  </borders>
  <cellStyleXfs count="1">
    <xf numFmtId="0" fontId="0" fillId="0" borderId="0">
      <alignment vertical="center"/>
    </xf>
  </cellStyleXfs>
  <cellXfs count="94">
    <xf numFmtId="0" fontId="0" fillId="0" borderId="0" xfId="0">
      <alignment vertical="center"/>
    </xf>
    <xf numFmtId="0" fontId="0" fillId="0" borderId="0" xfId="0" applyAlignment="1">
      <alignment vertical="center" wrapText="1"/>
    </xf>
    <xf numFmtId="0" fontId="0" fillId="2" borderId="0" xfId="0" applyFill="1">
      <alignment vertical="center"/>
    </xf>
    <xf numFmtId="0" fontId="0" fillId="2" borderId="0" xfId="0" applyFill="1" applyAlignment="1">
      <alignment vertical="center" wrapText="1"/>
    </xf>
    <xf numFmtId="0" fontId="0" fillId="0" borderId="0" xfId="0" applyFill="1" applyAlignment="1">
      <alignment vertical="center" wrapText="1"/>
    </xf>
    <xf numFmtId="10" fontId="0" fillId="0" borderId="0" xfId="0" applyNumberFormat="1">
      <alignment vertical="center"/>
    </xf>
    <xf numFmtId="177" fontId="0" fillId="0" borderId="0" xfId="0" applyNumberFormat="1" applyFill="1">
      <alignment vertical="center"/>
    </xf>
    <xf numFmtId="0" fontId="0" fillId="3" borderId="0" xfId="0" applyFill="1" applyAlignment="1">
      <alignment vertical="center" wrapText="1"/>
    </xf>
    <xf numFmtId="10" fontId="0" fillId="0" borderId="0" xfId="0" applyNumberFormat="1" applyFill="1">
      <alignment vertical="center"/>
    </xf>
    <xf numFmtId="0" fontId="0" fillId="4" borderId="0" xfId="0" applyFill="1">
      <alignment vertical="center"/>
    </xf>
    <xf numFmtId="176" fontId="0" fillId="0" borderId="0" xfId="0" applyNumberFormat="1">
      <alignment vertical="center"/>
    </xf>
    <xf numFmtId="0" fontId="2" fillId="5" borderId="0" xfId="0" applyFont="1" applyFill="1">
      <alignment vertical="center"/>
    </xf>
    <xf numFmtId="0" fontId="0" fillId="0" borderId="0" xfId="0" applyFill="1">
      <alignment vertical="center"/>
    </xf>
    <xf numFmtId="0" fontId="3" fillId="4" borderId="0" xfId="0" applyFont="1" applyFill="1" applyAlignment="1">
      <alignment vertical="center" wrapText="1"/>
    </xf>
    <xf numFmtId="0" fontId="4" fillId="0" borderId="0" xfId="0" applyFont="1" applyFill="1" applyAlignment="1">
      <alignment vertical="center" wrapText="1"/>
    </xf>
    <xf numFmtId="0" fontId="4" fillId="4" borderId="0" xfId="0" applyFont="1" applyFill="1" applyAlignment="1">
      <alignment vertical="center" wrapText="1"/>
    </xf>
    <xf numFmtId="176" fontId="4" fillId="0" borderId="0" xfId="0" applyNumberFormat="1" applyFont="1" applyFill="1" applyAlignment="1">
      <alignment vertical="center" wrapText="1"/>
    </xf>
    <xf numFmtId="0" fontId="0" fillId="6" borderId="0" xfId="0" applyFill="1">
      <alignment vertical="center"/>
    </xf>
    <xf numFmtId="0" fontId="0" fillId="7" borderId="0" xfId="0" applyFill="1">
      <alignment vertical="center"/>
    </xf>
    <xf numFmtId="0" fontId="2" fillId="5" borderId="0" xfId="0" applyFont="1" applyFill="1" applyAlignment="1">
      <alignment vertical="center" wrapText="1"/>
    </xf>
    <xf numFmtId="176" fontId="0" fillId="0" borderId="0" xfId="0" applyNumberFormat="1" applyAlignment="1">
      <alignment vertical="center" wrapText="1"/>
    </xf>
    <xf numFmtId="10" fontId="0" fillId="0" borderId="0" xfId="0" applyNumberFormat="1" applyAlignment="1">
      <alignment vertical="center" wrapText="1"/>
    </xf>
    <xf numFmtId="0" fontId="0" fillId="4" borderId="0" xfId="0" applyFill="1" applyAlignment="1">
      <alignment vertical="center" wrapText="1"/>
    </xf>
    <xf numFmtId="177" fontId="0" fillId="0" borderId="0" xfId="0" applyNumberFormat="1">
      <alignment vertical="center"/>
    </xf>
    <xf numFmtId="176" fontId="0" fillId="3" borderId="0" xfId="0" applyNumberFormat="1" applyFill="1" applyAlignment="1">
      <alignment vertical="center" wrapText="1"/>
    </xf>
    <xf numFmtId="177" fontId="0" fillId="3" borderId="0" xfId="0" applyNumberFormat="1" applyFill="1" applyAlignment="1">
      <alignment vertical="center" wrapText="1"/>
    </xf>
    <xf numFmtId="176" fontId="0" fillId="4" borderId="0" xfId="0" applyNumberFormat="1" applyFill="1">
      <alignment vertical="center"/>
    </xf>
    <xf numFmtId="176" fontId="0" fillId="0" borderId="0" xfId="0" applyNumberFormat="1" applyAlignment="1">
      <alignment vertical="center"/>
    </xf>
    <xf numFmtId="0" fontId="0" fillId="3" borderId="0" xfId="0" applyFill="1">
      <alignment vertical="center"/>
    </xf>
    <xf numFmtId="178" fontId="0" fillId="4" borderId="0" xfId="0" applyNumberFormat="1" applyFill="1">
      <alignment vertical="center"/>
    </xf>
    <xf numFmtId="10" fontId="0" fillId="0" borderId="0" xfId="0" applyNumberFormat="1" applyAlignment="1">
      <alignment vertical="center"/>
    </xf>
    <xf numFmtId="178" fontId="0" fillId="0" borderId="0" xfId="0" applyNumberFormat="1">
      <alignment vertical="center"/>
    </xf>
    <xf numFmtId="10" fontId="0" fillId="3" borderId="0" xfId="0" applyNumberFormat="1" applyFill="1" applyAlignment="1">
      <alignment vertical="center"/>
    </xf>
    <xf numFmtId="0" fontId="0" fillId="3" borderId="0" xfId="0" applyFill="1" applyAlignment="1">
      <alignment vertical="center"/>
    </xf>
    <xf numFmtId="178" fontId="0" fillId="4" borderId="0" xfId="0" applyNumberFormat="1" applyFill="1" applyAlignment="1">
      <alignment vertical="center" wrapText="1"/>
    </xf>
    <xf numFmtId="178" fontId="0" fillId="3" borderId="0" xfId="0" applyNumberFormat="1" applyFill="1">
      <alignment vertical="center"/>
    </xf>
    <xf numFmtId="178" fontId="0" fillId="3" borderId="0" xfId="0" applyNumberFormat="1" applyFill="1" applyAlignment="1">
      <alignment vertical="center" wrapText="1"/>
    </xf>
    <xf numFmtId="9" fontId="0" fillId="3" borderId="0" xfId="0" applyNumberFormat="1" applyFill="1" applyAlignment="1">
      <alignment vertical="center" wrapText="1"/>
    </xf>
    <xf numFmtId="176" fontId="0" fillId="3" borderId="0" xfId="0" applyNumberFormat="1" applyFill="1">
      <alignment vertical="center"/>
    </xf>
    <xf numFmtId="10" fontId="0" fillId="3" borderId="0" xfId="0" applyNumberFormat="1" applyFill="1" applyAlignment="1">
      <alignment vertical="center" wrapText="1"/>
    </xf>
    <xf numFmtId="176" fontId="0" fillId="0" borderId="0" xfId="0" applyNumberFormat="1" applyFill="1">
      <alignment vertical="center"/>
    </xf>
    <xf numFmtId="9" fontId="0" fillId="0" borderId="0" xfId="0" applyNumberFormat="1" applyFill="1">
      <alignment vertical="center"/>
    </xf>
    <xf numFmtId="178" fontId="0" fillId="0" borderId="0" xfId="0" applyNumberFormat="1" applyFill="1">
      <alignment vertical="center"/>
    </xf>
    <xf numFmtId="176" fontId="0" fillId="0" borderId="0" xfId="0" applyNumberFormat="1" applyFill="1" applyAlignment="1">
      <alignment vertical="center" wrapText="1"/>
    </xf>
    <xf numFmtId="9" fontId="0" fillId="0" borderId="0" xfId="0" applyNumberFormat="1" applyFill="1" applyAlignment="1">
      <alignment vertical="center" wrapText="1"/>
    </xf>
    <xf numFmtId="178" fontId="0" fillId="0" borderId="0" xfId="0" applyNumberFormat="1" applyFill="1" applyAlignment="1">
      <alignment vertical="center" wrapText="1"/>
    </xf>
    <xf numFmtId="0" fontId="0" fillId="8" borderId="0" xfId="0" applyFill="1">
      <alignment vertical="center"/>
    </xf>
    <xf numFmtId="0" fontId="1" fillId="8" borderId="0" xfId="0" applyFont="1" applyFill="1">
      <alignment vertical="center"/>
    </xf>
    <xf numFmtId="0" fontId="5" fillId="6" borderId="0" xfId="0" applyFont="1" applyFill="1">
      <alignment vertical="center"/>
    </xf>
    <xf numFmtId="0" fontId="1" fillId="0" borderId="0" xfId="0" applyFont="1" applyFill="1">
      <alignment vertical="center"/>
    </xf>
    <xf numFmtId="0" fontId="0" fillId="3" borderId="0" xfId="0" applyNumberFormat="1" applyFill="1">
      <alignment vertical="center"/>
    </xf>
    <xf numFmtId="0" fontId="0" fillId="0" borderId="0" xfId="0" applyNumberFormat="1" applyFill="1">
      <alignment vertical="center"/>
    </xf>
    <xf numFmtId="0" fontId="0" fillId="9" borderId="0" xfId="0" applyFill="1">
      <alignment vertical="center"/>
    </xf>
    <xf numFmtId="0" fontId="0" fillId="5" borderId="0" xfId="0" applyFill="1">
      <alignment vertical="center"/>
    </xf>
    <xf numFmtId="10" fontId="0" fillId="4" borderId="0" xfId="0" applyNumberFormat="1" applyFill="1">
      <alignment vertical="center"/>
    </xf>
    <xf numFmtId="0" fontId="5" fillId="6" borderId="0" xfId="0" applyFont="1" applyFill="1" applyAlignment="1">
      <alignment vertical="center" wrapText="1"/>
    </xf>
    <xf numFmtId="0" fontId="1" fillId="0" borderId="0" xfId="0" applyFont="1" applyFill="1" applyAlignment="1">
      <alignment vertical="center" wrapText="1"/>
    </xf>
    <xf numFmtId="0" fontId="0" fillId="3" borderId="0" xfId="0" applyNumberFormat="1" applyFill="1" applyAlignment="1">
      <alignment vertical="center" wrapText="1"/>
    </xf>
    <xf numFmtId="0" fontId="0" fillId="0" borderId="0" xfId="0" applyNumberFormat="1" applyFill="1" applyAlignment="1">
      <alignment vertical="center" wrapText="1"/>
    </xf>
    <xf numFmtId="0" fontId="5" fillId="8" borderId="0" xfId="0" applyFont="1" applyFill="1">
      <alignment vertical="center"/>
    </xf>
    <xf numFmtId="0" fontId="0" fillId="8" borderId="0" xfId="0" applyNumberFormat="1" applyFill="1">
      <alignment vertical="center"/>
    </xf>
    <xf numFmtId="0" fontId="6" fillId="8" borderId="0" xfId="0" applyFont="1" applyFill="1">
      <alignment vertical="center"/>
    </xf>
    <xf numFmtId="0" fontId="1" fillId="8" borderId="0" xfId="0" applyNumberFormat="1" applyFont="1" applyFill="1">
      <alignment vertical="center"/>
    </xf>
    <xf numFmtId="0" fontId="1" fillId="0" borderId="0" xfId="0" applyNumberFormat="1" applyFont="1" applyFill="1">
      <alignment vertical="center"/>
    </xf>
    <xf numFmtId="0" fontId="1" fillId="2" borderId="0" xfId="0" applyFont="1" applyFill="1">
      <alignment vertical="center"/>
    </xf>
    <xf numFmtId="10" fontId="0" fillId="3" borderId="0" xfId="0" applyNumberFormat="1" applyFill="1">
      <alignment vertical="center"/>
    </xf>
    <xf numFmtId="0" fontId="0" fillId="0" borderId="0" xfId="0" applyNumberFormat="1">
      <alignment vertical="center"/>
    </xf>
    <xf numFmtId="0" fontId="0" fillId="9" borderId="0" xfId="0" applyFill="1" applyAlignment="1">
      <alignment vertical="center" wrapText="1"/>
    </xf>
    <xf numFmtId="0" fontId="0" fillId="5" borderId="0" xfId="0" applyFill="1" applyAlignment="1">
      <alignment vertical="center" wrapText="1"/>
    </xf>
    <xf numFmtId="0" fontId="1" fillId="5" borderId="0" xfId="0" applyFont="1" applyFill="1">
      <alignment vertical="center"/>
    </xf>
    <xf numFmtId="10" fontId="0" fillId="4" borderId="0" xfId="0" applyNumberFormat="1" applyFill="1" applyAlignment="1">
      <alignment vertical="center" wrapText="1"/>
    </xf>
    <xf numFmtId="0" fontId="0" fillId="6" borderId="0" xfId="0" applyFill="1" applyAlignment="1">
      <alignment vertical="center" wrapText="1"/>
    </xf>
    <xf numFmtId="10" fontId="1" fillId="4" borderId="0" xfId="0" applyNumberFormat="1" applyFont="1" applyFill="1">
      <alignment vertical="center"/>
    </xf>
    <xf numFmtId="0" fontId="1" fillId="4" borderId="0" xfId="0" applyFont="1" applyFill="1">
      <alignment vertical="center"/>
    </xf>
    <xf numFmtId="0" fontId="1" fillId="6" borderId="0" xfId="0" applyFont="1" applyFill="1">
      <alignment vertical="center"/>
    </xf>
    <xf numFmtId="0" fontId="3" fillId="8" borderId="0" xfId="0" applyFont="1" applyFill="1" applyAlignment="1">
      <alignment vertical="center" wrapText="1"/>
    </xf>
    <xf numFmtId="0" fontId="3" fillId="0" borderId="0" xfId="0" applyFont="1" applyAlignment="1">
      <alignment vertical="center" wrapText="1"/>
    </xf>
    <xf numFmtId="0" fontId="4" fillId="0" borderId="0" xfId="0" applyFont="1" applyAlignment="1">
      <alignment vertical="center" wrapText="1"/>
    </xf>
    <xf numFmtId="10" fontId="0" fillId="8" borderId="0" xfId="0" applyNumberFormat="1" applyFill="1">
      <alignment vertical="center"/>
    </xf>
    <xf numFmtId="0" fontId="0" fillId="10" borderId="0" xfId="0" applyFill="1">
      <alignment vertical="center"/>
    </xf>
    <xf numFmtId="0" fontId="0" fillId="10" borderId="0" xfId="0" applyFill="1" applyAlignment="1">
      <alignment vertical="center" wrapText="1"/>
    </xf>
    <xf numFmtId="10" fontId="0" fillId="10" borderId="0" xfId="0" applyNumberFormat="1" applyFill="1">
      <alignment vertical="center"/>
    </xf>
    <xf numFmtId="176" fontId="0" fillId="10" borderId="0" xfId="0" applyNumberFormat="1" applyFill="1">
      <alignment vertical="center"/>
    </xf>
    <xf numFmtId="0" fontId="0" fillId="11" borderId="0" xfId="0" applyFill="1" applyAlignment="1">
      <alignment vertical="center" wrapText="1"/>
    </xf>
    <xf numFmtId="10" fontId="0" fillId="11" borderId="0" xfId="0" applyNumberFormat="1" applyFill="1">
      <alignment vertical="center"/>
    </xf>
    <xf numFmtId="0" fontId="0" fillId="11" borderId="0" xfId="0" applyFill="1">
      <alignment vertical="center"/>
    </xf>
    <xf numFmtId="0" fontId="4" fillId="0" borderId="0" xfId="0" applyFont="1">
      <alignment vertical="center"/>
    </xf>
    <xf numFmtId="0" fontId="3" fillId="0" borderId="0" xfId="0" applyFont="1">
      <alignment vertical="center"/>
    </xf>
    <xf numFmtId="10" fontId="4" fillId="0" borderId="0" xfId="0" applyNumberFormat="1" applyFont="1">
      <alignment vertical="center"/>
    </xf>
    <xf numFmtId="177" fontId="0" fillId="0" borderId="0" xfId="0" applyNumberFormat="1" applyAlignment="1">
      <alignment vertical="center" wrapText="1"/>
    </xf>
    <xf numFmtId="179" fontId="0" fillId="0" borderId="0" xfId="0" applyNumberFormat="1" applyAlignment="1">
      <alignment vertical="center" wrapText="1"/>
    </xf>
    <xf numFmtId="179" fontId="0" fillId="0" borderId="0" xfId="0" applyNumberFormat="1">
      <alignment vertical="center"/>
    </xf>
    <xf numFmtId="0" fontId="0" fillId="0" borderId="0" xfId="0" applyNumberFormat="1" applyAlignment="1">
      <alignment vertical="center" wrapText="1"/>
    </xf>
    <xf numFmtId="0" fontId="3" fillId="0" borderId="0" xfId="0" applyNumberFormat="1" applyFon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同等兵力</c:v>
          </c:tx>
          <c:spPr>
            <a:ln w="25400">
              <a:solidFill>
                <a:srgbClr val="4F81BD"/>
              </a:solidFill>
              <a:prstDash val="solid"/>
            </a:ln>
          </c:spPr>
          <c:marker>
            <c:symbol val="none"/>
          </c:marker>
          <c:cat>
            <c:numRef>
              <c:f>兵攻防!$A$22:$A$29</c:f>
              <c:numCache>
                <c:formatCode>General</c:formatCode>
                <c:ptCount val="8"/>
                <c:pt idx="0">
                  <c:v>10</c:v>
                </c:pt>
                <c:pt idx="1">
                  <c:v>50</c:v>
                </c:pt>
                <c:pt idx="2">
                  <c:v>100</c:v>
                </c:pt>
                <c:pt idx="3">
                  <c:v>200</c:v>
                </c:pt>
                <c:pt idx="4">
                  <c:v>500</c:v>
                </c:pt>
                <c:pt idx="5">
                  <c:v>1000</c:v>
                </c:pt>
                <c:pt idx="6">
                  <c:v>2000</c:v>
                </c:pt>
                <c:pt idx="7">
                  <c:v>5000</c:v>
                </c:pt>
              </c:numCache>
            </c:numRef>
          </c:cat>
          <c:val>
            <c:numRef>
              <c:f>兵攻防!$W$22:$W$29</c:f>
              <c:numCache>
                <c:formatCode>0.00%</c:formatCode>
                <c:ptCount val="8"/>
                <c:pt idx="0">
                  <c:v>0</c:v>
                </c:pt>
                <c:pt idx="1">
                  <c:v>0.04</c:v>
                </c:pt>
                <c:pt idx="2">
                  <c:v>0.04</c:v>
                </c:pt>
                <c:pt idx="3">
                  <c:v>3.5000000000000003E-2</c:v>
                </c:pt>
                <c:pt idx="4">
                  <c:v>3.5999999999999997E-2</c:v>
                </c:pt>
                <c:pt idx="5">
                  <c:v>3.5000000000000003E-2</c:v>
                </c:pt>
                <c:pt idx="6">
                  <c:v>3.5000000000000003E-2</c:v>
                </c:pt>
                <c:pt idx="7">
                  <c:v>3.5200000000000002E-2</c:v>
                </c:pt>
              </c:numCache>
            </c:numRef>
          </c:val>
          <c:smooth val="0"/>
        </c:ser>
        <c:ser>
          <c:idx val="1"/>
          <c:order val="1"/>
          <c:tx>
            <c:v>统帅士气+150~同等兵力~进攻</c:v>
          </c:tx>
          <c:spPr>
            <a:ln w="25400">
              <a:solidFill>
                <a:srgbClr val="C0504D"/>
              </a:solidFill>
              <a:prstDash val="solid"/>
            </a:ln>
          </c:spPr>
          <c:marker>
            <c:symbol val="none"/>
          </c:marker>
          <c:cat>
            <c:numRef>
              <c:f>兵攻防!$A$22:$A$29</c:f>
              <c:numCache>
                <c:formatCode>General</c:formatCode>
                <c:ptCount val="8"/>
                <c:pt idx="0">
                  <c:v>10</c:v>
                </c:pt>
                <c:pt idx="1">
                  <c:v>50</c:v>
                </c:pt>
                <c:pt idx="2">
                  <c:v>100</c:v>
                </c:pt>
                <c:pt idx="3">
                  <c:v>200</c:v>
                </c:pt>
                <c:pt idx="4">
                  <c:v>500</c:v>
                </c:pt>
                <c:pt idx="5">
                  <c:v>1000</c:v>
                </c:pt>
                <c:pt idx="6">
                  <c:v>2000</c:v>
                </c:pt>
                <c:pt idx="7">
                  <c:v>5000</c:v>
                </c:pt>
              </c:numCache>
            </c:numRef>
          </c:cat>
          <c:val>
            <c:numRef>
              <c:f>兵攻防!$AB$22:$AB$29</c:f>
              <c:numCache>
                <c:formatCode>0.00%</c:formatCode>
                <c:ptCount val="8"/>
                <c:pt idx="0">
                  <c:v>0</c:v>
                </c:pt>
                <c:pt idx="1">
                  <c:v>9.8000000000000004E-2</c:v>
                </c:pt>
                <c:pt idx="2">
                  <c:v>4.9000000000000002E-2</c:v>
                </c:pt>
                <c:pt idx="3">
                  <c:v>4.9000000000000002E-2</c:v>
                </c:pt>
                <c:pt idx="4">
                  <c:v>4.9000000000000002E-2</c:v>
                </c:pt>
                <c:pt idx="5">
                  <c:v>5.3900000000000003E-2</c:v>
                </c:pt>
                <c:pt idx="6">
                  <c:v>5.3900000000000003E-2</c:v>
                </c:pt>
                <c:pt idx="7">
                  <c:v>5.2900000000000003E-2</c:v>
                </c:pt>
              </c:numCache>
            </c:numRef>
          </c:val>
          <c:smooth val="0"/>
        </c:ser>
        <c:ser>
          <c:idx val="4"/>
          <c:order val="2"/>
          <c:tx>
            <c:v>统帅士气+150~同等兵力~防守</c:v>
          </c:tx>
          <c:spPr>
            <a:ln w="25400">
              <a:solidFill>
                <a:srgbClr val="4BACC6"/>
              </a:solidFill>
              <a:prstDash val="solid"/>
            </a:ln>
          </c:spPr>
          <c:marker>
            <c:symbol val="none"/>
          </c:marker>
          <c:cat>
            <c:numRef>
              <c:f>兵攻防!$A$22:$A$29</c:f>
              <c:numCache>
                <c:formatCode>General</c:formatCode>
                <c:ptCount val="8"/>
                <c:pt idx="0">
                  <c:v>10</c:v>
                </c:pt>
                <c:pt idx="1">
                  <c:v>50</c:v>
                </c:pt>
                <c:pt idx="2">
                  <c:v>100</c:v>
                </c:pt>
                <c:pt idx="3">
                  <c:v>200</c:v>
                </c:pt>
                <c:pt idx="4">
                  <c:v>500</c:v>
                </c:pt>
                <c:pt idx="5">
                  <c:v>1000</c:v>
                </c:pt>
                <c:pt idx="6">
                  <c:v>2000</c:v>
                </c:pt>
                <c:pt idx="7">
                  <c:v>5000</c:v>
                </c:pt>
              </c:numCache>
            </c:numRef>
          </c:cat>
          <c:val>
            <c:numRef>
              <c:f>兵攻防!$AF$22:$AF$29</c:f>
              <c:numCache>
                <c:formatCode>0.00%</c:formatCode>
                <c:ptCount val="8"/>
                <c:pt idx="0">
                  <c:v>0</c:v>
                </c:pt>
                <c:pt idx="1">
                  <c:v>0</c:v>
                </c:pt>
                <c:pt idx="2">
                  <c:v>0</c:v>
                </c:pt>
                <c:pt idx="3">
                  <c:v>5.0000000000000001E-3</c:v>
                </c:pt>
                <c:pt idx="4">
                  <c:v>4.0000000000000001E-3</c:v>
                </c:pt>
                <c:pt idx="5">
                  <c:v>4.0000000000000001E-3</c:v>
                </c:pt>
                <c:pt idx="6">
                  <c:v>3.5000000000000001E-3</c:v>
                </c:pt>
                <c:pt idx="7">
                  <c:v>3.5999999999999999E-3</c:v>
                </c:pt>
              </c:numCache>
            </c:numRef>
          </c:val>
          <c:smooth val="0"/>
        </c:ser>
        <c:dLbls>
          <c:showLegendKey val="0"/>
          <c:showVal val="0"/>
          <c:showCatName val="0"/>
          <c:showSerName val="0"/>
          <c:showPercent val="0"/>
          <c:showBubbleSize val="0"/>
        </c:dLbls>
        <c:marker val="1"/>
        <c:smooth val="0"/>
        <c:axId val="118850304"/>
        <c:axId val="118851840"/>
      </c:lineChart>
      <c:catAx>
        <c:axId val="118850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宋体"/>
                <a:ea typeface="宋体"/>
                <a:cs typeface="宋体"/>
              </a:defRPr>
            </a:pPr>
            <a:endParaRPr lang="zh-CN"/>
          </a:p>
        </c:txPr>
        <c:crossAx val="118851840"/>
        <c:crosses val="autoZero"/>
        <c:auto val="0"/>
        <c:lblAlgn val="ctr"/>
        <c:lblOffset val="100"/>
        <c:tickLblSkip val="1"/>
        <c:tickMarkSkip val="1"/>
        <c:noMultiLvlLbl val="0"/>
      </c:catAx>
      <c:valAx>
        <c:axId val="118851840"/>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宋体"/>
                <a:ea typeface="宋体"/>
                <a:cs typeface="宋体"/>
              </a:defRPr>
            </a:pPr>
            <a:endParaRPr lang="zh-CN"/>
          </a:p>
        </c:txPr>
        <c:crossAx val="118850304"/>
        <c:crosses val="autoZero"/>
        <c:crossBetween val="between"/>
      </c:valAx>
      <c:spPr>
        <a:solidFill>
          <a:srgbClr val="FFFFFF"/>
        </a:solidFill>
        <a:ln>
          <a:noFill/>
        </a:ln>
      </c:spPr>
    </c:plotArea>
    <c:legend>
      <c:legendPos val="r"/>
      <c:legendEntry>
        <c:idx val="0"/>
        <c:txPr>
          <a:bodyPr/>
          <a:lstStyle/>
          <a:p>
            <a:pPr>
              <a:defRPr sz="1000" b="0" i="0" u="none" strike="noStrike" baseline="0">
                <a:solidFill>
                  <a:srgbClr val="000000"/>
                </a:solidFill>
                <a:latin typeface="宋体"/>
                <a:ea typeface="宋体"/>
                <a:cs typeface="宋体"/>
              </a:defRPr>
            </a:pPr>
            <a:endParaRPr lang="zh-CN"/>
          </a:p>
        </c:txPr>
      </c:legendEntry>
      <c:legendEntry>
        <c:idx val="1"/>
        <c:txPr>
          <a:bodyPr/>
          <a:lstStyle/>
          <a:p>
            <a:pPr>
              <a:defRPr sz="1000" b="0" i="0" u="none" strike="noStrike" baseline="0">
                <a:solidFill>
                  <a:srgbClr val="000000"/>
                </a:solidFill>
                <a:latin typeface="宋体"/>
                <a:ea typeface="宋体"/>
                <a:cs typeface="宋体"/>
              </a:defRPr>
            </a:pPr>
            <a:endParaRPr lang="zh-CN"/>
          </a:p>
        </c:txPr>
      </c:legendEntry>
      <c:legendEntry>
        <c:idx val="2"/>
        <c:txPr>
          <a:bodyPr/>
          <a:lstStyle/>
          <a:p>
            <a:pPr>
              <a:defRPr sz="1000" b="0" i="0" u="none" strike="noStrike" baseline="0">
                <a:solidFill>
                  <a:srgbClr val="000000"/>
                </a:solidFill>
                <a:latin typeface="宋体"/>
                <a:ea typeface="宋体"/>
                <a:cs typeface="宋体"/>
              </a:defRPr>
            </a:pPr>
            <a:endParaRPr lang="zh-CN"/>
          </a:p>
        </c:txPr>
      </c:legendEntry>
      <c:layout/>
      <c:overlay val="0"/>
      <c:spPr>
        <a:noFill/>
        <a:ln>
          <a:noFill/>
        </a:ln>
      </c:spPr>
      <c:txPr>
        <a:bodyPr/>
        <a:lstStyle/>
        <a:p>
          <a:pPr>
            <a:defRPr sz="1000" b="0" i="0" u="none" strike="noStrike" baseline="0">
              <a:solidFill>
                <a:srgbClr val="000000"/>
              </a:solidFill>
              <a:latin typeface="宋体"/>
              <a:ea typeface="宋体"/>
              <a:cs typeface="宋体"/>
            </a:defRPr>
          </a:pPr>
          <a:endParaRPr lang="zh-CN"/>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宋体"/>
          <a:ea typeface="宋体"/>
          <a:cs typeface="宋体"/>
        </a:defRPr>
      </a:pPr>
      <a:endParaRPr lang="zh-CN"/>
    </a:p>
  </c:txPr>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5000兵力进攻</c:v>
          </c:tx>
          <c:spPr>
            <a:ln w="25400">
              <a:solidFill>
                <a:srgbClr val="4F81BD"/>
              </a:solidFill>
              <a:prstDash val="solid"/>
            </a:ln>
          </c:spPr>
          <c:marker>
            <c:symbol val="diamond"/>
            <c:size val="7"/>
            <c:spPr>
              <a:solidFill>
                <a:srgbClr val="4F81BD"/>
              </a:solidFill>
              <a:ln>
                <a:solidFill>
                  <a:srgbClr val="4F81BD"/>
                </a:solidFill>
                <a:prstDash val="solid"/>
              </a:ln>
            </c:spPr>
          </c:marker>
          <c:cat>
            <c:numRef>
              <c:f>兵攻防!$A$22:$A$29</c:f>
              <c:numCache>
                <c:formatCode>General</c:formatCode>
                <c:ptCount val="8"/>
                <c:pt idx="0">
                  <c:v>10</c:v>
                </c:pt>
                <c:pt idx="1">
                  <c:v>50</c:v>
                </c:pt>
                <c:pt idx="2">
                  <c:v>100</c:v>
                </c:pt>
                <c:pt idx="3">
                  <c:v>200</c:v>
                </c:pt>
                <c:pt idx="4">
                  <c:v>500</c:v>
                </c:pt>
                <c:pt idx="5">
                  <c:v>1000</c:v>
                </c:pt>
                <c:pt idx="6">
                  <c:v>2000</c:v>
                </c:pt>
                <c:pt idx="7">
                  <c:v>5000</c:v>
                </c:pt>
              </c:numCache>
            </c:numRef>
          </c:cat>
          <c:val>
            <c:numRef>
              <c:f>兵攻防!$AI$22:$AI$29</c:f>
              <c:numCache>
                <c:formatCode>0.00%</c:formatCode>
                <c:ptCount val="8"/>
                <c:pt idx="0">
                  <c:v>0.98</c:v>
                </c:pt>
                <c:pt idx="1">
                  <c:v>0.19600000000000001</c:v>
                </c:pt>
                <c:pt idx="2">
                  <c:v>9.8000000000000004E-2</c:v>
                </c:pt>
                <c:pt idx="3">
                  <c:v>7.3499999999999996E-2</c:v>
                </c:pt>
                <c:pt idx="4">
                  <c:v>3.9199999999999999E-2</c:v>
                </c:pt>
                <c:pt idx="5">
                  <c:v>2.4500000000000001E-2</c:v>
                </c:pt>
                <c:pt idx="6">
                  <c:v>2.2100000000000002E-2</c:v>
                </c:pt>
                <c:pt idx="7">
                  <c:v>1.9599999999999999E-2</c:v>
                </c:pt>
              </c:numCache>
            </c:numRef>
          </c:val>
          <c:smooth val="0"/>
        </c:ser>
        <c:ser>
          <c:idx val="1"/>
          <c:order val="1"/>
          <c:tx>
            <c:v>5000兵力防守</c:v>
          </c:tx>
          <c:spPr>
            <a:ln w="25400">
              <a:solidFill>
                <a:srgbClr val="C0504D"/>
              </a:solidFill>
              <a:prstDash val="solid"/>
            </a:ln>
          </c:spPr>
          <c:marker>
            <c:symbol val="square"/>
            <c:size val="7"/>
            <c:spPr>
              <a:solidFill>
                <a:srgbClr val="C0504D"/>
              </a:solidFill>
              <a:ln>
                <a:solidFill>
                  <a:srgbClr val="C0504D"/>
                </a:solidFill>
                <a:prstDash val="solid"/>
              </a:ln>
            </c:spPr>
          </c:marker>
          <c:cat>
            <c:numRef>
              <c:f>兵攻防!$A$22:$A$29</c:f>
              <c:numCache>
                <c:formatCode>General</c:formatCode>
                <c:ptCount val="8"/>
                <c:pt idx="0">
                  <c:v>10</c:v>
                </c:pt>
                <c:pt idx="1">
                  <c:v>50</c:v>
                </c:pt>
                <c:pt idx="2">
                  <c:v>100</c:v>
                </c:pt>
                <c:pt idx="3">
                  <c:v>200</c:v>
                </c:pt>
                <c:pt idx="4">
                  <c:v>500</c:v>
                </c:pt>
                <c:pt idx="5">
                  <c:v>1000</c:v>
                </c:pt>
                <c:pt idx="6">
                  <c:v>2000</c:v>
                </c:pt>
                <c:pt idx="7">
                  <c:v>5000</c:v>
                </c:pt>
              </c:numCache>
            </c:numRef>
          </c:cat>
          <c:val>
            <c:numRef>
              <c:f>兵攻防!$AL$22:$AL$29</c:f>
              <c:numCache>
                <c:formatCode>0.00%</c:formatCode>
                <c:ptCount val="8"/>
                <c:pt idx="0">
                  <c:v>3.9199999999999999E-2</c:v>
                </c:pt>
                <c:pt idx="1">
                  <c:v>4.9000000000000002E-2</c:v>
                </c:pt>
                <c:pt idx="2">
                  <c:v>4.9000000000000002E-2</c:v>
                </c:pt>
                <c:pt idx="3">
                  <c:v>5.8799999999999998E-2</c:v>
                </c:pt>
                <c:pt idx="4">
                  <c:v>7.8399999999999997E-2</c:v>
                </c:pt>
                <c:pt idx="5">
                  <c:v>0.1176</c:v>
                </c:pt>
                <c:pt idx="6">
                  <c:v>0.20580000000000001</c:v>
                </c:pt>
                <c:pt idx="7">
                  <c:v>0.441</c:v>
                </c:pt>
              </c:numCache>
            </c:numRef>
          </c:val>
          <c:smooth val="0"/>
        </c:ser>
        <c:dLbls>
          <c:showLegendKey val="0"/>
          <c:showVal val="0"/>
          <c:showCatName val="0"/>
          <c:showSerName val="0"/>
          <c:showPercent val="0"/>
          <c:showBubbleSize val="0"/>
        </c:dLbls>
        <c:marker val="1"/>
        <c:smooth val="0"/>
        <c:axId val="119152640"/>
        <c:axId val="119154560"/>
      </c:lineChart>
      <c:catAx>
        <c:axId val="119152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宋体"/>
                <a:ea typeface="宋体"/>
                <a:cs typeface="宋体"/>
              </a:defRPr>
            </a:pPr>
            <a:endParaRPr lang="zh-CN"/>
          </a:p>
        </c:txPr>
        <c:crossAx val="119154560"/>
        <c:crosses val="autoZero"/>
        <c:auto val="0"/>
        <c:lblAlgn val="ctr"/>
        <c:lblOffset val="100"/>
        <c:tickLblSkip val="1"/>
        <c:tickMarkSkip val="1"/>
        <c:noMultiLvlLbl val="0"/>
      </c:catAx>
      <c:valAx>
        <c:axId val="119154560"/>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宋体"/>
                <a:ea typeface="宋体"/>
                <a:cs typeface="宋体"/>
              </a:defRPr>
            </a:pPr>
            <a:endParaRPr lang="zh-CN"/>
          </a:p>
        </c:txPr>
        <c:crossAx val="119152640"/>
        <c:crosses val="autoZero"/>
        <c:crossBetween val="between"/>
      </c:valAx>
      <c:spPr>
        <a:solidFill>
          <a:srgbClr val="FFFFFF"/>
        </a:solidFill>
        <a:ln>
          <a:noFill/>
        </a:ln>
      </c:spPr>
    </c:plotArea>
    <c:legend>
      <c:legendPos val="r"/>
      <c:legendEntry>
        <c:idx val="0"/>
        <c:txPr>
          <a:bodyPr/>
          <a:lstStyle/>
          <a:p>
            <a:pPr>
              <a:defRPr sz="1000" b="0" i="0" u="none" strike="noStrike" baseline="0">
                <a:solidFill>
                  <a:srgbClr val="000000"/>
                </a:solidFill>
                <a:latin typeface="宋体"/>
                <a:ea typeface="宋体"/>
                <a:cs typeface="宋体"/>
              </a:defRPr>
            </a:pPr>
            <a:endParaRPr lang="zh-CN"/>
          </a:p>
        </c:txPr>
      </c:legendEntry>
      <c:legendEntry>
        <c:idx val="1"/>
        <c:txPr>
          <a:bodyPr/>
          <a:lstStyle/>
          <a:p>
            <a:pPr>
              <a:defRPr sz="1000" b="0" i="0" u="none" strike="noStrike" baseline="0">
                <a:solidFill>
                  <a:srgbClr val="000000"/>
                </a:solidFill>
                <a:latin typeface="宋体"/>
                <a:ea typeface="宋体"/>
                <a:cs typeface="宋体"/>
              </a:defRPr>
            </a:pPr>
            <a:endParaRPr lang="zh-CN"/>
          </a:p>
        </c:txPr>
      </c:legendEntry>
      <c:layout/>
      <c:overlay val="0"/>
      <c:spPr>
        <a:noFill/>
        <a:ln>
          <a:noFill/>
        </a:ln>
      </c:spPr>
      <c:txPr>
        <a:bodyPr/>
        <a:lstStyle/>
        <a:p>
          <a:pPr>
            <a:defRPr sz="1000" b="0" i="0" u="none" strike="noStrike" baseline="0">
              <a:solidFill>
                <a:srgbClr val="000000"/>
              </a:solidFill>
              <a:latin typeface="宋体"/>
              <a:ea typeface="宋体"/>
              <a:cs typeface="宋体"/>
            </a:defRPr>
          </a:pPr>
          <a:endParaRPr lang="zh-CN"/>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宋体"/>
          <a:ea typeface="宋体"/>
          <a:cs typeface="宋体"/>
        </a:defRPr>
      </a:pPr>
      <a:endParaRPr lang="zh-CN"/>
    </a:p>
  </c:txPr>
  <c:printSettings>
    <c:headerFooter/>
    <c:pageMargins b="0.75000000000000011" l="0.70000000000000007" r="0.70000000000000007" t="0.75000000000000011" header="0.30000000000000004" footer="0.30000000000000004"/>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兵消耗!$U$1</c:f>
              <c:strCache>
                <c:ptCount val="1"/>
                <c:pt idx="0">
                  <c:v>所有兵种占粮食比</c:v>
                </c:pt>
              </c:strCache>
            </c:strRef>
          </c:tx>
          <c:spPr>
            <a:ln w="25400">
              <a:solidFill>
                <a:srgbClr val="4F81BD"/>
              </a:solidFill>
              <a:prstDash val="solid"/>
            </a:ln>
          </c:spPr>
          <c:marker>
            <c:symbol val="none"/>
          </c:marker>
          <c:val>
            <c:numRef>
              <c:f>兵消耗!$U$2:$U$21</c:f>
              <c:numCache>
                <c:formatCode>0.00%</c:formatCode>
                <c:ptCount val="20"/>
                <c:pt idx="0">
                  <c:v>0.47510000000000002</c:v>
                </c:pt>
                <c:pt idx="1">
                  <c:v>0.63759999999999994</c:v>
                </c:pt>
                <c:pt idx="2">
                  <c:v>0.68880000000000008</c:v>
                </c:pt>
                <c:pt idx="3">
                  <c:v>0.84560000000000002</c:v>
                </c:pt>
                <c:pt idx="4">
                  <c:v>1.0098</c:v>
                </c:pt>
                <c:pt idx="5">
                  <c:v>1.476</c:v>
                </c:pt>
                <c:pt idx="6">
                  <c:v>1.5563</c:v>
                </c:pt>
                <c:pt idx="7">
                  <c:v>0.69509999999999994</c:v>
                </c:pt>
                <c:pt idx="8">
                  <c:v>0.44080000000000003</c:v>
                </c:pt>
                <c:pt idx="9">
                  <c:v>0.29030000000000006</c:v>
                </c:pt>
                <c:pt idx="10">
                  <c:v>0.76910000000000001</c:v>
                </c:pt>
                <c:pt idx="11">
                  <c:v>0.82800000000000007</c:v>
                </c:pt>
                <c:pt idx="12">
                  <c:v>0.66079999999999994</c:v>
                </c:pt>
                <c:pt idx="13">
                  <c:v>0.41249999999999998</c:v>
                </c:pt>
                <c:pt idx="14">
                  <c:v>0.31559999999999999</c:v>
                </c:pt>
                <c:pt idx="15">
                  <c:v>0.20790000000000003</c:v>
                </c:pt>
                <c:pt idx="16">
                  <c:v>0.1628</c:v>
                </c:pt>
                <c:pt idx="17">
                  <c:v>0.11279999999999998</c:v>
                </c:pt>
                <c:pt idx="18">
                  <c:v>8.0500000000000002E-2</c:v>
                </c:pt>
                <c:pt idx="19">
                  <c:v>5.8899999999999994E-2</c:v>
                </c:pt>
              </c:numCache>
            </c:numRef>
          </c:val>
          <c:smooth val="0"/>
        </c:ser>
        <c:ser>
          <c:idx val="1"/>
          <c:order val="1"/>
          <c:tx>
            <c:strRef>
              <c:f>兵消耗!$V$1</c:f>
              <c:strCache>
                <c:ptCount val="1"/>
                <c:pt idx="0">
                  <c:v>所有兵种占木材比</c:v>
                </c:pt>
              </c:strCache>
            </c:strRef>
          </c:tx>
          <c:spPr>
            <a:ln w="25400">
              <a:solidFill>
                <a:srgbClr val="C0504D"/>
              </a:solidFill>
              <a:prstDash val="solid"/>
            </a:ln>
          </c:spPr>
          <c:marker>
            <c:symbol val="none"/>
          </c:marker>
          <c:val>
            <c:numRef>
              <c:f>兵消耗!$V$2:$V$21</c:f>
              <c:numCache>
                <c:formatCode>0.00%</c:formatCode>
                <c:ptCount val="20"/>
                <c:pt idx="0">
                  <c:v>0.41590000000000005</c:v>
                </c:pt>
                <c:pt idx="1">
                  <c:v>0.58030000000000004</c:v>
                </c:pt>
                <c:pt idx="2">
                  <c:v>0.64270000000000005</c:v>
                </c:pt>
                <c:pt idx="3">
                  <c:v>0.80289999999999995</c:v>
                </c:pt>
                <c:pt idx="4">
                  <c:v>1.0086999999999999</c:v>
                </c:pt>
                <c:pt idx="5">
                  <c:v>1.4660999999999997</c:v>
                </c:pt>
                <c:pt idx="6">
                  <c:v>1.544</c:v>
                </c:pt>
                <c:pt idx="7">
                  <c:v>0.68930000000000002</c:v>
                </c:pt>
                <c:pt idx="8">
                  <c:v>0.43689999999999996</c:v>
                </c:pt>
                <c:pt idx="9">
                  <c:v>0.28550000000000003</c:v>
                </c:pt>
                <c:pt idx="10">
                  <c:v>0.74430000000000007</c:v>
                </c:pt>
                <c:pt idx="11">
                  <c:v>0.79930000000000001</c:v>
                </c:pt>
                <c:pt idx="12">
                  <c:v>0.63760000000000006</c:v>
                </c:pt>
                <c:pt idx="13">
                  <c:v>0.39789999999999998</c:v>
                </c:pt>
                <c:pt idx="14">
                  <c:v>0.30470000000000003</c:v>
                </c:pt>
                <c:pt idx="15">
                  <c:v>0.20049999999999998</c:v>
                </c:pt>
                <c:pt idx="16">
                  <c:v>0.15720000000000001</c:v>
                </c:pt>
                <c:pt idx="17">
                  <c:v>0.10880000000000001</c:v>
                </c:pt>
                <c:pt idx="18">
                  <c:v>7.7700000000000005E-2</c:v>
                </c:pt>
                <c:pt idx="19">
                  <c:v>5.6799999999999996E-2</c:v>
                </c:pt>
              </c:numCache>
            </c:numRef>
          </c:val>
          <c:smooth val="0"/>
        </c:ser>
        <c:ser>
          <c:idx val="2"/>
          <c:order val="2"/>
          <c:tx>
            <c:strRef>
              <c:f>兵消耗!$W$1</c:f>
              <c:strCache>
                <c:ptCount val="1"/>
                <c:pt idx="0">
                  <c:v>所有兵种占铁矿比</c:v>
                </c:pt>
              </c:strCache>
            </c:strRef>
          </c:tx>
          <c:spPr>
            <a:ln w="25400">
              <a:solidFill>
                <a:srgbClr val="9BBB59"/>
              </a:solidFill>
              <a:prstDash val="solid"/>
            </a:ln>
          </c:spPr>
          <c:marker>
            <c:symbol val="none"/>
          </c:marker>
          <c:val>
            <c:numRef>
              <c:f>兵消耗!$W$2:$W$21</c:f>
              <c:numCache>
                <c:formatCode>0.00%</c:formatCode>
                <c:ptCount val="20"/>
                <c:pt idx="0">
                  <c:v>0.32240000000000002</c:v>
                </c:pt>
                <c:pt idx="1">
                  <c:v>0.4335</c:v>
                </c:pt>
                <c:pt idx="2">
                  <c:v>0.47189999999999999</c:v>
                </c:pt>
                <c:pt idx="3">
                  <c:v>0.59089999999999998</c:v>
                </c:pt>
                <c:pt idx="4">
                  <c:v>0.72940000000000005</c:v>
                </c:pt>
                <c:pt idx="5">
                  <c:v>1.1554</c:v>
                </c:pt>
                <c:pt idx="6">
                  <c:v>1.2</c:v>
                </c:pt>
                <c:pt idx="7">
                  <c:v>0.53110000000000002</c:v>
                </c:pt>
                <c:pt idx="8">
                  <c:v>0.33599999999999997</c:v>
                </c:pt>
                <c:pt idx="9">
                  <c:v>0.22650000000000001</c:v>
                </c:pt>
                <c:pt idx="10">
                  <c:v>0.62890000000000001</c:v>
                </c:pt>
                <c:pt idx="11">
                  <c:v>0.68140000000000001</c:v>
                </c:pt>
                <c:pt idx="12">
                  <c:v>0.5444</c:v>
                </c:pt>
                <c:pt idx="13">
                  <c:v>0.34</c:v>
                </c:pt>
                <c:pt idx="14">
                  <c:v>0.26029999999999998</c:v>
                </c:pt>
                <c:pt idx="15">
                  <c:v>0.17119999999999996</c:v>
                </c:pt>
                <c:pt idx="16">
                  <c:v>0.13450000000000001</c:v>
                </c:pt>
                <c:pt idx="17">
                  <c:v>9.3100000000000002E-2</c:v>
                </c:pt>
                <c:pt idx="18">
                  <c:v>6.6299999999999998E-2</c:v>
                </c:pt>
                <c:pt idx="19">
                  <c:v>4.8299999999999996E-2</c:v>
                </c:pt>
              </c:numCache>
            </c:numRef>
          </c:val>
          <c:smooth val="0"/>
        </c:ser>
        <c:dLbls>
          <c:showLegendKey val="0"/>
          <c:showVal val="0"/>
          <c:showCatName val="0"/>
          <c:showSerName val="0"/>
          <c:showPercent val="0"/>
          <c:showBubbleSize val="0"/>
        </c:dLbls>
        <c:marker val="1"/>
        <c:smooth val="0"/>
        <c:axId val="119121408"/>
        <c:axId val="119122944"/>
      </c:lineChart>
      <c:catAx>
        <c:axId val="119121408"/>
        <c:scaling>
          <c:orientation val="minMax"/>
        </c:scaling>
        <c:delete val="0"/>
        <c:axPos val="b"/>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宋体"/>
                <a:ea typeface="宋体"/>
                <a:cs typeface="宋体"/>
              </a:defRPr>
            </a:pPr>
            <a:endParaRPr lang="zh-CN"/>
          </a:p>
        </c:txPr>
        <c:crossAx val="119122944"/>
        <c:crosses val="autoZero"/>
        <c:auto val="0"/>
        <c:lblAlgn val="ctr"/>
        <c:lblOffset val="100"/>
        <c:tickLblSkip val="1"/>
        <c:tickMarkSkip val="1"/>
        <c:noMultiLvlLbl val="0"/>
      </c:catAx>
      <c:valAx>
        <c:axId val="119122944"/>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宋体"/>
                <a:ea typeface="宋体"/>
                <a:cs typeface="宋体"/>
              </a:defRPr>
            </a:pPr>
            <a:endParaRPr lang="zh-CN"/>
          </a:p>
        </c:txPr>
        <c:crossAx val="119121408"/>
        <c:crosses val="autoZero"/>
        <c:crossBetween val="between"/>
      </c:valAx>
      <c:spPr>
        <a:solidFill>
          <a:srgbClr val="FFFFFF"/>
        </a:solidFill>
        <a:ln>
          <a:noFill/>
        </a:ln>
      </c:spPr>
    </c:plotArea>
    <c:legend>
      <c:legendPos val="r"/>
      <c:legendEntry>
        <c:idx val="0"/>
        <c:txPr>
          <a:bodyPr/>
          <a:lstStyle/>
          <a:p>
            <a:pPr>
              <a:defRPr sz="1000" b="0" i="0" u="none" strike="noStrike" baseline="0">
                <a:solidFill>
                  <a:srgbClr val="000000"/>
                </a:solidFill>
                <a:latin typeface="宋体"/>
                <a:ea typeface="宋体"/>
                <a:cs typeface="宋体"/>
              </a:defRPr>
            </a:pPr>
            <a:endParaRPr lang="zh-CN"/>
          </a:p>
        </c:txPr>
      </c:legendEntry>
      <c:legendEntry>
        <c:idx val="1"/>
        <c:txPr>
          <a:bodyPr/>
          <a:lstStyle/>
          <a:p>
            <a:pPr>
              <a:defRPr sz="1000" b="0" i="0" u="none" strike="noStrike" baseline="0">
                <a:solidFill>
                  <a:srgbClr val="000000"/>
                </a:solidFill>
                <a:latin typeface="宋体"/>
                <a:ea typeface="宋体"/>
                <a:cs typeface="宋体"/>
              </a:defRPr>
            </a:pPr>
            <a:endParaRPr lang="zh-CN"/>
          </a:p>
        </c:txPr>
      </c:legendEntry>
      <c:legendEntry>
        <c:idx val="2"/>
        <c:txPr>
          <a:bodyPr/>
          <a:lstStyle/>
          <a:p>
            <a:pPr>
              <a:defRPr sz="1000" b="0" i="0" u="none" strike="noStrike" baseline="0">
                <a:solidFill>
                  <a:srgbClr val="000000"/>
                </a:solidFill>
                <a:latin typeface="宋体"/>
                <a:ea typeface="宋体"/>
                <a:cs typeface="宋体"/>
              </a:defRPr>
            </a:pPr>
            <a:endParaRPr lang="zh-CN"/>
          </a:p>
        </c:txPr>
      </c:legendEntry>
      <c:layout/>
      <c:overlay val="0"/>
      <c:spPr>
        <a:noFill/>
        <a:ln>
          <a:noFill/>
        </a:ln>
      </c:spPr>
      <c:txPr>
        <a:bodyPr/>
        <a:lstStyle/>
        <a:p>
          <a:pPr>
            <a:defRPr sz="1000" b="0" i="0" u="none" strike="noStrike" baseline="0">
              <a:solidFill>
                <a:srgbClr val="000000"/>
              </a:solidFill>
              <a:latin typeface="宋体"/>
              <a:ea typeface="宋体"/>
              <a:cs typeface="宋体"/>
            </a:defRPr>
          </a:pPr>
          <a:endParaRPr lang="zh-CN"/>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宋体"/>
          <a:ea typeface="宋体"/>
          <a:cs typeface="宋体"/>
        </a:defRPr>
      </a:pPr>
      <a:endParaRPr lang="zh-CN"/>
    </a:p>
  </c:txPr>
  <c:printSettings>
    <c:headerFooter/>
    <c:pageMargins b="0.75000000000000011" l="0.70000000000000007" r="0.70000000000000007" t="0.75000000000000011" header="0.30000000000000004" footer="0.30000000000000004"/>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276225</xdr:colOff>
      <xdr:row>3</xdr:row>
      <xdr:rowOff>66675</xdr:rowOff>
    </xdr:from>
    <xdr:to>
      <xdr:col>18</xdr:col>
      <xdr:colOff>381000</xdr:colOff>
      <xdr:row>19</xdr:row>
      <xdr:rowOff>66675</xdr:rowOff>
    </xdr:to>
    <xdr:graphicFrame macro="">
      <xdr:nvGraphicFramePr>
        <xdr:cNvPr id="2049"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685800</xdr:colOff>
      <xdr:row>3</xdr:row>
      <xdr:rowOff>76200</xdr:rowOff>
    </xdr:from>
    <xdr:to>
      <xdr:col>24</xdr:col>
      <xdr:colOff>657225</xdr:colOff>
      <xdr:row>19</xdr:row>
      <xdr:rowOff>76200</xdr:rowOff>
    </xdr:to>
    <xdr:graphicFrame macro="">
      <xdr:nvGraphicFramePr>
        <xdr:cNvPr id="2050"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20</xdr:col>
      <xdr:colOff>257175</xdr:colOff>
      <xdr:row>22</xdr:row>
      <xdr:rowOff>85725</xdr:rowOff>
    </xdr:from>
    <xdr:to>
      <xdr:col>26</xdr:col>
      <xdr:colOff>676275</xdr:colOff>
      <xdr:row>38</xdr:row>
      <xdr:rowOff>85725</xdr:rowOff>
    </xdr:to>
    <xdr:graphicFrame macro="">
      <xdr:nvGraphicFramePr>
        <xdr:cNvPr id="6145"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100000">
              <a:srgbClr val="9CBEE0"/>
            </a:gs>
            <a:gs pos="0">
              <a:srgbClr val="BBD5F0"/>
            </a:gs>
          </a:gsLst>
          <a:lin ang="5400000" scaled="0"/>
        </a:gradFill>
        <a:ln w="15875" cap="flat" cmpd="sng" algn="ctr">
          <a:solidFill>
            <a:srgbClr val="739CC3"/>
          </a:solidFill>
          <a:prstDash val="solid"/>
          <a:miter lim="200000"/>
        </a:ln>
      </a:spPr>
      <a:bodyPr/>
      <a:lstStyle/>
    </a:sp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31"/>
  <sheetViews>
    <sheetView topLeftCell="A211" workbookViewId="0">
      <selection activeCell="B227" sqref="B227"/>
    </sheetView>
  </sheetViews>
  <sheetFormatPr defaultColWidth="9" defaultRowHeight="13.5"/>
  <cols>
    <col min="1" max="1" width="120.125" style="1" customWidth="1"/>
    <col min="2" max="2" width="10.875" customWidth="1"/>
    <col min="3" max="3" width="12.375" customWidth="1"/>
    <col min="5" max="5" width="10.5" bestFit="1" customWidth="1"/>
  </cols>
  <sheetData>
    <row r="1" spans="1:7" s="9" customFormat="1"/>
    <row r="2" spans="1:7">
      <c r="A2" s="76"/>
    </row>
    <row r="3" spans="1:7">
      <c r="A3" s="76" t="s">
        <v>0</v>
      </c>
      <c r="B3" s="5">
        <v>0.95</v>
      </c>
    </row>
    <row r="4" spans="1:7">
      <c r="A4" s="76" t="s">
        <v>1</v>
      </c>
      <c r="B4" s="66">
        <v>4</v>
      </c>
    </row>
    <row r="5" spans="1:7">
      <c r="A5" s="76"/>
      <c r="B5" s="66"/>
      <c r="C5" t="s">
        <v>1074</v>
      </c>
      <c r="D5" t="s">
        <v>1075</v>
      </c>
      <c r="E5" t="s">
        <v>1076</v>
      </c>
      <c r="F5" t="s">
        <v>1077</v>
      </c>
      <c r="G5" t="s">
        <v>1078</v>
      </c>
    </row>
    <row r="6" spans="1:7">
      <c r="A6" s="76" t="s">
        <v>1073</v>
      </c>
      <c r="B6" s="5">
        <f>1-SUM(C6:G6)</f>
        <v>0.57466666666666666</v>
      </c>
      <c r="C6" s="5">
        <f>(B91+B97+B103)/3*50%</f>
        <v>0.2416666666666667</v>
      </c>
      <c r="D6" s="5">
        <f>(B92+B98+B104)/3*30%</f>
        <v>7.0000000000000001E-3</v>
      </c>
      <c r="E6" s="5">
        <f>(B93+B99+B105)/3*40%</f>
        <v>2.6666666666666668E-2</v>
      </c>
      <c r="F6" s="5">
        <v>0.1</v>
      </c>
      <c r="G6" s="5">
        <v>0.05</v>
      </c>
    </row>
    <row r="7" spans="1:7">
      <c r="A7" s="76" t="s">
        <v>1156</v>
      </c>
      <c r="B7">
        <v>20</v>
      </c>
      <c r="C7" s="5"/>
      <c r="D7" s="5"/>
      <c r="E7" s="5"/>
      <c r="F7" s="5"/>
      <c r="G7" s="5"/>
    </row>
    <row r="8" spans="1:7">
      <c r="A8" s="76"/>
    </row>
    <row r="9" spans="1:7">
      <c r="A9" s="13" t="s">
        <v>2</v>
      </c>
    </row>
    <row r="10" spans="1:7" s="46" customFormat="1">
      <c r="A10" s="75" t="s">
        <v>3</v>
      </c>
    </row>
    <row r="11" spans="1:7">
      <c r="A11" s="77" t="s">
        <v>4</v>
      </c>
    </row>
    <row r="12" spans="1:7">
      <c r="A12" s="77" t="s">
        <v>5</v>
      </c>
    </row>
    <row r="14" spans="1:7">
      <c r="A14" s="76" t="s">
        <v>6</v>
      </c>
    </row>
    <row r="15" spans="1:7">
      <c r="A15" s="1" t="s">
        <v>7</v>
      </c>
    </row>
    <row r="16" spans="1:7">
      <c r="A16" s="77" t="s">
        <v>8</v>
      </c>
    </row>
    <row r="17" spans="1:2">
      <c r="A17" s="77" t="s">
        <v>9</v>
      </c>
      <c r="B17">
        <f>兵攻防!AM22</f>
        <v>0.5</v>
      </c>
    </row>
    <row r="18" spans="1:2">
      <c r="A18" s="77" t="s">
        <v>10</v>
      </c>
    </row>
    <row r="20" spans="1:2">
      <c r="A20" s="76" t="s">
        <v>11</v>
      </c>
    </row>
    <row r="21" spans="1:2">
      <c r="A21" s="1" t="s">
        <v>12</v>
      </c>
    </row>
    <row r="23" spans="1:2">
      <c r="A23" s="76" t="s">
        <v>13</v>
      </c>
    </row>
    <row r="24" spans="1:2">
      <c r="A24" s="1" t="s">
        <v>14</v>
      </c>
    </row>
    <row r="25" spans="1:2">
      <c r="A25" s="1" t="s">
        <v>15</v>
      </c>
    </row>
    <row r="26" spans="1:2">
      <c r="A26" s="1" t="s">
        <v>16</v>
      </c>
      <c r="B26">
        <f>B181</f>
        <v>150</v>
      </c>
    </row>
    <row r="28" spans="1:2">
      <c r="A28" s="76" t="s">
        <v>17</v>
      </c>
    </row>
    <row r="29" spans="1:2">
      <c r="A29" s="1" t="s">
        <v>18</v>
      </c>
    </row>
    <row r="30" spans="1:2">
      <c r="A30" s="1" t="s">
        <v>19</v>
      </c>
    </row>
    <row r="31" spans="1:2">
      <c r="A31" s="1" t="s">
        <v>20</v>
      </c>
      <c r="B31">
        <v>100</v>
      </c>
    </row>
    <row r="32" spans="1:2">
      <c r="A32" s="1" t="s">
        <v>21</v>
      </c>
      <c r="B32">
        <v>0</v>
      </c>
    </row>
    <row r="34" spans="1:2" s="46" customFormat="1">
      <c r="A34" s="75" t="s">
        <v>22</v>
      </c>
    </row>
    <row r="35" spans="1:2">
      <c r="A35" s="1" t="s">
        <v>23</v>
      </c>
    </row>
    <row r="37" spans="1:2">
      <c r="A37" s="76" t="s">
        <v>24</v>
      </c>
    </row>
    <row r="38" spans="1:2">
      <c r="A38" s="1" t="s">
        <v>25</v>
      </c>
    </row>
    <row r="39" spans="1:2">
      <c r="A39" s="1" t="s">
        <v>9</v>
      </c>
      <c r="B39">
        <f>兵攻防!AM22</f>
        <v>0.5</v>
      </c>
    </row>
    <row r="41" spans="1:2">
      <c r="A41" s="76" t="s">
        <v>26</v>
      </c>
    </row>
    <row r="42" spans="1:2">
      <c r="A42" s="1" t="s">
        <v>27</v>
      </c>
    </row>
    <row r="44" spans="1:2" s="46" customFormat="1">
      <c r="A44" s="75" t="s">
        <v>28</v>
      </c>
    </row>
    <row r="45" spans="1:2" ht="27">
      <c r="A45" s="1" t="s">
        <v>29</v>
      </c>
    </row>
    <row r="46" spans="1:2">
      <c r="A46" s="1" t="s">
        <v>30</v>
      </c>
      <c r="B46">
        <f>兵攻防!AN22</f>
        <v>0.15</v>
      </c>
    </row>
    <row r="47" spans="1:2">
      <c r="A47" s="1" t="s">
        <v>31</v>
      </c>
      <c r="B47">
        <f>兵攻防!AO22</f>
        <v>6000</v>
      </c>
    </row>
    <row r="48" spans="1:2">
      <c r="A48" s="1" t="s">
        <v>32</v>
      </c>
      <c r="B48">
        <f>兵攻防!AP22</f>
        <v>500</v>
      </c>
    </row>
    <row r="49" spans="1:5">
      <c r="A49" s="1" t="s">
        <v>33</v>
      </c>
      <c r="B49">
        <f>兵攻防!AQ22</f>
        <v>20000</v>
      </c>
    </row>
    <row r="51" spans="1:5">
      <c r="A51" s="76" t="s">
        <v>34</v>
      </c>
    </row>
    <row r="52" spans="1:5">
      <c r="A52" s="1" t="s">
        <v>35</v>
      </c>
    </row>
    <row r="53" spans="1:5">
      <c r="A53" s="1" t="s">
        <v>36</v>
      </c>
      <c r="B53">
        <v>5</v>
      </c>
    </row>
    <row r="54" spans="1:5">
      <c r="A54" s="1" t="s">
        <v>37</v>
      </c>
      <c r="B54">
        <f>ROUND(AVERAGEA(C54:E54),4)</f>
        <v>3.4260000000000002</v>
      </c>
      <c r="C54">
        <f>ROUND(AVERAGE(兵攻防!F53,兵攻防!F37,兵攻防!F45,兵攻防!F61,兵攻防!F69,兵攻防!F77,兵攻防!F85,兵攻防!F93,兵攻防!F101)/5000,4)</f>
        <v>3.7559</v>
      </c>
      <c r="D54">
        <f>ROUND(AVERAGE(兵攻防!F28,兵攻防!F36,兵攻防!F44,兵攻防!F52,兵攻防!F60,兵攻防!F68,兵攻防!F76,兵攻防!F84,兵攻防!F92,兵攻防!F100)/2000,4)</f>
        <v>3.3224999999999998</v>
      </c>
      <c r="E54">
        <f>ROUND(AVERAGE(兵攻防!F35,兵攻防!F43,兵攻防!F51,兵攻防!F59,兵攻防!F67,兵攻防!F75,兵攻防!F83,兵攻防!F91,兵攻防!F99)/1000,4)</f>
        <v>3.1997</v>
      </c>
    </row>
    <row r="55" spans="1:5">
      <c r="A55" s="1" t="s">
        <v>38</v>
      </c>
      <c r="B55" s="5">
        <v>0.3</v>
      </c>
    </row>
    <row r="56" spans="1:5">
      <c r="A56" s="1" t="s">
        <v>39</v>
      </c>
      <c r="B56">
        <v>5</v>
      </c>
    </row>
    <row r="58" spans="1:5" s="46" customFormat="1">
      <c r="A58" s="75" t="s">
        <v>40</v>
      </c>
    </row>
    <row r="59" spans="1:5">
      <c r="A59" s="77" t="s">
        <v>41</v>
      </c>
    </row>
    <row r="61" spans="1:5" s="46" customFormat="1">
      <c r="A61" s="75" t="s">
        <v>42</v>
      </c>
    </row>
    <row r="62" spans="1:5">
      <c r="A62" s="1" t="s">
        <v>43</v>
      </c>
    </row>
    <row r="63" spans="1:5">
      <c r="A63" s="1" t="s">
        <v>44</v>
      </c>
    </row>
    <row r="65" spans="1:2" s="46" customFormat="1">
      <c r="A65" s="75" t="s">
        <v>45</v>
      </c>
    </row>
    <row r="66" spans="1:2">
      <c r="A66" s="1" t="s">
        <v>46</v>
      </c>
    </row>
    <row r="68" spans="1:2" s="46" customFormat="1">
      <c r="A68" s="75" t="s">
        <v>47</v>
      </c>
    </row>
    <row r="69" spans="1:2">
      <c r="A69" s="1" t="s">
        <v>48</v>
      </c>
    </row>
    <row r="71" spans="1:2">
      <c r="A71" s="76" t="s">
        <v>49</v>
      </c>
    </row>
    <row r="72" spans="1:2">
      <c r="A72" s="1" t="s">
        <v>50</v>
      </c>
    </row>
    <row r="73" spans="1:2">
      <c r="A73" s="1" t="s">
        <v>51</v>
      </c>
      <c r="B73">
        <f>兵攻防!BG32</f>
        <v>300</v>
      </c>
    </row>
    <row r="74" spans="1:2">
      <c r="A74" s="1" t="s">
        <v>52</v>
      </c>
      <c r="B74">
        <f>兵攻防!BH32</f>
        <v>60000</v>
      </c>
    </row>
    <row r="75" spans="1:2">
      <c r="A75" s="1" t="s">
        <v>33</v>
      </c>
      <c r="B75">
        <f>兵攻防!AQ32</f>
        <v>20000</v>
      </c>
    </row>
    <row r="77" spans="1:2">
      <c r="A77" s="76" t="s">
        <v>53</v>
      </c>
    </row>
    <row r="78" spans="1:2" ht="27">
      <c r="A78" s="1" t="s">
        <v>54</v>
      </c>
    </row>
    <row r="79" spans="1:2">
      <c r="A79" s="1" t="s">
        <v>55</v>
      </c>
      <c r="B79">
        <f>兵攻防!BI32</f>
        <v>200</v>
      </c>
    </row>
    <row r="80" spans="1:2">
      <c r="A80" s="1" t="s">
        <v>56</v>
      </c>
      <c r="B80">
        <f>兵攻防!BJ32</f>
        <v>11500</v>
      </c>
    </row>
    <row r="82" spans="1:2">
      <c r="A82" s="76" t="s">
        <v>57</v>
      </c>
    </row>
    <row r="83" spans="1:2">
      <c r="A83" s="1" t="s">
        <v>58</v>
      </c>
    </row>
    <row r="84" spans="1:2">
      <c r="A84" s="1" t="s">
        <v>59</v>
      </c>
    </row>
    <row r="86" spans="1:2">
      <c r="A86" s="76" t="s">
        <v>60</v>
      </c>
      <c r="B86">
        <v>1.7</v>
      </c>
    </row>
    <row r="87" spans="1:2">
      <c r="A87" s="76" t="s">
        <v>61</v>
      </c>
      <c r="B87" s="5">
        <v>0.03</v>
      </c>
    </row>
    <row r="88" spans="1:2">
      <c r="A88" s="76" t="s">
        <v>62</v>
      </c>
      <c r="B88">
        <v>0.8</v>
      </c>
    </row>
    <row r="90" spans="1:2" s="46" customFormat="1">
      <c r="A90" s="75" t="s">
        <v>63</v>
      </c>
    </row>
    <row r="91" spans="1:2">
      <c r="A91" s="1" t="s">
        <v>64</v>
      </c>
      <c r="B91" s="5">
        <v>0.5</v>
      </c>
    </row>
    <row r="92" spans="1:2">
      <c r="A92" s="80" t="s">
        <v>65</v>
      </c>
      <c r="B92" s="81">
        <v>0.03</v>
      </c>
    </row>
    <row r="93" spans="1:2">
      <c r="A93" s="80" t="s">
        <v>66</v>
      </c>
      <c r="B93" s="81">
        <v>7.0000000000000007E-2</v>
      </c>
    </row>
    <row r="94" spans="1:2">
      <c r="A94" s="1" t="s">
        <v>67</v>
      </c>
      <c r="B94" s="5">
        <v>0.2</v>
      </c>
    </row>
    <row r="95" spans="1:2">
      <c r="B95" s="5"/>
    </row>
    <row r="96" spans="1:2" s="46" customFormat="1">
      <c r="A96" s="75" t="s">
        <v>68</v>
      </c>
      <c r="B96" s="78"/>
    </row>
    <row r="97" spans="1:2">
      <c r="A97" s="1" t="s">
        <v>64</v>
      </c>
      <c r="B97" s="5">
        <v>0.55000000000000004</v>
      </c>
    </row>
    <row r="98" spans="1:2">
      <c r="A98" s="80" t="s">
        <v>65</v>
      </c>
      <c r="B98" s="81">
        <v>0.02</v>
      </c>
    </row>
    <row r="99" spans="1:2">
      <c r="A99" s="80" t="s">
        <v>66</v>
      </c>
      <c r="B99" s="81">
        <v>7.0000000000000007E-2</v>
      </c>
    </row>
    <row r="100" spans="1:2">
      <c r="A100" s="1" t="s">
        <v>69</v>
      </c>
      <c r="B100" s="5">
        <v>0.2</v>
      </c>
    </row>
    <row r="101" spans="1:2">
      <c r="B101" s="5"/>
    </row>
    <row r="102" spans="1:2" s="46" customFormat="1">
      <c r="A102" s="75" t="s">
        <v>70</v>
      </c>
      <c r="B102" s="78"/>
    </row>
    <row r="103" spans="1:2">
      <c r="A103" s="1" t="s">
        <v>64</v>
      </c>
      <c r="B103" s="5">
        <v>0.4</v>
      </c>
    </row>
    <row r="104" spans="1:2">
      <c r="A104" s="80" t="s">
        <v>65</v>
      </c>
      <c r="B104" s="81">
        <v>0.02</v>
      </c>
    </row>
    <row r="105" spans="1:2">
      <c r="A105" s="80" t="s">
        <v>66</v>
      </c>
      <c r="B105" s="81">
        <v>0.06</v>
      </c>
    </row>
    <row r="106" spans="1:2">
      <c r="A106" s="1" t="s">
        <v>69</v>
      </c>
      <c r="B106" s="5">
        <v>0.4</v>
      </c>
    </row>
    <row r="108" spans="1:2" s="46" customFormat="1">
      <c r="A108" s="75" t="s">
        <v>71</v>
      </c>
      <c r="B108" s="78"/>
    </row>
    <row r="109" spans="1:2">
      <c r="A109" s="1" t="s">
        <v>69</v>
      </c>
      <c r="B109" s="5">
        <v>0.35</v>
      </c>
    </row>
    <row r="110" spans="1:2">
      <c r="A110" s="1" t="s">
        <v>72</v>
      </c>
      <c r="B110" s="5">
        <v>0.15</v>
      </c>
    </row>
    <row r="111" spans="1:2">
      <c r="A111" s="1" t="s">
        <v>73</v>
      </c>
      <c r="B111" s="5">
        <v>0.1</v>
      </c>
    </row>
    <row r="112" spans="1:2">
      <c r="A112" s="1" t="s">
        <v>74</v>
      </c>
      <c r="B112" s="5">
        <v>0.05</v>
      </c>
    </row>
    <row r="113" spans="1:2">
      <c r="A113" s="1" t="s">
        <v>75</v>
      </c>
      <c r="B113" s="5">
        <v>0.35</v>
      </c>
    </row>
    <row r="115" spans="1:2">
      <c r="A115" s="76" t="s">
        <v>76</v>
      </c>
      <c r="B115" s="5">
        <v>0.65</v>
      </c>
    </row>
    <row r="117" spans="1:2">
      <c r="A117" s="76" t="s">
        <v>77</v>
      </c>
      <c r="B117" s="10">
        <f>兵消耗!G231</f>
        <v>1125000</v>
      </c>
    </row>
    <row r="118" spans="1:2">
      <c r="A118" s="76" t="s">
        <v>78</v>
      </c>
      <c r="B118" s="10">
        <f>ROUND(B117/B26,0)</f>
        <v>7500</v>
      </c>
    </row>
    <row r="120" spans="1:2" s="75" customFormat="1">
      <c r="A120" s="75" t="s">
        <v>79</v>
      </c>
    </row>
    <row r="121" spans="1:2">
      <c r="A121" s="1" t="s">
        <v>80</v>
      </c>
      <c r="B121" s="5">
        <v>0.1</v>
      </c>
    </row>
    <row r="122" spans="1:2">
      <c r="A122" s="1" t="s">
        <v>81</v>
      </c>
      <c r="B122" s="5">
        <v>0.09</v>
      </c>
    </row>
    <row r="123" spans="1:2">
      <c r="A123" s="1" t="s">
        <v>82</v>
      </c>
      <c r="B123" s="5">
        <v>0.06</v>
      </c>
    </row>
    <row r="124" spans="1:2">
      <c r="A124" s="1" t="s">
        <v>83</v>
      </c>
      <c r="B124" s="5">
        <v>0.06</v>
      </c>
    </row>
    <row r="125" spans="1:2">
      <c r="A125" s="1" t="s">
        <v>84</v>
      </c>
      <c r="B125" s="5">
        <v>0.08</v>
      </c>
    </row>
    <row r="126" spans="1:2">
      <c r="A126" s="1" t="s">
        <v>85</v>
      </c>
      <c r="B126" s="5">
        <v>0.08</v>
      </c>
    </row>
    <row r="127" spans="1:2">
      <c r="A127" s="1" t="s">
        <v>86</v>
      </c>
      <c r="B127" s="5">
        <v>0.05</v>
      </c>
    </row>
    <row r="128" spans="1:2">
      <c r="A128" s="1" t="s">
        <v>87</v>
      </c>
      <c r="B128" s="5">
        <v>0.04</v>
      </c>
    </row>
    <row r="129" spans="1:2">
      <c r="A129" s="1" t="s">
        <v>88</v>
      </c>
      <c r="B129" s="5">
        <v>0.04</v>
      </c>
    </row>
    <row r="130" spans="1:2">
      <c r="A130" s="1" t="s">
        <v>89</v>
      </c>
      <c r="B130" s="5">
        <v>0.04</v>
      </c>
    </row>
    <row r="131" spans="1:2">
      <c r="A131" s="1" t="s">
        <v>90</v>
      </c>
      <c r="B131" s="5">
        <v>7.0000000000000007E-2</v>
      </c>
    </row>
    <row r="132" spans="1:2">
      <c r="A132" s="1" t="s">
        <v>91</v>
      </c>
      <c r="B132" s="5">
        <v>0.03</v>
      </c>
    </row>
    <row r="133" spans="1:2">
      <c r="A133" s="1" t="s">
        <v>92</v>
      </c>
      <c r="B133" s="5">
        <v>3.5000000000000003E-2</v>
      </c>
    </row>
    <row r="134" spans="1:2">
      <c r="A134" s="1" t="s">
        <v>93</v>
      </c>
      <c r="B134" s="5">
        <v>0.04</v>
      </c>
    </row>
    <row r="135" spans="1:2">
      <c r="A135" s="1" t="s">
        <v>94</v>
      </c>
      <c r="B135" s="5">
        <v>0.04</v>
      </c>
    </row>
    <row r="136" spans="1:2">
      <c r="B136" s="5">
        <f>SUM(B121:B131)+2*SUM(B132:B135)</f>
        <v>1.0000000000000002</v>
      </c>
    </row>
    <row r="137" spans="1:2">
      <c r="A137" s="1" t="s">
        <v>95</v>
      </c>
      <c r="B137" s="66">
        <f>COUNT(B121:B135)</f>
        <v>15</v>
      </c>
    </row>
    <row r="138" spans="1:2">
      <c r="B138" s="66"/>
    </row>
    <row r="139" spans="1:2" s="75" customFormat="1">
      <c r="A139" s="75" t="s">
        <v>96</v>
      </c>
    </row>
    <row r="140" spans="1:2">
      <c r="A140" s="1" t="s">
        <v>80</v>
      </c>
      <c r="B140" s="66">
        <v>1</v>
      </c>
    </row>
    <row r="141" spans="1:2">
      <c r="A141" s="1" t="s">
        <v>81</v>
      </c>
      <c r="B141" s="66">
        <v>1</v>
      </c>
    </row>
    <row r="142" spans="1:2">
      <c r="A142" s="1" t="s">
        <v>82</v>
      </c>
      <c r="B142" s="66">
        <v>1</v>
      </c>
    </row>
    <row r="143" spans="1:2">
      <c r="A143" s="1" t="s">
        <v>83</v>
      </c>
      <c r="B143" s="66">
        <v>1</v>
      </c>
    </row>
    <row r="144" spans="1:2">
      <c r="A144" s="1" t="s">
        <v>84</v>
      </c>
      <c r="B144" s="66">
        <v>1</v>
      </c>
    </row>
    <row r="145" spans="1:2">
      <c r="A145" s="1" t="s">
        <v>85</v>
      </c>
      <c r="B145" s="66">
        <v>1</v>
      </c>
    </row>
    <row r="146" spans="1:2">
      <c r="A146" s="1" t="s">
        <v>86</v>
      </c>
      <c r="B146" s="66">
        <v>1</v>
      </c>
    </row>
    <row r="147" spans="1:2">
      <c r="A147" s="1" t="s">
        <v>87</v>
      </c>
      <c r="B147" s="66">
        <v>1</v>
      </c>
    </row>
    <row r="148" spans="1:2">
      <c r="A148" s="1" t="s">
        <v>88</v>
      </c>
      <c r="B148" s="66">
        <v>1</v>
      </c>
    </row>
    <row r="149" spans="1:2">
      <c r="A149" s="1" t="s">
        <v>89</v>
      </c>
      <c r="B149" s="66">
        <v>1</v>
      </c>
    </row>
    <row r="150" spans="1:2">
      <c r="A150" s="1" t="s">
        <v>90</v>
      </c>
      <c r="B150" s="66">
        <v>1</v>
      </c>
    </row>
    <row r="151" spans="1:2">
      <c r="A151" s="1" t="s">
        <v>91</v>
      </c>
      <c r="B151" s="66">
        <v>2</v>
      </c>
    </row>
    <row r="152" spans="1:2">
      <c r="A152" s="1" t="s">
        <v>92</v>
      </c>
      <c r="B152" s="66">
        <v>2</v>
      </c>
    </row>
    <row r="153" spans="1:2">
      <c r="A153" s="1" t="s">
        <v>93</v>
      </c>
      <c r="B153" s="66">
        <v>2</v>
      </c>
    </row>
    <row r="154" spans="1:2">
      <c r="A154" s="1" t="s">
        <v>94</v>
      </c>
      <c r="B154" s="66">
        <v>2</v>
      </c>
    </row>
    <row r="155" spans="1:2">
      <c r="B155" s="66"/>
    </row>
    <row r="156" spans="1:2" s="75" customFormat="1">
      <c r="A156" s="75" t="s">
        <v>97</v>
      </c>
    </row>
    <row r="157" spans="1:2">
      <c r="A157" s="1" t="s">
        <v>98</v>
      </c>
    </row>
    <row r="158" spans="1:2">
      <c r="A158" s="1" t="s">
        <v>99</v>
      </c>
    </row>
    <row r="159" spans="1:2">
      <c r="A159" s="76" t="s">
        <v>100</v>
      </c>
      <c r="B159" s="66">
        <v>13</v>
      </c>
    </row>
    <row r="160" spans="1:2">
      <c r="B160" s="66"/>
    </row>
    <row r="161" spans="1:2">
      <c r="A161" s="1" t="s">
        <v>101</v>
      </c>
      <c r="B161" s="5">
        <v>0.5</v>
      </c>
    </row>
    <row r="162" spans="1:2">
      <c r="A162" s="1" t="s">
        <v>102</v>
      </c>
      <c r="B162" s="5">
        <v>0.5</v>
      </c>
    </row>
    <row r="163" spans="1:2">
      <c r="A163" s="1" t="s">
        <v>80</v>
      </c>
      <c r="B163" s="5">
        <v>0.05</v>
      </c>
    </row>
    <row r="164" spans="1:2">
      <c r="A164" s="1" t="s">
        <v>81</v>
      </c>
      <c r="B164" s="5">
        <v>0.02</v>
      </c>
    </row>
    <row r="165" spans="1:2">
      <c r="A165" s="1" t="s">
        <v>82</v>
      </c>
      <c r="B165" s="5">
        <v>3.5000000000000003E-2</v>
      </c>
    </row>
    <row r="166" spans="1:2">
      <c r="A166" s="1" t="s">
        <v>83</v>
      </c>
      <c r="B166" s="5">
        <v>0.04</v>
      </c>
    </row>
    <row r="167" spans="1:2">
      <c r="A167" s="1" t="s">
        <v>84</v>
      </c>
      <c r="B167" s="5">
        <v>7.4999999999999997E-2</v>
      </c>
    </row>
    <row r="168" spans="1:2">
      <c r="A168" s="1" t="s">
        <v>85</v>
      </c>
      <c r="B168" s="5">
        <v>0.05</v>
      </c>
    </row>
    <row r="169" spans="1:2">
      <c r="A169" s="1" t="s">
        <v>86</v>
      </c>
      <c r="B169" s="5">
        <v>0.05</v>
      </c>
    </row>
    <row r="170" spans="1:2">
      <c r="A170" s="1" t="s">
        <v>87</v>
      </c>
      <c r="B170" s="5">
        <v>3.5000000000000003E-2</v>
      </c>
    </row>
    <row r="171" spans="1:2">
      <c r="A171" s="1" t="s">
        <v>88</v>
      </c>
      <c r="B171" s="5">
        <v>0.05</v>
      </c>
    </row>
    <row r="172" spans="1:2">
      <c r="A172" s="1" t="s">
        <v>89</v>
      </c>
      <c r="B172" s="5">
        <v>1.4999999999999999E-2</v>
      </c>
    </row>
    <row r="173" spans="1:2">
      <c r="A173" s="1" t="s">
        <v>90</v>
      </c>
      <c r="B173" s="5">
        <v>0.02</v>
      </c>
    </row>
    <row r="174" spans="1:2">
      <c r="A174" s="1" t="s">
        <v>91</v>
      </c>
      <c r="B174" s="5">
        <v>7.4999999999999997E-2</v>
      </c>
    </row>
    <row r="175" spans="1:2">
      <c r="A175" s="1" t="s">
        <v>92</v>
      </c>
      <c r="B175" s="5">
        <v>8.5000000000000006E-2</v>
      </c>
    </row>
    <row r="176" spans="1:2">
      <c r="A176" s="1" t="s">
        <v>93</v>
      </c>
      <c r="B176" s="5">
        <v>0.1</v>
      </c>
    </row>
    <row r="177" spans="1:2">
      <c r="A177" s="1" t="s">
        <v>94</v>
      </c>
      <c r="B177" s="5">
        <v>0.02</v>
      </c>
    </row>
    <row r="178" spans="1:2">
      <c r="B178" s="5">
        <f>SUM(B163:B173)+2*SUM(B174:B177)</f>
        <v>1</v>
      </c>
    </row>
    <row r="179" spans="1:2">
      <c r="B179" s="66"/>
    </row>
    <row r="180" spans="1:2" s="75" customFormat="1">
      <c r="A180" s="75" t="s">
        <v>103</v>
      </c>
    </row>
    <row r="181" spans="1:2">
      <c r="A181" s="1" t="s">
        <v>104</v>
      </c>
      <c r="B181">
        <v>150</v>
      </c>
    </row>
    <row r="182" spans="1:2">
      <c r="A182" s="1" t="s">
        <v>105</v>
      </c>
      <c r="B182">
        <v>30</v>
      </c>
    </row>
    <row r="183" spans="1:2">
      <c r="A183" s="1" t="s">
        <v>106</v>
      </c>
      <c r="B183">
        <v>150</v>
      </c>
    </row>
    <row r="184" spans="1:2">
      <c r="A184" s="1" t="s">
        <v>107</v>
      </c>
      <c r="B184">
        <v>30</v>
      </c>
    </row>
    <row r="185" spans="1:2">
      <c r="A185" s="1" t="s">
        <v>108</v>
      </c>
      <c r="B185">
        <v>150</v>
      </c>
    </row>
    <row r="186" spans="1:2">
      <c r="A186" s="1" t="s">
        <v>109</v>
      </c>
      <c r="B186">
        <v>30</v>
      </c>
    </row>
    <row r="187" spans="1:2">
      <c r="A187" s="1" t="s">
        <v>110</v>
      </c>
      <c r="B187" s="5">
        <f>ROUND(100/B185/100,6)</f>
        <v>6.6670000000000002E-3</v>
      </c>
    </row>
    <row r="188" spans="1:2">
      <c r="A188" s="1" t="s">
        <v>111</v>
      </c>
      <c r="B188">
        <v>20</v>
      </c>
    </row>
    <row r="189" spans="1:2">
      <c r="A189" s="1" t="s">
        <v>1157</v>
      </c>
      <c r="B189">
        <v>30</v>
      </c>
    </row>
    <row r="191" spans="1:2" s="75" customFormat="1">
      <c r="A191" s="75" t="s">
        <v>1161</v>
      </c>
    </row>
    <row r="192" spans="1:2">
      <c r="A192" s="1" t="s">
        <v>1055</v>
      </c>
    </row>
    <row r="193" spans="1:5">
      <c r="A193" s="76" t="s">
        <v>1052</v>
      </c>
      <c r="B193" s="87" t="s">
        <v>1083</v>
      </c>
    </row>
    <row r="194" spans="1:5">
      <c r="A194" s="1" t="s">
        <v>1063</v>
      </c>
    </row>
    <row r="195" spans="1:5">
      <c r="A195" s="1" t="s">
        <v>1064</v>
      </c>
      <c r="B195" s="5">
        <f>((SUM(B92:B93)+SUM(B98:B99)+SUM(B104:B105))/3*B197)/(1-建筑!G170-B196)</f>
        <v>0.40000000000000008</v>
      </c>
    </row>
    <row r="196" spans="1:5">
      <c r="A196" s="1" t="s">
        <v>1084</v>
      </c>
      <c r="B196" s="5">
        <v>0.25</v>
      </c>
    </row>
    <row r="197" spans="1:5">
      <c r="A197" s="1" t="s">
        <v>1069</v>
      </c>
      <c r="B197" s="5">
        <v>2</v>
      </c>
    </row>
    <row r="198" spans="1:5">
      <c r="A198" s="76" t="s">
        <v>1162</v>
      </c>
      <c r="B198" s="87" t="s">
        <v>1166</v>
      </c>
    </row>
    <row r="199" spans="1:5">
      <c r="A199" s="77" t="s">
        <v>1163</v>
      </c>
      <c r="B199" t="s">
        <v>1081</v>
      </c>
      <c r="C199">
        <f>ROUND(POWER(25,2)/B200*100,0)</f>
        <v>1</v>
      </c>
      <c r="D199" t="s">
        <v>1082</v>
      </c>
      <c r="E199">
        <f>ROUND(POWER(B200,2)/B200*100,0)</f>
        <v>4500000</v>
      </c>
    </row>
    <row r="200" spans="1:5">
      <c r="A200" s="1" t="s">
        <v>1080</v>
      </c>
      <c r="B200">
        <v>45000</v>
      </c>
    </row>
    <row r="201" spans="1:5">
      <c r="A201" s="1" t="s">
        <v>1165</v>
      </c>
      <c r="B201">
        <v>1.5</v>
      </c>
    </row>
    <row r="202" spans="1:5">
      <c r="A202" s="1" t="s">
        <v>1164</v>
      </c>
      <c r="B202">
        <v>100</v>
      </c>
    </row>
    <row r="203" spans="1:5" s="85" customFormat="1">
      <c r="A203" s="83" t="s">
        <v>1053</v>
      </c>
      <c r="B203" s="84"/>
      <c r="C203" s="85" t="s">
        <v>1079</v>
      </c>
    </row>
    <row r="204" spans="1:5">
      <c r="A204" s="76" t="s">
        <v>1054</v>
      </c>
      <c r="B204" s="5"/>
    </row>
    <row r="205" spans="1:5" s="86" customFormat="1" ht="40.5">
      <c r="A205" s="77" t="s">
        <v>1127</v>
      </c>
      <c r="B205" s="88"/>
    </row>
    <row r="206" spans="1:5" s="86" customFormat="1">
      <c r="A206" s="77" t="s">
        <v>1126</v>
      </c>
      <c r="B206">
        <v>500</v>
      </c>
    </row>
    <row r="207" spans="1:5" s="86" customFormat="1">
      <c r="A207" s="77" t="s">
        <v>1091</v>
      </c>
      <c r="B207">
        <v>1</v>
      </c>
    </row>
    <row r="208" spans="1:5" s="86" customFormat="1">
      <c r="A208" s="77" t="s">
        <v>1092</v>
      </c>
      <c r="B208">
        <v>0.5</v>
      </c>
    </row>
    <row r="209" spans="1:2" s="86" customFormat="1">
      <c r="A209" s="77" t="s">
        <v>1130</v>
      </c>
      <c r="B209">
        <v>20000</v>
      </c>
    </row>
    <row r="210" spans="1:2" s="86" customFormat="1">
      <c r="A210" s="77" t="s">
        <v>1128</v>
      </c>
      <c r="B210">
        <v>0.8</v>
      </c>
    </row>
    <row r="211" spans="1:2" s="86" customFormat="1">
      <c r="A211" s="77" t="s">
        <v>1129</v>
      </c>
      <c r="B211">
        <v>300</v>
      </c>
    </row>
    <row r="212" spans="1:2" s="86" customFormat="1">
      <c r="A212" s="77" t="s">
        <v>1160</v>
      </c>
      <c r="B212" s="23">
        <f>(兵消耗!F2+兵消耗!F23+兵消耗!F44+兵消耗!F86+兵消耗!F107+兵消耗!F107+兵消耗!F170+兵消耗!F191+兵消耗!F212)/COUNT(兵消耗!F2,兵消耗!F23,兵消耗!F44,兵消耗!F86,兵消耗!F107,兵消耗!F107,兵消耗!F170,兵消耗!F191,兵消耗!F212)</f>
        <v>15.777777777777779</v>
      </c>
    </row>
    <row r="213" spans="1:2" s="86" customFormat="1">
      <c r="A213" s="77" t="s">
        <v>1095</v>
      </c>
      <c r="B213" s="23">
        <f>(兵消耗!F65+兵消耗!F149+兵消耗!F233)/COUNT(兵消耗!F65,兵消耗!F149,兵消耗!F233)*0.25+B212*0.75</f>
        <v>14.083333333333334</v>
      </c>
    </row>
    <row r="214" spans="1:2">
      <c r="A214" s="1" t="s">
        <v>1056</v>
      </c>
      <c r="B214" s="5"/>
    </row>
    <row r="215" spans="1:2">
      <c r="A215" s="1" t="s">
        <v>1057</v>
      </c>
    </row>
    <row r="217" spans="1:2" s="75" customFormat="1">
      <c r="A217" s="75" t="s">
        <v>1060</v>
      </c>
    </row>
    <row r="218" spans="1:2">
      <c r="A218" s="1" t="s">
        <v>1162</v>
      </c>
    </row>
    <row r="219" spans="1:2">
      <c r="A219" s="1" t="s">
        <v>1062</v>
      </c>
    </row>
    <row r="220" spans="1:2">
      <c r="A220" s="1" t="s">
        <v>1167</v>
      </c>
      <c r="B220">
        <v>1.3</v>
      </c>
    </row>
    <row r="223" spans="1:2" s="75" customFormat="1">
      <c r="A223" s="75" t="s">
        <v>1173</v>
      </c>
    </row>
    <row r="224" spans="1:2">
      <c r="A224" s="1" t="s">
        <v>1170</v>
      </c>
      <c r="B224">
        <f>ROUND(产出与消耗!R12/基本公式!B229,-1)</f>
        <v>5890</v>
      </c>
    </row>
    <row r="225" spans="1:4">
      <c r="A225" s="1" t="s">
        <v>1171</v>
      </c>
      <c r="B225">
        <f>ROUND(产出与消耗!R34/基本公式!B229,-1)</f>
        <v>3930</v>
      </c>
    </row>
    <row r="226" spans="1:4">
      <c r="A226" s="1" t="s">
        <v>1172</v>
      </c>
      <c r="B226">
        <f>ROUND(产出与消耗!R56/基本公式!B229,-1)</f>
        <v>3930</v>
      </c>
    </row>
    <row r="227" spans="1:4">
      <c r="A227" s="1" t="s">
        <v>1175</v>
      </c>
      <c r="B227">
        <f>ROUND(B231/B229,0)</f>
        <v>64</v>
      </c>
      <c r="C227">
        <f>ROUND(B227/60,0)</f>
        <v>1</v>
      </c>
      <c r="D227" t="s">
        <v>1186</v>
      </c>
    </row>
    <row r="229" spans="1:4">
      <c r="A229" s="1" t="s">
        <v>1181</v>
      </c>
      <c r="B229">
        <f>ROUND(200*SQRT(2),2)</f>
        <v>282.83999999999997</v>
      </c>
    </row>
    <row r="230" spans="1:4">
      <c r="A230" s="1" t="s">
        <v>1182</v>
      </c>
      <c r="B230">
        <v>6</v>
      </c>
    </row>
    <row r="231" spans="1:4">
      <c r="A231" s="1" t="s">
        <v>1184</v>
      </c>
      <c r="B231">
        <f>C231*3600</f>
        <v>18000</v>
      </c>
      <c r="C231">
        <v>5</v>
      </c>
      <c r="D231" t="s">
        <v>1185</v>
      </c>
    </row>
  </sheetData>
  <phoneticPr fontId="8" type="noConversion"/>
  <pageMargins left="0.69930555555555596" right="0.69930555555555596" top="0.75" bottom="0.75" header="0.3" footer="0.3"/>
  <pageSetup paperSize="9" orientation="portrait" horizontalDpi="200"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J125"/>
  <sheetViews>
    <sheetView topLeftCell="H1" workbookViewId="0"/>
  </sheetViews>
  <sheetFormatPr defaultColWidth="9" defaultRowHeight="13.5"/>
  <cols>
    <col min="1" max="1" width="11.5" customWidth="1"/>
    <col min="2" max="2" width="11.5" style="48" customWidth="1"/>
    <col min="3" max="3" width="6.875" style="49" customWidth="1"/>
    <col min="4" max="4" width="6.25" customWidth="1"/>
    <col min="5" max="5" width="9.125" customWidth="1"/>
    <col min="6" max="6" width="12" style="50" customWidth="1"/>
    <col min="7" max="7" width="12.75" customWidth="1"/>
    <col min="8" max="8" width="12" style="51" customWidth="1"/>
    <col min="10" max="10" width="9" customWidth="1"/>
    <col min="11" max="11" width="9" style="2"/>
    <col min="14" max="14" width="9" style="12"/>
    <col min="16" max="16" width="8.875" customWidth="1"/>
    <col min="17" max="20" width="11" customWidth="1"/>
    <col min="21" max="21" width="8.125" customWidth="1"/>
    <col min="22" max="22" width="10.25" customWidth="1"/>
    <col min="23" max="24" width="12" style="28" customWidth="1"/>
    <col min="25" max="25" width="12" style="12" customWidth="1"/>
    <col min="26" max="26" width="13.375" style="12" customWidth="1"/>
    <col min="27" max="27" width="12.125" style="12" customWidth="1"/>
    <col min="28" max="28" width="12" style="28" customWidth="1"/>
    <col min="29" max="29" width="12" style="12" customWidth="1"/>
    <col min="30" max="31" width="13.375" customWidth="1"/>
    <col min="32" max="32" width="12" style="28" customWidth="1"/>
    <col min="33" max="33" width="13.375" hidden="1" customWidth="1"/>
    <col min="34" max="34" width="12.625" customWidth="1"/>
    <col min="35" max="35" width="11.125" style="28" customWidth="1"/>
    <col min="36" max="36" width="12.5" hidden="1" customWidth="1"/>
    <col min="37" max="37" width="10.875" customWidth="1"/>
    <col min="38" max="38" width="12" style="28" customWidth="1"/>
    <col min="39" max="40" width="11.75" style="52" customWidth="1"/>
    <col min="41" max="41" width="9" style="52"/>
    <col min="42" max="42" width="8.75" style="52" customWidth="1"/>
    <col min="43" max="43" width="9" style="52"/>
    <col min="44" max="44" width="9" style="53"/>
    <col min="45" max="46" width="10.875" customWidth="1"/>
    <col min="47" max="47" width="12" style="28" customWidth="1"/>
    <col min="48" max="48" width="12" style="12" customWidth="1"/>
    <col min="49" max="49" width="9" style="54"/>
    <col min="50" max="50" width="9" style="9"/>
    <col min="53" max="53" width="9.375" customWidth="1"/>
    <col min="54" max="54" width="9.875" style="17" customWidth="1"/>
    <col min="55" max="55" width="10" customWidth="1"/>
    <col min="56" max="56" width="9.875" style="17" customWidth="1"/>
    <col min="57" max="58" width="7.875" customWidth="1"/>
    <col min="59" max="59" width="10.875" style="52" customWidth="1"/>
    <col min="60" max="60" width="9" style="52"/>
    <col min="61" max="61" width="11.125" customWidth="1"/>
  </cols>
  <sheetData>
    <row r="1" spans="1:62">
      <c r="A1" t="s">
        <v>112</v>
      </c>
      <c r="Y1" s="12" t="s">
        <v>113</v>
      </c>
      <c r="Z1" s="12" t="s">
        <v>113</v>
      </c>
      <c r="AA1" s="12" t="s">
        <v>113</v>
      </c>
      <c r="AB1" s="28" t="s">
        <v>113</v>
      </c>
      <c r="AC1" s="12" t="s">
        <v>113</v>
      </c>
      <c r="AD1" s="12" t="s">
        <v>113</v>
      </c>
      <c r="AE1" s="12" t="s">
        <v>113</v>
      </c>
      <c r="AF1" s="28" t="s">
        <v>113</v>
      </c>
      <c r="AY1" t="s">
        <v>114</v>
      </c>
    </row>
    <row r="2" spans="1:62" s="1" customFormat="1" ht="27">
      <c r="A2" s="1" t="s">
        <v>115</v>
      </c>
      <c r="B2" s="55" t="s">
        <v>42</v>
      </c>
      <c r="C2" s="56" t="s">
        <v>116</v>
      </c>
      <c r="D2" s="22" t="s">
        <v>117</v>
      </c>
      <c r="E2" s="1" t="s">
        <v>6</v>
      </c>
      <c r="F2" s="57" t="s">
        <v>118</v>
      </c>
      <c r="G2" s="58" t="s">
        <v>119</v>
      </c>
      <c r="H2" s="58" t="s">
        <v>120</v>
      </c>
      <c r="I2" s="22" t="s">
        <v>121</v>
      </c>
      <c r="J2" s="1" t="s">
        <v>24</v>
      </c>
      <c r="K2" s="3" t="s">
        <v>122</v>
      </c>
      <c r="L2" s="1" t="s">
        <v>123</v>
      </c>
      <c r="M2" s="22" t="s">
        <v>124</v>
      </c>
      <c r="N2" s="4" t="s">
        <v>125</v>
      </c>
      <c r="O2" s="22" t="s">
        <v>126</v>
      </c>
      <c r="P2" s="4" t="s">
        <v>127</v>
      </c>
      <c r="Q2" s="1" t="s">
        <v>128</v>
      </c>
      <c r="R2" s="1" t="s">
        <v>129</v>
      </c>
      <c r="S2" s="1" t="s">
        <v>130</v>
      </c>
      <c r="T2" s="1" t="s">
        <v>131</v>
      </c>
      <c r="U2" s="1" t="s">
        <v>132</v>
      </c>
      <c r="V2" s="1" t="s">
        <v>133</v>
      </c>
      <c r="W2" s="7" t="s">
        <v>134</v>
      </c>
      <c r="X2" s="7" t="s">
        <v>135</v>
      </c>
      <c r="Y2" s="4" t="s">
        <v>128</v>
      </c>
      <c r="Z2" s="4" t="s">
        <v>136</v>
      </c>
      <c r="AA2" s="4" t="s">
        <v>132</v>
      </c>
      <c r="AB2" s="7" t="s">
        <v>134</v>
      </c>
      <c r="AC2" s="4" t="s">
        <v>137</v>
      </c>
      <c r="AD2" s="4" t="s">
        <v>138</v>
      </c>
      <c r="AE2" s="4" t="s">
        <v>139</v>
      </c>
      <c r="AF2" s="7" t="s">
        <v>140</v>
      </c>
      <c r="AG2" s="1" t="s">
        <v>141</v>
      </c>
      <c r="AH2" s="1" t="s">
        <v>142</v>
      </c>
      <c r="AI2" s="7" t="s">
        <v>143</v>
      </c>
      <c r="AJ2" s="1" t="s">
        <v>144</v>
      </c>
      <c r="AK2" s="1" t="s">
        <v>145</v>
      </c>
      <c r="AL2" s="7" t="s">
        <v>146</v>
      </c>
      <c r="AM2" s="67" t="s">
        <v>9</v>
      </c>
      <c r="AN2" s="67" t="s">
        <v>30</v>
      </c>
      <c r="AO2" s="67" t="s">
        <v>31</v>
      </c>
      <c r="AP2" s="67" t="s">
        <v>32</v>
      </c>
      <c r="AQ2" s="67" t="s">
        <v>33</v>
      </c>
      <c r="AR2" s="68"/>
      <c r="AS2" s="1" t="s">
        <v>147</v>
      </c>
      <c r="AT2" s="1" t="s">
        <v>148</v>
      </c>
      <c r="AU2" s="7" t="s">
        <v>149</v>
      </c>
      <c r="AV2" s="4" t="s">
        <v>150</v>
      </c>
      <c r="AW2" s="70" t="s">
        <v>151</v>
      </c>
      <c r="AX2" s="22" t="s">
        <v>152</v>
      </c>
      <c r="AY2" s="1" t="s">
        <v>153</v>
      </c>
      <c r="AZ2" s="1" t="s">
        <v>154</v>
      </c>
      <c r="BA2" s="1" t="s">
        <v>155</v>
      </c>
      <c r="BB2" s="71" t="s">
        <v>156</v>
      </c>
      <c r="BC2" s="1" t="s">
        <v>157</v>
      </c>
      <c r="BD2" s="71" t="s">
        <v>158</v>
      </c>
      <c r="BE2" s="1" t="s">
        <v>159</v>
      </c>
      <c r="BF2" s="1" t="s">
        <v>160</v>
      </c>
      <c r="BG2" s="67" t="s">
        <v>51</v>
      </c>
      <c r="BH2" s="67" t="s">
        <v>52</v>
      </c>
      <c r="BI2" s="67" t="s">
        <v>55</v>
      </c>
      <c r="BJ2" s="67" t="s">
        <v>56</v>
      </c>
    </row>
    <row r="20" spans="1:62">
      <c r="Y20"/>
      <c r="AC20"/>
    </row>
    <row r="21" spans="1:62" s="46" customFormat="1">
      <c r="A21" s="46" t="s">
        <v>161</v>
      </c>
      <c r="B21" s="59"/>
      <c r="C21" s="47"/>
      <c r="F21" s="60"/>
      <c r="H21" s="51"/>
      <c r="K21" s="2"/>
      <c r="AR21" s="53"/>
      <c r="AV21" s="12"/>
      <c r="AW21" s="54"/>
      <c r="AX21" s="9"/>
      <c r="BB21" s="17"/>
      <c r="BD21" s="17"/>
      <c r="BG21" s="52"/>
      <c r="BH21" s="52"/>
    </row>
    <row r="22" spans="1:62">
      <c r="A22">
        <v>10</v>
      </c>
      <c r="B22" s="48">
        <v>0</v>
      </c>
      <c r="D22" s="9">
        <v>0</v>
      </c>
      <c r="E22">
        <f>ROUND(POWER($A$22*D22/100,$AM$22),0)</f>
        <v>0</v>
      </c>
      <c r="F22" s="50">
        <f>ROUND(G22*0.35+H22*0.65,0)</f>
        <v>28</v>
      </c>
      <c r="G22">
        <f>ROUND((E22+(30+30)/2)*AN22*兵攻防!A22/基本公式!$B$53,0)</f>
        <v>9</v>
      </c>
      <c r="H22" s="51">
        <f>ROUND((E22+(基本公式!$B$181+基本公式!$B$31)/2)*AN22*兵攻防!A22/基本公式!$B$53,0)</f>
        <v>38</v>
      </c>
      <c r="I22" s="9">
        <v>0</v>
      </c>
      <c r="J22">
        <f>ROUND(POWER($A$22*I22/100,$AM$22),0)</f>
        <v>0</v>
      </c>
      <c r="K22" s="2">
        <v>3</v>
      </c>
      <c r="L22">
        <f t="shared" ref="L22" ca="1" si="0">ROUND(30/K22*P22*N22,2)</f>
        <v>4.9000000000000004</v>
      </c>
      <c r="M22" s="9">
        <v>125</v>
      </c>
      <c r="N22" s="12">
        <f ca="1">OFFSET(其他表格!G1,M22/100,0)</f>
        <v>0.7</v>
      </c>
      <c r="O22" s="9">
        <v>1</v>
      </c>
      <c r="P22" s="12">
        <f ca="1">OFFSET(其他表格!B1,O22,0)</f>
        <v>0.7</v>
      </c>
      <c r="Q22">
        <f>ROUND(($E$22+200)*$AN$22,2)</f>
        <v>30</v>
      </c>
      <c r="R22">
        <f>ROUND(($E$22+200)*$AN$22,2)</f>
        <v>30</v>
      </c>
      <c r="S22">
        <f>ROUND(POWER(($E$22+200-$J$22-200+$AP$22),2)/$AO$22,2)</f>
        <v>41.67</v>
      </c>
      <c r="T22">
        <f>ROUND(POWER(($J$22+200-$E$22-200+$AP$22),2)/$AO$22,2)</f>
        <v>41.67</v>
      </c>
      <c r="U22">
        <f ca="1">ROUND(($Q$22+$S$22)*($A$22+$A$22)/$AQ$22*$L$22,0)</f>
        <v>0</v>
      </c>
      <c r="V22">
        <f ca="1">ROUND((R22+T22)*($A$22+$A$22)/$AQ$22*$L$22,0)</f>
        <v>0</v>
      </c>
      <c r="W22" s="65">
        <f ca="1">MIN(ROUND(U22/$A$22,4),1)</f>
        <v>0</v>
      </c>
      <c r="X22" s="65">
        <f ca="1">MIN(ROUND($V$22/$A$22,4),1)</f>
        <v>0</v>
      </c>
      <c r="Y22">
        <f>ROUND(($E$22+250)*$AN$22,0)</f>
        <v>38</v>
      </c>
      <c r="Z22">
        <f>ROUND(POWER(($E$22+250-$J$22-100+$AP$22),2)/$AO$22,0)</f>
        <v>70</v>
      </c>
      <c r="AA22">
        <f>ROUND(($Y$22+$Z$22)*($A$22+$A$22)/$AQ$22,0)</f>
        <v>0</v>
      </c>
      <c r="AB22" s="65">
        <f ca="1">MIN(ROUND(AA22/$A$22*$L$22,4),1)</f>
        <v>0</v>
      </c>
      <c r="AC22">
        <f>ROUND(($E$22+100)*$AN$22,0)</f>
        <v>15</v>
      </c>
      <c r="AD22" s="66">
        <f>ROUND(POWER(($E$22+100-$J$22-250+$AP$22),2)/$AO$22,0)</f>
        <v>20</v>
      </c>
      <c r="AE22" s="66">
        <f>ROUND(($AC$22+$AD$22)*($A$22+$A$22)/$AQ$22,0)</f>
        <v>0</v>
      </c>
      <c r="AF22" s="65">
        <f>MIN(ROUND($AE$22/$A$22,4),1)</f>
        <v>0</v>
      </c>
      <c r="AG22" s="66">
        <f>ROUND(POWER(($E$26+200-$J$22-200+$AP$22),2)/$AO$22,0)</f>
        <v>42</v>
      </c>
      <c r="AH22" s="66">
        <f>ROUND(($Q$26+$AG$22)*($A$26+$A$22)/$AQ$22,0)</f>
        <v>2</v>
      </c>
      <c r="AI22" s="65">
        <f ca="1">MIN(ROUND($AH$22/$A$22*$L$22,4),1)</f>
        <v>0.98</v>
      </c>
      <c r="AJ22" s="66">
        <f>ROUND(POWER(($E$22+200-$J$26-200+900),2)/$AO$22,0)</f>
        <v>135</v>
      </c>
      <c r="AK22" s="66">
        <f>ROUND(($Q$22+$AJ$22)*($A$26+$A$22)/$AQ$22,0)</f>
        <v>4</v>
      </c>
      <c r="AL22" s="65">
        <f ca="1">MIN(ROUND($AK$22/$A$26*$L$22,4),1)</f>
        <v>3.9199999999999999E-2</v>
      </c>
      <c r="AM22" s="52">
        <v>0.5</v>
      </c>
      <c r="AN22" s="52">
        <v>0.15</v>
      </c>
      <c r="AO22" s="52">
        <v>6000</v>
      </c>
      <c r="AP22" s="52">
        <v>500</v>
      </c>
      <c r="AQ22" s="52">
        <v>20000</v>
      </c>
      <c r="AU22" s="65"/>
      <c r="AV22" s="8"/>
    </row>
    <row r="23" spans="1:62">
      <c r="A23">
        <v>50</v>
      </c>
      <c r="B23" s="48">
        <v>0</v>
      </c>
      <c r="D23" s="9">
        <v>0</v>
      </c>
      <c r="E23">
        <f>ROUND(POWER($A$23*D23/100,$AM$23),0)</f>
        <v>0</v>
      </c>
      <c r="F23" s="50">
        <f t="shared" ref="F23" si="1">ROUND(G23*0.35+H23*0.65,0)</f>
        <v>138</v>
      </c>
      <c r="G23">
        <f>ROUND((E23+(30+30)/2)*AN23*兵攻防!A23/基本公式!$B$53,0)</f>
        <v>45</v>
      </c>
      <c r="H23" s="51">
        <f>ROUND((E23+(基本公式!$B$181+基本公式!$B$31)/2)*AN23*兵攻防!A23/基本公式!$B$53,0)</f>
        <v>188</v>
      </c>
      <c r="I23" s="9">
        <v>0</v>
      </c>
      <c r="J23">
        <f>ROUND(POWER($A$23*I23/100,$AM$23),0)</f>
        <v>0</v>
      </c>
      <c r="K23" s="2">
        <v>3</v>
      </c>
      <c r="L23">
        <f t="shared" ref="L23:L29" ca="1" si="2">ROUND(30/K23*P23*N23,2)</f>
        <v>4.9000000000000004</v>
      </c>
      <c r="M23" s="9">
        <v>125</v>
      </c>
      <c r="N23" s="12">
        <f ca="1">OFFSET(其他表格!G1,M23/100,0)</f>
        <v>0.7</v>
      </c>
      <c r="O23" s="9">
        <v>1</v>
      </c>
      <c r="P23" s="12">
        <f ca="1">OFFSET(其他表格!B1,O23,0)</f>
        <v>0.7</v>
      </c>
      <c r="Q23">
        <f>ROUND(($E$23+200)*$AN$23,2)</f>
        <v>30</v>
      </c>
      <c r="R23">
        <f>ROUND(($E$23+200)*$AN$23,2)</f>
        <v>30</v>
      </c>
      <c r="S23">
        <f>ROUND(POWER(($E$23+200-$J$23-200+$AP$22),2)/$AO$23,2)</f>
        <v>41.67</v>
      </c>
      <c r="T23">
        <f>ROUND(POWER(($J$23+200-$E$23-200+$AP$23),2)/$AO$23,2)</f>
        <v>41.67</v>
      </c>
      <c r="U23">
        <f ca="1">ROUND(($Q$23+$S$23)*($A$23+$A$23)/$AQ$23*$L$22,0)</f>
        <v>2</v>
      </c>
      <c r="V23">
        <f ca="1">ROUND((R23+T23)*($A$23+$A$23)/$AQ$23*$L$22,0)</f>
        <v>2</v>
      </c>
      <c r="W23" s="65">
        <f ca="1">MIN(ROUND(U23/$A$23,4),1)</f>
        <v>0.04</v>
      </c>
      <c r="X23" s="65">
        <f ca="1">MIN(ROUND($V$23/$A$23,4),1)</f>
        <v>0.04</v>
      </c>
      <c r="Y23">
        <f>ROUND(($E$23+250)*$AN$23,0)</f>
        <v>38</v>
      </c>
      <c r="Z23">
        <f>ROUND(POWER(($E$23+250-$J$23-100+$AP$22),2)/$AO$23,0)</f>
        <v>70</v>
      </c>
      <c r="AA23">
        <f>ROUND(($Y$23+$Z$23)*($A$23+$A$23)/$AQ$23,0)</f>
        <v>1</v>
      </c>
      <c r="AB23" s="65">
        <f ca="1">MIN(ROUND(AA23/$A$23*$L$23,4),1)</f>
        <v>9.8000000000000004E-2</v>
      </c>
      <c r="AC23">
        <f>ROUND(($E$23+100)*$AN$23,0)</f>
        <v>15</v>
      </c>
      <c r="AD23" s="66">
        <f>ROUND(POWER(($E$23+100-$J$23-250+$AP$23),2)/$AO$23,0)</f>
        <v>20</v>
      </c>
      <c r="AE23" s="66">
        <f>ROUND(($AC$23+$AD$23)*($A$23+$A$23)/$AQ$23,0)</f>
        <v>0</v>
      </c>
      <c r="AF23" s="65">
        <f>MIN(ROUND($AE$23/$A$23,4),1)</f>
        <v>0</v>
      </c>
      <c r="AG23" s="66">
        <f>ROUND(POWER(($E$26+200-$J$23-200+$AP$22),2)/$AO$23,0)</f>
        <v>42</v>
      </c>
      <c r="AH23" s="66">
        <f>ROUND(($Q$26+$AG$23)*($A$26+$A$23)/$AQ$23,0)</f>
        <v>2</v>
      </c>
      <c r="AI23" s="65">
        <f ca="1">MIN(ROUND($AH$23/$A$23*$L$23,4),1)</f>
        <v>0.19600000000000001</v>
      </c>
      <c r="AJ23" s="66">
        <f>ROUND(POWER(($E$23+200-$J$26-200+900),2)/$AO$23,0)</f>
        <v>135</v>
      </c>
      <c r="AK23" s="66">
        <f>ROUND(($Q$23+$AJ$23)*($A$26+$A$23)/$AQ$23,0)</f>
        <v>5</v>
      </c>
      <c r="AL23" s="65">
        <f ca="1">MIN(ROUND($AK$23/$A$26*$L$23,4),1)</f>
        <v>4.9000000000000002E-2</v>
      </c>
      <c r="AM23" s="52">
        <v>0.5</v>
      </c>
      <c r="AN23" s="52">
        <v>0.15</v>
      </c>
      <c r="AO23" s="52">
        <v>6000</v>
      </c>
      <c r="AP23" s="52">
        <v>500</v>
      </c>
      <c r="AQ23" s="52">
        <v>20000</v>
      </c>
      <c r="AU23" s="65"/>
      <c r="AV23" s="8"/>
    </row>
    <row r="24" spans="1:62">
      <c r="A24">
        <v>100</v>
      </c>
      <c r="B24" s="48">
        <v>0</v>
      </c>
      <c r="D24" s="9">
        <v>0</v>
      </c>
      <c r="E24">
        <f>ROUND(POWER($A$24*D24/100,$AM$24),0)</f>
        <v>0</v>
      </c>
      <c r="F24" s="50">
        <f t="shared" ref="F24:F29" si="3">ROUND(G24*0.35+H24*0.65,0)</f>
        <v>275</v>
      </c>
      <c r="G24">
        <f>ROUND((E24+(30+30)/2)*AN24*兵攻防!A24/基本公式!$B$53,0)</f>
        <v>90</v>
      </c>
      <c r="H24" s="51">
        <f>ROUND((E24+(基本公式!$B$181+基本公式!$B$31)/2)*AN24*兵攻防!A24/基本公式!$B$53,0)</f>
        <v>375</v>
      </c>
      <c r="I24" s="9">
        <v>0</v>
      </c>
      <c r="J24">
        <f>ROUND(POWER($A$24*I24/100,$AM$24),0)</f>
        <v>0</v>
      </c>
      <c r="K24" s="2">
        <v>3</v>
      </c>
      <c r="L24">
        <f t="shared" ca="1" si="2"/>
        <v>4.9000000000000004</v>
      </c>
      <c r="M24" s="9">
        <v>125</v>
      </c>
      <c r="N24" s="12">
        <f ca="1">OFFSET(其他表格!G1,M24/100,0)</f>
        <v>0.7</v>
      </c>
      <c r="O24" s="9">
        <v>1</v>
      </c>
      <c r="P24" s="12">
        <f ca="1">OFFSET(其他表格!B1,O24,0)</f>
        <v>0.7</v>
      </c>
      <c r="Q24">
        <f>ROUND(($E$24+200)*$AN$24,2)</f>
        <v>30</v>
      </c>
      <c r="R24">
        <f>ROUND(($E$24+200)*$AN$24,2)</f>
        <v>30</v>
      </c>
      <c r="S24">
        <f>ROUND(POWER(($E$24+200-$J$24-200+$AP$22),2)/$AO$24,2)</f>
        <v>41.67</v>
      </c>
      <c r="T24">
        <f>ROUND(POWER(($J$24+200-$E$24-200+$AP$24),2)/$AO$24,2)</f>
        <v>41.67</v>
      </c>
      <c r="U24">
        <f ca="1">ROUND(($Q$24+$S$24)*($A$24+$A$24)/$AQ$24*$L$22,0)</f>
        <v>4</v>
      </c>
      <c r="V24">
        <f ca="1">ROUND((R24+T24)*($A$24+$A$24)/$AQ$24*$L$22,0)</f>
        <v>4</v>
      </c>
      <c r="W24" s="65">
        <f ca="1">MIN(ROUND(U24/$A$24,4),1)</f>
        <v>0.04</v>
      </c>
      <c r="X24" s="65">
        <f ca="1">MIN(ROUND($V$24/$A$24,4),1)</f>
        <v>0.04</v>
      </c>
      <c r="Y24">
        <f>ROUND(($E$24+250)*$AN$24,0)</f>
        <v>38</v>
      </c>
      <c r="Z24">
        <f>ROUND(POWER(($E$24+250-$J$24-100+$AP$22),2)/$AO$24,0)</f>
        <v>70</v>
      </c>
      <c r="AA24">
        <f>ROUND(($Y$24+$Z$24)*($A$24+$A$24)/$AQ$24,0)</f>
        <v>1</v>
      </c>
      <c r="AB24" s="65">
        <f ca="1">MIN(ROUND(AA24/$A$24*$L$24,4),1)</f>
        <v>4.9000000000000002E-2</v>
      </c>
      <c r="AC24">
        <f>ROUND(($E$24+100)*$AN$24,0)</f>
        <v>15</v>
      </c>
      <c r="AD24" s="66">
        <f>ROUND(POWER(($E$24+100-$J$24-250+$AP$24),2)/$AO$24,0)</f>
        <v>20</v>
      </c>
      <c r="AE24" s="66">
        <f>ROUND(($AC$24+$AD$24)*($A$24+$A$24)/$AQ$24,0)</f>
        <v>0</v>
      </c>
      <c r="AF24" s="65">
        <f>MIN(ROUND($AE$24/$A$24,4),1)</f>
        <v>0</v>
      </c>
      <c r="AG24" s="66">
        <f>ROUND(POWER(($E$26+200-$J$24-200+$AP$22),2)/$AO$24,0)</f>
        <v>42</v>
      </c>
      <c r="AH24" s="66">
        <f>ROUND(($Q$26+$AG$24)*($A$26+$A$24)/$AQ$24,0)</f>
        <v>2</v>
      </c>
      <c r="AI24" s="65">
        <f ca="1">MIN(ROUND($AH$24/$A$24*$L$24,4),1)</f>
        <v>9.8000000000000004E-2</v>
      </c>
      <c r="AJ24" s="66">
        <f>ROUND(POWER(($E$24+200-$J$26-200+900),2)/$AO$24,0)</f>
        <v>135</v>
      </c>
      <c r="AK24" s="66">
        <f>ROUND(($Q$24+$AJ$24)*($A$26+$A$24)/$AQ$24,0)</f>
        <v>5</v>
      </c>
      <c r="AL24" s="65">
        <f ca="1">MIN(ROUND($AK$24/$A$26*$L$24,4),1)</f>
        <v>4.9000000000000002E-2</v>
      </c>
      <c r="AM24" s="52">
        <v>0.5</v>
      </c>
      <c r="AN24" s="52">
        <v>0.15</v>
      </c>
      <c r="AO24" s="52">
        <v>6000</v>
      </c>
      <c r="AP24" s="52">
        <v>500</v>
      </c>
      <c r="AQ24" s="52">
        <v>20000</v>
      </c>
      <c r="AU24" s="65"/>
      <c r="AV24" s="8"/>
    </row>
    <row r="25" spans="1:62">
      <c r="A25">
        <v>200</v>
      </c>
      <c r="B25" s="48">
        <v>0</v>
      </c>
      <c r="D25" s="9">
        <v>0</v>
      </c>
      <c r="E25">
        <f>ROUND(POWER($A$25*D25/100,$AM$25),0)</f>
        <v>0</v>
      </c>
      <c r="F25" s="50">
        <f t="shared" si="3"/>
        <v>551</v>
      </c>
      <c r="G25">
        <f>ROUND((E25+(30+30)/2)*AN25*兵攻防!A25/基本公式!$B$53,0)</f>
        <v>180</v>
      </c>
      <c r="H25" s="51">
        <f>ROUND((E25+(基本公式!$B$181+基本公式!$B$31)/2)*AN25*兵攻防!A25/基本公式!$B$53,0)</f>
        <v>750</v>
      </c>
      <c r="I25" s="9">
        <v>0</v>
      </c>
      <c r="J25">
        <f>ROUND(POWER($A$25*I25/100,$AM$25),0)</f>
        <v>0</v>
      </c>
      <c r="K25" s="2">
        <v>3</v>
      </c>
      <c r="L25">
        <f t="shared" ca="1" si="2"/>
        <v>4.9000000000000004</v>
      </c>
      <c r="M25" s="9">
        <v>125</v>
      </c>
      <c r="N25" s="12">
        <f ca="1">OFFSET(其他表格!G1,M25/100,0)</f>
        <v>0.7</v>
      </c>
      <c r="O25" s="9">
        <v>1</v>
      </c>
      <c r="P25" s="12">
        <f ca="1">OFFSET(其他表格!B1,O25,0)</f>
        <v>0.7</v>
      </c>
      <c r="Q25">
        <f>ROUND(($E$25+200)*$AN$25,2)</f>
        <v>30</v>
      </c>
      <c r="R25">
        <f>ROUND(($E$25+200)*$AN$25,2)</f>
        <v>30</v>
      </c>
      <c r="S25">
        <f>ROUND(POWER(($E$25+200-$J$25-200+$AP$22),2)/$AO$25,2)</f>
        <v>41.67</v>
      </c>
      <c r="T25">
        <f>ROUND(POWER(($J$25+200-$E$25-200+$AP$25),2)/$AO$25,2)</f>
        <v>41.67</v>
      </c>
      <c r="U25">
        <f ca="1">ROUND(($Q$25+$S$25)*($A$25+$A$25)/$AQ$25*$L$22,0)</f>
        <v>7</v>
      </c>
      <c r="V25">
        <f ca="1">ROUND((R25+T25)*($A$25+$A$25)/$AQ$25*$L$22,0)</f>
        <v>7</v>
      </c>
      <c r="W25" s="65">
        <f ca="1">MIN(ROUND(U25/$A$25,4),1)</f>
        <v>3.5000000000000003E-2</v>
      </c>
      <c r="X25" s="65">
        <f ca="1">MIN(ROUND($V$25/$A$25,4),1)</f>
        <v>3.5000000000000003E-2</v>
      </c>
      <c r="Y25">
        <f>ROUND(($E$25+250)*$AN$25,0)</f>
        <v>38</v>
      </c>
      <c r="Z25">
        <f>ROUND(POWER(($E$25+250-$J$25-100+$AP$22),2)/$AO$25,0)</f>
        <v>70</v>
      </c>
      <c r="AA25">
        <f>ROUND(($Y$25+$Z$25)*($A$25+$A$25)/$AQ$25,0)</f>
        <v>2</v>
      </c>
      <c r="AB25" s="65">
        <f ca="1">MIN(ROUND(AA25/$A$25*$L$25,4),1)</f>
        <v>4.9000000000000002E-2</v>
      </c>
      <c r="AC25">
        <f>ROUND(($E$25+100)*$AN$25,0)</f>
        <v>15</v>
      </c>
      <c r="AD25" s="66">
        <f>ROUND(POWER(($E$25+100-$J$25-250+$AP$25),2)/$AO$25,0)</f>
        <v>20</v>
      </c>
      <c r="AE25" s="66">
        <f>ROUND(($AC$25+$AD$25)*($A$25+$A$25)/$AQ$25,0)</f>
        <v>1</v>
      </c>
      <c r="AF25" s="65">
        <f>MIN(ROUND($AE$25/$A$25,4),1)</f>
        <v>5.0000000000000001E-3</v>
      </c>
      <c r="AG25" s="66">
        <f>ROUND(POWER(($E$26+200-$J$25-200+$AP$22),2)/$AO$25,0)</f>
        <v>42</v>
      </c>
      <c r="AH25" s="66">
        <f>ROUND(($Q$26+$AG$25)*($A$26+$A$25)/$AQ$25,0)</f>
        <v>3</v>
      </c>
      <c r="AI25" s="65">
        <f ca="1">MIN(ROUND($AH$25/$A$25*$L$25,4),1)</f>
        <v>7.3499999999999996E-2</v>
      </c>
      <c r="AJ25" s="66">
        <f>ROUND(POWER(($E$25+200-$J$26-200+900),2)/$AO$25,0)</f>
        <v>135</v>
      </c>
      <c r="AK25" s="66">
        <f>ROUND(($Q$25+$AJ$25)*($A$26+$A$25)/$AQ$25,0)</f>
        <v>6</v>
      </c>
      <c r="AL25" s="65">
        <f ca="1">MIN(ROUND($AK$25/$A$26*$L$25,4),1)</f>
        <v>5.8799999999999998E-2</v>
      </c>
      <c r="AM25" s="52">
        <v>0.5</v>
      </c>
      <c r="AN25" s="52">
        <v>0.15</v>
      </c>
      <c r="AO25" s="52">
        <v>6000</v>
      </c>
      <c r="AP25" s="52">
        <v>500</v>
      </c>
      <c r="AQ25" s="52">
        <v>20000</v>
      </c>
      <c r="AU25" s="65"/>
      <c r="AV25" s="8"/>
    </row>
    <row r="26" spans="1:62">
      <c r="A26">
        <v>500</v>
      </c>
      <c r="B26" s="48">
        <v>0</v>
      </c>
      <c r="D26" s="9">
        <v>0</v>
      </c>
      <c r="E26">
        <f>ROUND(POWER($A$26*D26/100,$AM$26),0)</f>
        <v>0</v>
      </c>
      <c r="F26" s="50">
        <f t="shared" si="3"/>
        <v>1376</v>
      </c>
      <c r="G26">
        <f>ROUND((E26+(30+30)/2)*AN26*兵攻防!A26/基本公式!$B$53,0)</f>
        <v>450</v>
      </c>
      <c r="H26" s="51">
        <f>ROUND((E26+(基本公式!$B$181+基本公式!$B$31)/2)*AN26*兵攻防!A26/基本公式!$B$53,0)</f>
        <v>1875</v>
      </c>
      <c r="I26" s="9">
        <v>0</v>
      </c>
      <c r="J26">
        <f>ROUND(POWER($A$26*I26/100,$AM$26),0)</f>
        <v>0</v>
      </c>
      <c r="K26" s="2">
        <v>3</v>
      </c>
      <c r="L26">
        <f t="shared" ca="1" si="2"/>
        <v>4.9000000000000004</v>
      </c>
      <c r="M26" s="9">
        <v>125</v>
      </c>
      <c r="N26" s="12">
        <f ca="1">OFFSET(其他表格!G1,M26/100,0)</f>
        <v>0.7</v>
      </c>
      <c r="O26" s="9">
        <v>1</v>
      </c>
      <c r="P26" s="12">
        <f ca="1">OFFSET(其他表格!B1,O26,0)</f>
        <v>0.7</v>
      </c>
      <c r="Q26">
        <f>ROUND(($E$26+200)*$AN$26,2)</f>
        <v>30</v>
      </c>
      <c r="R26">
        <f>ROUND(($E$26+200)*$AN$26,2)</f>
        <v>30</v>
      </c>
      <c r="S26">
        <f>ROUND(POWER(($E$26+200-$J$26-200+$AP$22),2)/$AO$26,2)</f>
        <v>41.67</v>
      </c>
      <c r="T26">
        <f>ROUND(POWER(($J$26+200-$E$26-200+$AP$26),2)/$AO$26,2)</f>
        <v>41.67</v>
      </c>
      <c r="U26">
        <f ca="1">ROUND(($Q$26+$S$26)*($A$26+$A$26)/$AQ$26*$L$22,0)</f>
        <v>18</v>
      </c>
      <c r="V26">
        <f ca="1">ROUND((R26+T26)*($A$26+$A$26)/$AQ$26*$L$22,0)</f>
        <v>18</v>
      </c>
      <c r="W26" s="65">
        <f ca="1">MIN(ROUND(U26/$A$26,4),1)</f>
        <v>3.5999999999999997E-2</v>
      </c>
      <c r="X26" s="65">
        <f ca="1">MIN(ROUND($V$26/$A$26,4),1)</f>
        <v>3.5999999999999997E-2</v>
      </c>
      <c r="Y26">
        <f>ROUND(($E$26+250)*$AN$26,0)</f>
        <v>38</v>
      </c>
      <c r="Z26">
        <f>ROUND(POWER(($E$26+250-$J$26-100+$AP$22),2)/$AO$26,0)</f>
        <v>70</v>
      </c>
      <c r="AA26">
        <f>ROUND(($Y$26+$Z$26)*($A$26+$A$26)/$AQ$26,0)</f>
        <v>5</v>
      </c>
      <c r="AB26" s="65">
        <f ca="1">MIN(ROUND(AA26/$A$26*$L$26,4),1)</f>
        <v>4.9000000000000002E-2</v>
      </c>
      <c r="AC26">
        <f>ROUND(($E$26+100)*$AN$26,0)</f>
        <v>15</v>
      </c>
      <c r="AD26" s="66">
        <f>ROUND(POWER(($E$26+100-$J$26-250+$AP$26),2)/$AO$26,0)</f>
        <v>20</v>
      </c>
      <c r="AE26" s="66">
        <f>ROUND(($AC$26+$AD$26)*($A$26+$A$26)/$AQ$26,0)</f>
        <v>2</v>
      </c>
      <c r="AF26" s="65">
        <f>MIN(ROUND($AE$26/$A$26,4),1)</f>
        <v>4.0000000000000001E-3</v>
      </c>
      <c r="AG26" s="66">
        <f>ROUND(POWER(($E$26+200-$J$26-200+$AP$22),2)/$AO$26,0)</f>
        <v>42</v>
      </c>
      <c r="AH26" s="66">
        <f>ROUND(($Q$26+$AG$26)*($A$26+$A$26)/$AQ$26,0)</f>
        <v>4</v>
      </c>
      <c r="AI26" s="65">
        <f ca="1">MIN(ROUND($AH$26/$A$26*$L$26,4),1)</f>
        <v>3.9199999999999999E-2</v>
      </c>
      <c r="AJ26" s="66">
        <f>ROUND(POWER(($E$26+200-$J$26-200+900),2)/$AO$26,0)</f>
        <v>135</v>
      </c>
      <c r="AK26" s="66">
        <f>ROUND(($Q$26+$AJ$26)*($A$26+$A$26)/$AQ$26,0)</f>
        <v>8</v>
      </c>
      <c r="AL26" s="65">
        <f ca="1">MIN(ROUND($AK$26/$A$26*$L$26,4),1)</f>
        <v>7.8399999999999997E-2</v>
      </c>
      <c r="AM26" s="52">
        <v>0.5</v>
      </c>
      <c r="AN26" s="52">
        <v>0.15</v>
      </c>
      <c r="AO26" s="52">
        <v>6000</v>
      </c>
      <c r="AP26" s="52">
        <v>500</v>
      </c>
      <c r="AQ26" s="52">
        <v>20000</v>
      </c>
      <c r="AU26" s="65"/>
      <c r="AV26" s="8"/>
    </row>
    <row r="27" spans="1:62">
      <c r="A27">
        <v>1000</v>
      </c>
      <c r="B27" s="48">
        <v>0</v>
      </c>
      <c r="D27" s="9">
        <v>0</v>
      </c>
      <c r="E27">
        <f>ROUND(POWER($A$27*D27/100,$AM$27),0)</f>
        <v>0</v>
      </c>
      <c r="F27" s="50">
        <f t="shared" si="3"/>
        <v>2753</v>
      </c>
      <c r="G27">
        <f>ROUND((E27+(30+30)/2)*AN27*兵攻防!A27/基本公式!$B$53,0)</f>
        <v>900</v>
      </c>
      <c r="H27" s="51">
        <f>ROUND((E27+(基本公式!$B$181+基本公式!$B$31)/2)*AN27*兵攻防!A27/基本公式!$B$53,0)</f>
        <v>3750</v>
      </c>
      <c r="I27" s="9">
        <v>0</v>
      </c>
      <c r="J27">
        <f>ROUND(POWER($A$27*I27/100,$AM$27),0)</f>
        <v>0</v>
      </c>
      <c r="K27" s="2">
        <v>3</v>
      </c>
      <c r="L27">
        <f t="shared" ca="1" si="2"/>
        <v>4.9000000000000004</v>
      </c>
      <c r="M27" s="9">
        <v>125</v>
      </c>
      <c r="N27" s="12">
        <f ca="1">OFFSET(其他表格!G1,M27/100,0)</f>
        <v>0.7</v>
      </c>
      <c r="O27" s="9">
        <v>1</v>
      </c>
      <c r="P27" s="12">
        <f ca="1">OFFSET(其他表格!B1,O27,0)</f>
        <v>0.7</v>
      </c>
      <c r="Q27">
        <f>ROUND(($E$27+200)*$AN$27,2)</f>
        <v>30</v>
      </c>
      <c r="R27">
        <f>ROUND(($E$27+200)*$AN$27,2)</f>
        <v>30</v>
      </c>
      <c r="S27">
        <f>ROUND(POWER(($E$27+200-$J$27-200+$AP$22),2)/$AO$27,2)</f>
        <v>41.67</v>
      </c>
      <c r="T27">
        <f>ROUND(POWER(($J$27+200-$E$27-200+$AP$27),2)/$AO$27,2)</f>
        <v>41.67</v>
      </c>
      <c r="U27">
        <f ca="1">ROUND(($Q$27+$S$27)*($A$27+$A$27)/$AQ$27*$L$22,0)</f>
        <v>35</v>
      </c>
      <c r="V27">
        <f ca="1">ROUND((R27+T27)*($A$27+$A$27)/$AQ$27*$L$22,0)</f>
        <v>35</v>
      </c>
      <c r="W27" s="65">
        <f ca="1">MIN(ROUND(U27/$A$27,4),1)</f>
        <v>3.5000000000000003E-2</v>
      </c>
      <c r="X27" s="65">
        <f ca="1">MIN(ROUND($V$27/$A$27,4),1)</f>
        <v>3.5000000000000003E-2</v>
      </c>
      <c r="Y27">
        <f>ROUND(($E$27+250)*$AN$27,0)</f>
        <v>38</v>
      </c>
      <c r="Z27">
        <f>ROUND(POWER(($E$27+250-$J$27-100+$AP$22),2)/$AO$27,0)</f>
        <v>70</v>
      </c>
      <c r="AA27">
        <f>ROUND(($Y$27+$Z$27)*($A$27+$A$27)/$AQ$27,0)</f>
        <v>11</v>
      </c>
      <c r="AB27" s="65">
        <f ca="1">MIN(ROUND(AA27/$A$27*$L$27,4),1)</f>
        <v>5.3900000000000003E-2</v>
      </c>
      <c r="AC27">
        <f>ROUND(($E$27+100)*$AN$27,0)</f>
        <v>15</v>
      </c>
      <c r="AD27" s="66">
        <f>ROUND(POWER(($E$27+100-$J$27-250+$AP$27),2)/$AO$27,0)</f>
        <v>20</v>
      </c>
      <c r="AE27" s="66">
        <f>ROUND(($AC$27+$AD$27)*($A$27+$A$27)/$AQ$27,0)</f>
        <v>4</v>
      </c>
      <c r="AF27" s="65">
        <f>MIN(ROUND($AE$27/$A$27,4),1)</f>
        <v>4.0000000000000001E-3</v>
      </c>
      <c r="AG27" s="66">
        <f>ROUND(POWER(($E$26+200-$J$27-200+$AP$22),2)/$AO$27,0)</f>
        <v>42</v>
      </c>
      <c r="AH27" s="66">
        <f>ROUND(($Q$26+$AG$27)*($A$26+$A$27)/$AQ$27,0)</f>
        <v>5</v>
      </c>
      <c r="AI27" s="65">
        <f ca="1">MIN(ROUND($AH$27/$A$27*$L$27,4),1)</f>
        <v>2.4500000000000001E-2</v>
      </c>
      <c r="AJ27" s="66">
        <f>ROUND(POWER(($E$27+200-$J$26-200+900),2)/$AO$27,0)</f>
        <v>135</v>
      </c>
      <c r="AK27" s="66">
        <f>ROUND(($Q$27+$AJ$27)*($A$26+$A$27)/$AQ$27,0)</f>
        <v>12</v>
      </c>
      <c r="AL27" s="65">
        <f ca="1">MIN(ROUND($AK$27/$A$26*$L$27,4),1)</f>
        <v>0.1176</v>
      </c>
      <c r="AM27" s="52">
        <v>0.5</v>
      </c>
      <c r="AN27" s="52">
        <v>0.15</v>
      </c>
      <c r="AO27" s="52">
        <v>6000</v>
      </c>
      <c r="AP27" s="52">
        <v>500</v>
      </c>
      <c r="AQ27" s="52">
        <v>20000</v>
      </c>
      <c r="AU27" s="65"/>
      <c r="AV27" s="8"/>
    </row>
    <row r="28" spans="1:62">
      <c r="A28">
        <v>2000</v>
      </c>
      <c r="B28" s="48">
        <v>0</v>
      </c>
      <c r="D28" s="9">
        <v>0</v>
      </c>
      <c r="E28">
        <f>ROUND(POWER($A$28*D28/100,$AM$28),0)</f>
        <v>0</v>
      </c>
      <c r="F28" s="50">
        <f t="shared" si="3"/>
        <v>5505</v>
      </c>
      <c r="G28">
        <f>ROUND((E28+(30+30)/2)*AN28*兵攻防!A28/基本公式!$B$53,0)</f>
        <v>1800</v>
      </c>
      <c r="H28" s="51">
        <f>ROUND((E28+(基本公式!$B$181+基本公式!$B$31)/2)*AN28*兵攻防!A28/基本公式!$B$53,0)</f>
        <v>7500</v>
      </c>
      <c r="I28" s="9">
        <v>0</v>
      </c>
      <c r="J28">
        <f>ROUND(POWER($A$28*I28/100,$AM$28),0)</f>
        <v>0</v>
      </c>
      <c r="K28" s="2">
        <v>3</v>
      </c>
      <c r="L28">
        <f t="shared" ca="1" si="2"/>
        <v>4.9000000000000004</v>
      </c>
      <c r="M28" s="9">
        <v>125</v>
      </c>
      <c r="N28" s="12">
        <f ca="1">OFFSET(其他表格!G1,M28/100,0)</f>
        <v>0.7</v>
      </c>
      <c r="O28" s="9">
        <v>1</v>
      </c>
      <c r="P28" s="12">
        <f ca="1">OFFSET(其他表格!B1,O28,0)</f>
        <v>0.7</v>
      </c>
      <c r="Q28">
        <f>ROUND(($E$28+200)*$AN$28,2)</f>
        <v>30</v>
      </c>
      <c r="R28">
        <f>ROUND(($E$28+200)*$AN$28,2)</f>
        <v>30</v>
      </c>
      <c r="S28">
        <f>ROUND(POWER(($E$28+200-$J$28-200+$AP$22),2)/$AO$28,2)</f>
        <v>41.67</v>
      </c>
      <c r="T28">
        <f>ROUND(POWER(($J$28+200-$E$28-200+$AP$28),2)/$AO$28,2)</f>
        <v>41.67</v>
      </c>
      <c r="U28">
        <f ca="1">ROUND(($Q$28+$S$28)*($A$28+$A$28)/$AQ$28*$L$22,0)</f>
        <v>70</v>
      </c>
      <c r="V28">
        <f ca="1">ROUND((R28+T28)*($A$28+$A$28)/$AQ$28*$L$22,0)</f>
        <v>70</v>
      </c>
      <c r="W28" s="65">
        <f ca="1">MIN(ROUND(U28/$A$28,4),1)</f>
        <v>3.5000000000000003E-2</v>
      </c>
      <c r="X28" s="65">
        <f ca="1">MIN(ROUND($V$28/$A$28,4),1)</f>
        <v>3.5000000000000003E-2</v>
      </c>
      <c r="Y28">
        <f>ROUND(($E$28+250)*$AN$28,0)</f>
        <v>38</v>
      </c>
      <c r="Z28">
        <f>ROUND(POWER(($E$28+250-$J$28-100+$AP$22),2)/$AO$28,0)</f>
        <v>70</v>
      </c>
      <c r="AA28">
        <f>ROUND(($Y$28+$Z$28)*($A$28+$A$28)/$AQ$28,0)</f>
        <v>22</v>
      </c>
      <c r="AB28" s="65">
        <f ca="1">MIN(ROUND(AA28/$A$28*$L$28,4),1)</f>
        <v>5.3900000000000003E-2</v>
      </c>
      <c r="AC28">
        <f>ROUND(($E$28+100)*$AN$28,0)</f>
        <v>15</v>
      </c>
      <c r="AD28" s="66">
        <f>ROUND(POWER(($E$28+100-$J$28-250+$AP$28),2)/$AO$28,0)</f>
        <v>20</v>
      </c>
      <c r="AE28" s="66">
        <f>ROUND(($AC$28+$AD$28)*($A$28+$A$28)/$AQ$28,0)</f>
        <v>7</v>
      </c>
      <c r="AF28" s="65">
        <f>MIN(ROUND($AE$28/$A$28,4),1)</f>
        <v>3.5000000000000001E-3</v>
      </c>
      <c r="AG28" s="66">
        <f>ROUND(POWER(($E$26+200-$J$28-200+$AP$22),2)/$AO$28,0)</f>
        <v>42</v>
      </c>
      <c r="AH28" s="66">
        <f>ROUND(($Q$26+$AG$28)*($A$26+$A$28)/$AQ$28,0)</f>
        <v>9</v>
      </c>
      <c r="AI28" s="65">
        <f ca="1">MIN(ROUND($AH$28/$A$28*$L$28,4),1)</f>
        <v>2.2100000000000002E-2</v>
      </c>
      <c r="AJ28" s="66">
        <f>ROUND(POWER(($E$28+200-$J$26-200+900),2)/$AO$28,0)</f>
        <v>135</v>
      </c>
      <c r="AK28" s="66">
        <f>ROUND(($Q$28+$AJ$28)*($A$26+$A$28)/$AQ$28,0)</f>
        <v>21</v>
      </c>
      <c r="AL28" s="65">
        <f ca="1">MIN(ROUND($AK$28/$A$26*$L$28,4),1)</f>
        <v>0.20580000000000001</v>
      </c>
      <c r="AM28" s="52">
        <v>0.5</v>
      </c>
      <c r="AN28" s="52">
        <v>0.15</v>
      </c>
      <c r="AO28" s="52">
        <v>6000</v>
      </c>
      <c r="AP28" s="52">
        <v>500</v>
      </c>
      <c r="AQ28" s="52">
        <v>20000</v>
      </c>
      <c r="AU28" s="65"/>
      <c r="AV28" s="8"/>
    </row>
    <row r="29" spans="1:62">
      <c r="A29">
        <v>5000</v>
      </c>
      <c r="B29" s="48">
        <v>0</v>
      </c>
      <c r="D29" s="9">
        <v>0</v>
      </c>
      <c r="E29">
        <f>ROUND(POWER($A$29*D29/100,$AM$29),0)</f>
        <v>0</v>
      </c>
      <c r="F29" s="50">
        <f t="shared" si="3"/>
        <v>13763</v>
      </c>
      <c r="G29">
        <f>ROUND((E29+(30+30)/2)*AN29*兵攻防!A29/基本公式!$B$53,0)</f>
        <v>4500</v>
      </c>
      <c r="H29" s="51">
        <f>ROUND((E29+(基本公式!$B$181+基本公式!$B$31)/2)*AN29*兵攻防!A29/基本公式!$B$53,0)</f>
        <v>18750</v>
      </c>
      <c r="I29" s="9">
        <v>0</v>
      </c>
      <c r="J29">
        <f>ROUND(POWER($A$29*I29/100,$AM$29),0)</f>
        <v>0</v>
      </c>
      <c r="K29" s="2">
        <v>3</v>
      </c>
      <c r="L29">
        <f t="shared" ca="1" si="2"/>
        <v>4.9000000000000004</v>
      </c>
      <c r="M29" s="9">
        <v>125</v>
      </c>
      <c r="N29" s="12">
        <f ca="1">OFFSET(其他表格!G1,M29/100,0)</f>
        <v>0.7</v>
      </c>
      <c r="O29" s="9">
        <v>1</v>
      </c>
      <c r="P29" s="12">
        <f ca="1">OFFSET(其他表格!B1,O29,0)</f>
        <v>0.7</v>
      </c>
      <c r="Q29">
        <f>ROUND(($E$29+200)*$AN$29,2)</f>
        <v>30</v>
      </c>
      <c r="R29">
        <f>ROUND(($E$29+200)*$AN$29,2)</f>
        <v>30</v>
      </c>
      <c r="S29">
        <f>ROUND(POWER(($E$29+200-$J$29-200+$AP$22),2)/$AO$29,2)</f>
        <v>41.67</v>
      </c>
      <c r="T29">
        <f>ROUND(POWER(($J$29+200-$E$29-200+$AP$29),2)/$AO$29,2)</f>
        <v>41.67</v>
      </c>
      <c r="U29">
        <f ca="1">ROUND(($Q$29+$S$29)*($A$29+$A$29)/$AQ$29*$L$22,0)</f>
        <v>176</v>
      </c>
      <c r="V29">
        <f ca="1">ROUND((R29+T29)*($A$29+$A$29)/$AQ$29*$L$22,0)</f>
        <v>176</v>
      </c>
      <c r="W29" s="65">
        <f ca="1">MIN(ROUND(U29/$A$29,4),1)</f>
        <v>3.5200000000000002E-2</v>
      </c>
      <c r="X29" s="65">
        <f ca="1">MIN(ROUND($V$29/$A$29,4),1)</f>
        <v>3.5200000000000002E-2</v>
      </c>
      <c r="Y29">
        <f>ROUND(($E$29+250)*$AN$29,0)</f>
        <v>38</v>
      </c>
      <c r="Z29">
        <f>ROUND(POWER(($E$29+250-$J$29-100+$AP$22),2)/$AO$29,0)</f>
        <v>70</v>
      </c>
      <c r="AA29">
        <f>ROUND(($Y$29+$Z$29)*($A$29+$A$29)/$AQ$29,0)</f>
        <v>54</v>
      </c>
      <c r="AB29" s="65">
        <f ca="1">MIN(ROUND(AA29/$A$29*$L$29,4),1)</f>
        <v>5.2900000000000003E-2</v>
      </c>
      <c r="AC29">
        <f>ROUND(($E$29+100)*$AN$29,0)</f>
        <v>15</v>
      </c>
      <c r="AD29" s="66">
        <f>ROUND(POWER(($E$29+100-$J$29-250+$AP$29),2)/$AO$29,0)</f>
        <v>20</v>
      </c>
      <c r="AE29" s="66">
        <f>ROUND(($AC$29+$AD$29)*($A$29+$A$29)/$AQ$29,0)</f>
        <v>18</v>
      </c>
      <c r="AF29" s="65">
        <f>MIN(ROUND($AE$29/$A$29,4),1)</f>
        <v>3.5999999999999999E-3</v>
      </c>
      <c r="AG29" s="66">
        <f>ROUND(POWER(($E$26+200-$J$29-200+$AP$22),2)/$AO$29,0)</f>
        <v>42</v>
      </c>
      <c r="AH29" s="66">
        <f>ROUND(($Q$26+$AG$29)*($A$26+$A$29)/$AQ$29,0)</f>
        <v>20</v>
      </c>
      <c r="AI29" s="65">
        <f ca="1">MIN(ROUND($AH$29/$A$29*$L$29,4),1)</f>
        <v>1.9599999999999999E-2</v>
      </c>
      <c r="AJ29" s="66">
        <f>ROUND(POWER(($E$29+200-$J$26-200+900),2)/$AO$29,0)</f>
        <v>135</v>
      </c>
      <c r="AK29" s="66">
        <f>ROUND(($Q$29+$AJ$29)*($A$26+$A$29)/$AQ$29,0)</f>
        <v>45</v>
      </c>
      <c r="AL29" s="65">
        <f ca="1">MIN(ROUND($AK$29/$A$26*$L$29,4),1)</f>
        <v>0.441</v>
      </c>
      <c r="AM29" s="52">
        <v>0.5</v>
      </c>
      <c r="AN29" s="52">
        <v>0.15</v>
      </c>
      <c r="AO29" s="52">
        <v>6000</v>
      </c>
      <c r="AP29" s="52">
        <v>500</v>
      </c>
      <c r="AQ29" s="52">
        <v>20000</v>
      </c>
      <c r="AU29" s="65"/>
      <c r="AV29" s="8"/>
    </row>
    <row r="30" spans="1:62">
      <c r="Y30"/>
    </row>
    <row r="31" spans="1:62" s="47" customFormat="1">
      <c r="A31" s="47" t="s">
        <v>162</v>
      </c>
      <c r="B31" s="61" t="s">
        <v>163</v>
      </c>
      <c r="C31" s="61" t="s">
        <v>164</v>
      </c>
      <c r="F31" s="62"/>
      <c r="H31" s="63"/>
      <c r="K31" s="64"/>
      <c r="AR31" s="69"/>
      <c r="AV31" s="49"/>
      <c r="AW31" s="72"/>
      <c r="AX31" s="73"/>
      <c r="BB31" s="74"/>
      <c r="BD31" s="74"/>
      <c r="BG31" s="52"/>
      <c r="BH31" s="52"/>
    </row>
    <row r="32" spans="1:62">
      <c r="A32">
        <v>100</v>
      </c>
      <c r="B32" s="48">
        <f t="shared" ref="B32" ca="1" si="4">ROUND(((U32-$U$29)+($V$29-V32)),0)</f>
        <v>0</v>
      </c>
      <c r="C32" s="49">
        <f ca="1">B32</f>
        <v>0</v>
      </c>
      <c r="D32" s="9">
        <v>5</v>
      </c>
      <c r="E32">
        <f t="shared" ref="E32" si="5">ROUND(POWER(A32*D32/100,AM32),0)</f>
        <v>2</v>
      </c>
      <c r="F32" s="50">
        <f>ROUND(G32*0.35+H32*0.65,0)</f>
        <v>281</v>
      </c>
      <c r="G32">
        <f>ROUND((E32+(30+30)/2)*AN32*兵攻防!A32/基本公式!$B$53,0)</f>
        <v>96</v>
      </c>
      <c r="H32" s="51">
        <f>ROUND((E32+(基本公式!$B$181+基本公式!$B$31)/2)*AN32*兵攻防!A32/基本公式!$B$53,0)</f>
        <v>381</v>
      </c>
      <c r="I32" s="9">
        <v>3</v>
      </c>
      <c r="J32">
        <f>ROUND(POWER($A$24*I32/100,$AM$24),0)</f>
        <v>2</v>
      </c>
      <c r="K32" s="2">
        <v>3</v>
      </c>
      <c r="L32">
        <f t="shared" ref="L32" ca="1" si="6">ROUND(30/K32*P32*N32,2)</f>
        <v>14.18</v>
      </c>
      <c r="M32" s="9">
        <v>250</v>
      </c>
      <c r="N32" s="12">
        <f ca="1">OFFSET(其他表格!$G$2,M32/100,0)</f>
        <v>1.05</v>
      </c>
      <c r="O32" s="9">
        <v>5</v>
      </c>
      <c r="P32" s="12">
        <f ca="1">OFFSET(其他表格!$B$1,O32,0)</f>
        <v>1.35</v>
      </c>
      <c r="Q32">
        <f t="shared" ref="Q32" si="7">ROUND((E32+200)*AN32,2)</f>
        <v>30.3</v>
      </c>
      <c r="R32">
        <f>ROUND(($E$24+200)*$AN$24,2)</f>
        <v>30</v>
      </c>
      <c r="S32">
        <f>ROUND(POWER((E32+200-$J$24-200+AP32),2)/AO32,2)</f>
        <v>42</v>
      </c>
      <c r="T32">
        <f>ROUND(POWER(($E$24+200-J32-200+AP32),2)/AO32,2)</f>
        <v>41.33</v>
      </c>
      <c r="U32">
        <f t="shared" ref="U32" ca="1" si="8">ROUND((Q32+S32)*(A32+A32)/AQ32*L32,0)</f>
        <v>10</v>
      </c>
      <c r="V32">
        <f t="shared" ref="V32" ca="1" si="9">ROUND((R32+T32)*(A32+A32)/AQ32*L32,0)</f>
        <v>10</v>
      </c>
      <c r="W32" s="65">
        <f t="shared" ref="W32" ca="1" si="10">MIN(ROUND(U32/A32,4),1)</f>
        <v>0.1</v>
      </c>
      <c r="X32" s="65">
        <f t="shared" ref="X32" ca="1" si="11">MIN(ROUND(V32/A32,4),1)</f>
        <v>0.1</v>
      </c>
      <c r="Y32"/>
      <c r="Z32"/>
      <c r="AA32"/>
      <c r="AB32" s="65"/>
      <c r="AC32"/>
      <c r="AD32" s="66"/>
      <c r="AE32" s="66"/>
      <c r="AF32" s="65"/>
      <c r="AG32" s="66"/>
      <c r="AH32" s="66"/>
      <c r="AI32" s="65"/>
      <c r="AJ32" s="66"/>
      <c r="AK32" s="66"/>
      <c r="AL32" s="65"/>
      <c r="AM32" s="52">
        <v>0.5</v>
      </c>
      <c r="AN32" s="52">
        <v>0.15</v>
      </c>
      <c r="AO32" s="52">
        <v>6000</v>
      </c>
      <c r="AP32" s="52">
        <v>500</v>
      </c>
      <c r="AQ32" s="52">
        <v>20000</v>
      </c>
      <c r="AS32">
        <f t="shared" ref="AS32" ca="1" si="12">ROUND(AT32*AV32,0)</f>
        <v>2</v>
      </c>
      <c r="AT32">
        <f t="shared" ref="AT32" si="13">ROUND(AY32*0.35+AZ32*0.65,0)</f>
        <v>13</v>
      </c>
      <c r="AU32" s="65">
        <f t="shared" ref="AU32" ca="1" si="14">ROUND(AS32/A32,4)</f>
        <v>0.02</v>
      </c>
      <c r="AV32" s="8">
        <f ca="1">ROUND((AW32+其他表格!K4+基本公式!$B$87)*OFFSET(其他表格!$N$1,兵攻防!O32,0)+OFFSET(其他表格!$P$1,M32/100,0),4)</f>
        <v>0.128</v>
      </c>
      <c r="AW32" s="54">
        <v>0.1</v>
      </c>
      <c r="AX32" s="9">
        <v>90</v>
      </c>
      <c r="AY32">
        <f t="shared" ref="AY32" si="15">BA32+BC32</f>
        <v>2</v>
      </c>
      <c r="AZ32">
        <f t="shared" ref="AZ32" si="16">BB32+BD32</f>
        <v>19</v>
      </c>
      <c r="BA32">
        <f t="shared" ref="BA32" si="17">ROUND(POWER(AX32/10*(BE32*2+BG32),2)/BH32*(A32+A32)/AQ32,0)</f>
        <v>2</v>
      </c>
      <c r="BB32" s="17">
        <f t="shared" ref="BB32" si="18">ROUND(POWER(AX32/10*(BF32*2+BG32),2)/BH32*(A32+A32)/AQ32,0)</f>
        <v>5</v>
      </c>
      <c r="BC32">
        <f t="shared" ref="BC32" si="19">ROUND(POWER(AX32/10*(BE32-BF32+BI32),2)/BJ32*(A32+A32)/AQ32,0)</f>
        <v>0</v>
      </c>
      <c r="BD32" s="17">
        <f t="shared" ref="BD32" si="20">ROUND(POWER(AX32/10*(BF32*2-BE32*2+BI32),2)/BJ32*(A32+A32)/AQ32,0)</f>
        <v>14</v>
      </c>
      <c r="BE32">
        <f>基本公式!$B$184</f>
        <v>30</v>
      </c>
      <c r="BF32">
        <f>基本公式!$B$183</f>
        <v>150</v>
      </c>
      <c r="BG32" s="52">
        <v>300</v>
      </c>
      <c r="BH32" s="52">
        <v>60000</v>
      </c>
      <c r="BI32" s="52">
        <v>200</v>
      </c>
      <c r="BJ32" s="52">
        <v>11500</v>
      </c>
    </row>
    <row r="33" spans="1:62">
      <c r="A33">
        <v>200</v>
      </c>
      <c r="B33" s="48">
        <f ca="1">ROUND(((U33-$U$29)+($V$29-V33)),0)</f>
        <v>1</v>
      </c>
      <c r="C33" s="49">
        <f t="shared" ref="C33" ca="1" si="21">B33</f>
        <v>1</v>
      </c>
      <c r="D33" s="9">
        <v>5</v>
      </c>
      <c r="E33">
        <f>ROUND(POWER(A33*D33/100,AM33),0)</f>
        <v>3</v>
      </c>
      <c r="F33" s="50">
        <f t="shared" ref="F33" si="22">ROUND(G33*0.35+H33*0.65,0)</f>
        <v>569</v>
      </c>
      <c r="G33">
        <f>ROUND((E33+(30+30)/2)*AN33*兵攻防!A33/基本公式!$B$53,0)</f>
        <v>198</v>
      </c>
      <c r="H33" s="51">
        <f>ROUND((E33+(基本公式!$B$181+基本公式!$B$31)/2)*AN33*兵攻防!A33/基本公式!$B$53,0)</f>
        <v>768</v>
      </c>
      <c r="I33" s="9">
        <v>3</v>
      </c>
      <c r="J33">
        <f>ROUND(POWER($A$25*I33/100,$AM$25),0)</f>
        <v>2</v>
      </c>
      <c r="K33" s="2">
        <v>3</v>
      </c>
      <c r="L33">
        <f ca="1">ROUND(30/K33*P33*N33,2)</f>
        <v>14.18</v>
      </c>
      <c r="M33" s="9">
        <v>250</v>
      </c>
      <c r="N33" s="12">
        <f ca="1">OFFSET(其他表格!$G$2,M33/100,0)</f>
        <v>1.05</v>
      </c>
      <c r="O33" s="9">
        <v>5</v>
      </c>
      <c r="P33" s="12">
        <f ca="1">OFFSET(其他表格!$B$1,O33,0)</f>
        <v>1.35</v>
      </c>
      <c r="Q33">
        <f>ROUND((E33+200)*AN33,2)</f>
        <v>30.45</v>
      </c>
      <c r="R33">
        <f>ROUND(($E$25+200)*$AN$25,2)</f>
        <v>30</v>
      </c>
      <c r="S33">
        <f>ROUND(POWER((E33+200-$J$25-200+AP33),2)/AO33,2)</f>
        <v>42.17</v>
      </c>
      <c r="T33">
        <f>ROUND(POWER(($E$25+200-J33-200+AP33),2)/AO33,2)</f>
        <v>41.33</v>
      </c>
      <c r="U33">
        <f ca="1">ROUND((Q33+S33)*(A33+A33)/AQ33*L33,0)</f>
        <v>21</v>
      </c>
      <c r="V33">
        <f ca="1">ROUND((R33+T33)*(A33+A33)/AQ33*L33,0)</f>
        <v>20</v>
      </c>
      <c r="W33" s="65">
        <f ca="1">MIN(ROUND(U33/A33,4),1)</f>
        <v>0.105</v>
      </c>
      <c r="X33" s="65">
        <f ca="1">MIN(ROUND(V33/A33,4),1)</f>
        <v>0.1</v>
      </c>
      <c r="Y33"/>
      <c r="Z33"/>
      <c r="AA33"/>
      <c r="AB33" s="65"/>
      <c r="AC33"/>
      <c r="AD33" s="66"/>
      <c r="AE33" s="66"/>
      <c r="AF33" s="65"/>
      <c r="AG33" s="66"/>
      <c r="AH33" s="66"/>
      <c r="AI33" s="65"/>
      <c r="AJ33" s="66"/>
      <c r="AK33" s="66"/>
      <c r="AL33" s="65"/>
      <c r="AM33" s="52">
        <v>0.5</v>
      </c>
      <c r="AN33" s="52">
        <v>0.15</v>
      </c>
      <c r="AO33" s="52">
        <v>6000</v>
      </c>
      <c r="AP33" s="52">
        <v>500</v>
      </c>
      <c r="AQ33" s="52">
        <v>20000</v>
      </c>
      <c r="AS33">
        <f ca="1">ROUND(AT33*AV33,0)</f>
        <v>4</v>
      </c>
      <c r="AT33">
        <f>ROUND(AY33*0.35+AZ33*0.65,0)</f>
        <v>25</v>
      </c>
      <c r="AU33" s="65">
        <f ca="1">ROUND(AS33/A33,4)</f>
        <v>0.02</v>
      </c>
      <c r="AV33" s="8">
        <f ca="1">ROUND((AW33+其他表格!K5+基本公式!$B$87)*OFFSET(其他表格!$N$1,兵攻防!O33,0)+OFFSET(其他表格!$P$1,M33/100,0),4)</f>
        <v>0.1532</v>
      </c>
      <c r="AW33" s="54">
        <v>0.1</v>
      </c>
      <c r="AX33" s="9">
        <v>90</v>
      </c>
      <c r="AY33">
        <f t="shared" ref="AY33:AZ37" si="23">BA33+BC33</f>
        <v>4</v>
      </c>
      <c r="AZ33">
        <f t="shared" si="23"/>
        <v>37</v>
      </c>
      <c r="BA33">
        <f>ROUND(POWER(AX33/10*(BE33*2+BG33),2)/BH33*(A33+A33)/AQ33,0)</f>
        <v>3</v>
      </c>
      <c r="BB33" s="17">
        <f>ROUND(POWER(AX33/10*(BF33*2+BG33),2)/BH33*(A33+A33)/AQ33,0)</f>
        <v>10</v>
      </c>
      <c r="BC33">
        <f>ROUND(POWER(AX33/10*(BE33-BF33+BI33),2)/BJ33*(A33+A33)/AQ33,0)</f>
        <v>1</v>
      </c>
      <c r="BD33" s="17">
        <f>ROUND(POWER(AX33/10*(BF33*2-BE33*2+BI33),2)/BJ33*(A33+A33)/AQ33,0)</f>
        <v>27</v>
      </c>
      <c r="BE33">
        <f>基本公式!$B$184</f>
        <v>30</v>
      </c>
      <c r="BF33">
        <f>基本公式!$B$183</f>
        <v>150</v>
      </c>
      <c r="BG33" s="52">
        <v>300</v>
      </c>
      <c r="BH33" s="52">
        <v>60000</v>
      </c>
      <c r="BI33" s="52">
        <v>200</v>
      </c>
      <c r="BJ33" s="52">
        <v>11500</v>
      </c>
    </row>
    <row r="34" spans="1:62">
      <c r="A34">
        <v>500</v>
      </c>
      <c r="B34" s="48">
        <f ca="1">ROUND(((U34-$U$29)+($V$29-V34)),0)</f>
        <v>2</v>
      </c>
      <c r="C34" s="49">
        <f ca="1">B34</f>
        <v>2</v>
      </c>
      <c r="D34" s="9">
        <v>5</v>
      </c>
      <c r="E34">
        <f>ROUND(POWER(A34*D34/100,AM34),0)</f>
        <v>5</v>
      </c>
      <c r="F34" s="50">
        <f>ROUND(G34*0.35+H34*0.65,0)</f>
        <v>1451</v>
      </c>
      <c r="G34">
        <f>ROUND((E34+(30+30)/2)*AN34*兵攻防!A34/基本公式!$B$53,0)</f>
        <v>525</v>
      </c>
      <c r="H34" s="51">
        <f>ROUND((E34+(基本公式!$B$181+基本公式!$B$31)/2)*AN34*兵攻防!A34/基本公式!$B$53,0)</f>
        <v>1950</v>
      </c>
      <c r="I34" s="9">
        <v>3</v>
      </c>
      <c r="J34">
        <f>ROUND(POWER($A$26*I34/100,$AM$26),0)</f>
        <v>4</v>
      </c>
      <c r="K34" s="2">
        <v>3</v>
      </c>
      <c r="L34">
        <f ca="1">ROUND(30/K34*P34*N34,2)</f>
        <v>14.18</v>
      </c>
      <c r="M34" s="9">
        <v>250</v>
      </c>
      <c r="N34" s="12">
        <f ca="1">OFFSET(其他表格!$G$2,M34/100,0)</f>
        <v>1.05</v>
      </c>
      <c r="O34" s="9">
        <v>5</v>
      </c>
      <c r="P34" s="12">
        <f ca="1">OFFSET(其他表格!$B$1,O34,0)</f>
        <v>1.35</v>
      </c>
      <c r="Q34">
        <f>ROUND((E34+200)*AN34,2)</f>
        <v>30.75</v>
      </c>
      <c r="R34">
        <f>ROUND(($E$26+200)*$AN$26,2)</f>
        <v>30</v>
      </c>
      <c r="S34">
        <f>ROUND(POWER((E34+200-$J$26-200+AP34),2)/AO34,2)</f>
        <v>42.5</v>
      </c>
      <c r="T34">
        <f>ROUND(POWER(($E$26+200-J34-200+AP34),2)/AO34,2)</f>
        <v>41</v>
      </c>
      <c r="U34">
        <f ca="1">ROUND((Q34+S34)*(A34+A34)/AQ34*L34,0)</f>
        <v>52</v>
      </c>
      <c r="V34">
        <f ca="1">ROUND((R34+T34)*(A34+A34)/AQ34*L34,0)</f>
        <v>50</v>
      </c>
      <c r="W34" s="65">
        <f ca="1">MIN(ROUND(U34/A34,4),1)</f>
        <v>0.104</v>
      </c>
      <c r="X34" s="65">
        <f ca="1">MIN(ROUND(V34/A34,4),1)</f>
        <v>0.1</v>
      </c>
      <c r="Y34"/>
      <c r="Z34"/>
      <c r="AA34"/>
      <c r="AB34" s="65"/>
      <c r="AC34"/>
      <c r="AD34" s="66"/>
      <c r="AE34" s="66"/>
      <c r="AF34" s="65"/>
      <c r="AG34" s="66"/>
      <c r="AH34" s="66"/>
      <c r="AI34" s="65"/>
      <c r="AJ34" s="66"/>
      <c r="AK34" s="66"/>
      <c r="AL34" s="65"/>
      <c r="AM34" s="52">
        <v>0.5</v>
      </c>
      <c r="AN34" s="52">
        <v>0.15</v>
      </c>
      <c r="AO34" s="52">
        <v>6000</v>
      </c>
      <c r="AP34" s="52">
        <v>500</v>
      </c>
      <c r="AQ34" s="52">
        <v>20000</v>
      </c>
      <c r="AS34">
        <f ca="1">ROUND(AT34*AV34,0)</f>
        <v>11</v>
      </c>
      <c r="AT34">
        <f>ROUND(AY34*0.35+AZ34*0.65,0)</f>
        <v>64</v>
      </c>
      <c r="AU34" s="65">
        <f ca="1">ROUND(AS34/A34,4)</f>
        <v>2.1999999999999999E-2</v>
      </c>
      <c r="AV34" s="8">
        <f ca="1">ROUND((AW34+其他表格!K6+基本公式!$B$87)*OFFSET(其他表格!$N$1,兵攻防!O34,0)+OFFSET(其他表格!$P$1,M34/100,0),4)</f>
        <v>0.17849999999999999</v>
      </c>
      <c r="AW34" s="54">
        <v>0.1</v>
      </c>
      <c r="AX34" s="9">
        <v>90</v>
      </c>
      <c r="AY34">
        <f t="shared" si="23"/>
        <v>11</v>
      </c>
      <c r="AZ34">
        <f t="shared" si="23"/>
        <v>92</v>
      </c>
      <c r="BA34">
        <f>ROUND(POWER(AX34/10*(BE34*2+BG34),2)/BH34*(A34+A34)/AQ34,0)</f>
        <v>9</v>
      </c>
      <c r="BB34" s="17">
        <f>ROUND(POWER(AX34/10*(BF34*2+BG34),2)/BH34*(A34+A34)/AQ34,0)</f>
        <v>24</v>
      </c>
      <c r="BC34">
        <f>ROUND(POWER(AX34/10*(BE34-BF34+BI34),2)/BJ34*(A34+A34)/AQ34,0)</f>
        <v>2</v>
      </c>
      <c r="BD34" s="17">
        <f>ROUND(POWER(AX34/10*(BF34*2-BE34*2+BI34),2)/BJ34*(A34+A34)/AQ34,0)</f>
        <v>68</v>
      </c>
      <c r="BE34">
        <f>基本公式!$B$184</f>
        <v>30</v>
      </c>
      <c r="BF34">
        <f>基本公式!$B$183</f>
        <v>150</v>
      </c>
      <c r="BG34" s="52">
        <v>300</v>
      </c>
      <c r="BH34" s="52">
        <v>60000</v>
      </c>
      <c r="BI34" s="52">
        <v>200</v>
      </c>
      <c r="BJ34" s="52">
        <v>11500</v>
      </c>
    </row>
    <row r="35" spans="1:62">
      <c r="A35">
        <v>1000</v>
      </c>
      <c r="B35" s="48">
        <f ca="1">ROUND(((U35-$U$29)+($V$29-V35)),0)</f>
        <v>5</v>
      </c>
      <c r="C35" s="49">
        <f ca="1">B35</f>
        <v>5</v>
      </c>
      <c r="D35" s="9">
        <v>5</v>
      </c>
      <c r="E35">
        <f>ROUND(POWER(A35*D35/100,AM35),0)</f>
        <v>7</v>
      </c>
      <c r="F35" s="50">
        <f>ROUND(G35*0.35+H35*0.65,0)</f>
        <v>2963</v>
      </c>
      <c r="G35">
        <f>ROUND((E35+(30+30)/2)*AN35*兵攻防!A35/基本公式!$B$53,0)</f>
        <v>1110</v>
      </c>
      <c r="H35" s="51">
        <f>ROUND((E35+(基本公式!$B$181+基本公式!$B$31)/2)*AN35*兵攻防!A35/基本公式!$B$53,0)</f>
        <v>3960</v>
      </c>
      <c r="I35" s="9">
        <v>3</v>
      </c>
      <c r="J35">
        <f>ROUND(POWER($A$27*I35/100,$AM$27),0)</f>
        <v>5</v>
      </c>
      <c r="K35" s="2">
        <v>3</v>
      </c>
      <c r="L35">
        <f ca="1">ROUND(30/K35*P35*N35,2)</f>
        <v>14.18</v>
      </c>
      <c r="M35" s="9">
        <v>250</v>
      </c>
      <c r="N35" s="12">
        <f ca="1">OFFSET(其他表格!$G$2,M35/100,0)</f>
        <v>1.05</v>
      </c>
      <c r="O35" s="9">
        <v>5</v>
      </c>
      <c r="P35" s="12">
        <f ca="1">OFFSET(其他表格!$B$1,O35,0)</f>
        <v>1.35</v>
      </c>
      <c r="Q35">
        <f>ROUND((E35+200)*AN35,2)</f>
        <v>31.05</v>
      </c>
      <c r="R35">
        <f>ROUND(($E$27+200)*$AN$27,2)</f>
        <v>30</v>
      </c>
      <c r="S35">
        <f>ROUND(POWER((E35+200-$J$27-200+AP35),2)/AO35,2)</f>
        <v>42.84</v>
      </c>
      <c r="T35">
        <f>ROUND(POWER(($E$27+200-J35-200+AP35),2)/AO35,2)</f>
        <v>40.840000000000003</v>
      </c>
      <c r="U35">
        <f ca="1">ROUND((Q35+S35)*(A35+A35)/AQ35*L35,0)</f>
        <v>105</v>
      </c>
      <c r="V35">
        <f ca="1">ROUND((R35+T35)*(A35+A35)/AQ35*L35,0)</f>
        <v>100</v>
      </c>
      <c r="W35" s="65">
        <f ca="1">MIN(ROUND(U35/A35,4),1)</f>
        <v>0.105</v>
      </c>
      <c r="X35" s="65">
        <f ca="1">MIN(ROUND(V35/A35,4),1)</f>
        <v>0.1</v>
      </c>
      <c r="Y35"/>
      <c r="Z35"/>
      <c r="AA35"/>
      <c r="AB35" s="65"/>
      <c r="AC35"/>
      <c r="AD35" s="66"/>
      <c r="AE35" s="66"/>
      <c r="AF35" s="65"/>
      <c r="AG35" s="66"/>
      <c r="AH35" s="66"/>
      <c r="AI35" s="65"/>
      <c r="AJ35" s="66"/>
      <c r="AK35" s="66"/>
      <c r="AL35" s="65"/>
      <c r="AM35" s="52">
        <v>0.5</v>
      </c>
      <c r="AN35" s="52">
        <v>0.15</v>
      </c>
      <c r="AO35" s="52">
        <v>6000</v>
      </c>
      <c r="AP35" s="52">
        <v>500</v>
      </c>
      <c r="AQ35" s="52">
        <v>20000</v>
      </c>
      <c r="AS35">
        <f ca="1">ROUND(AT35*AV35,0)</f>
        <v>26</v>
      </c>
      <c r="AT35">
        <f>ROUND(AY35*0.35+AZ35*0.65,0)</f>
        <v>128</v>
      </c>
      <c r="AU35" s="65">
        <f ca="1">ROUND(AS35/A35,4)</f>
        <v>2.5999999999999999E-2</v>
      </c>
      <c r="AV35" s="8">
        <f ca="1">ROUND((AW35+其他表格!K7+基本公式!$B$87)*OFFSET(其他表格!$N$1,兵攻防!O35,0)+OFFSET(其他表格!$P$1,M35/100,0),4)</f>
        <v>0.20380000000000001</v>
      </c>
      <c r="AW35" s="54">
        <v>0.1</v>
      </c>
      <c r="AX35" s="9">
        <v>90</v>
      </c>
      <c r="AY35">
        <f t="shared" si="23"/>
        <v>22</v>
      </c>
      <c r="AZ35">
        <f t="shared" si="23"/>
        <v>185</v>
      </c>
      <c r="BA35">
        <f>ROUND(POWER(AX35/10*(BE35*2+BG35),2)/BH35*(A35+A35)/AQ35,0)</f>
        <v>17</v>
      </c>
      <c r="BB35" s="17">
        <f>ROUND(POWER(AX35/10*(BF35*2+BG35),2)/BH35*(A35+A35)/AQ35,0)</f>
        <v>49</v>
      </c>
      <c r="BC35">
        <f>ROUND(POWER(AX35/10*(BE35-BF35+BI35),2)/BJ35*(A35+A35)/AQ35,0)</f>
        <v>5</v>
      </c>
      <c r="BD35" s="17">
        <f>ROUND(POWER(AX35/10*(BF35*2-BE35*2+BI35),2)/BJ35*(A35+A35)/AQ35,0)</f>
        <v>136</v>
      </c>
      <c r="BE35">
        <f>基本公式!$B$184</f>
        <v>30</v>
      </c>
      <c r="BF35">
        <f>基本公式!$B$183</f>
        <v>150</v>
      </c>
      <c r="BG35" s="52">
        <v>300</v>
      </c>
      <c r="BH35" s="52">
        <v>60000</v>
      </c>
      <c r="BI35" s="52">
        <v>200</v>
      </c>
      <c r="BJ35" s="52">
        <v>11500</v>
      </c>
    </row>
    <row r="36" spans="1:62">
      <c r="A36">
        <v>2000</v>
      </c>
      <c r="B36" s="48">
        <f ca="1">ROUND(((U36-$U$29)+($V$29-V36)),0)</f>
        <v>13</v>
      </c>
      <c r="C36" s="49">
        <f ca="1">B36</f>
        <v>13</v>
      </c>
      <c r="D36" s="9">
        <v>5</v>
      </c>
      <c r="E36">
        <f>ROUND(POWER(A36*D36/100,AM36),0)</f>
        <v>10</v>
      </c>
      <c r="F36" s="50">
        <f>ROUND(G36*0.35+H36*0.65,0)</f>
        <v>6105</v>
      </c>
      <c r="G36">
        <f>ROUND((E36+(30+30)/2)*AN36*兵攻防!A36/基本公式!$B$53,0)</f>
        <v>2400</v>
      </c>
      <c r="H36" s="51">
        <f>ROUND((E36+(基本公式!$B$181+基本公式!$B$31)/2)*AN36*兵攻防!A36/基本公式!$B$53,0)</f>
        <v>8100</v>
      </c>
      <c r="I36" s="9">
        <v>3</v>
      </c>
      <c r="J36">
        <f>ROUND(POWER($A$28*I36/100,$AM$28),0)</f>
        <v>8</v>
      </c>
      <c r="K36" s="2">
        <v>3</v>
      </c>
      <c r="L36">
        <f ca="1">ROUND(30/K36*P36*N36,2)</f>
        <v>14.18</v>
      </c>
      <c r="M36" s="9">
        <v>250</v>
      </c>
      <c r="N36" s="12">
        <f ca="1">OFFSET(其他表格!$G$2,M36/100,0)</f>
        <v>1.05</v>
      </c>
      <c r="O36" s="9">
        <v>5</v>
      </c>
      <c r="P36" s="12">
        <f ca="1">OFFSET(其他表格!$B$1,O36,0)</f>
        <v>1.35</v>
      </c>
      <c r="Q36">
        <f>ROUND((E36+200)*AN36,2)</f>
        <v>31.5</v>
      </c>
      <c r="R36">
        <f>ROUND(($E$28+200)*$AN$28,2)</f>
        <v>30</v>
      </c>
      <c r="S36">
        <f>ROUND(POWER((E36+200-$J$28-200+AP36),2)/AO36,2)</f>
        <v>43.35</v>
      </c>
      <c r="T36">
        <f>ROUND(POWER(($E$28+200-J36-200+AP36),2)/AO36,2)</f>
        <v>40.340000000000003</v>
      </c>
      <c r="U36">
        <f ca="1">ROUND((Q36+S36)*(A36+A36)/AQ36*L36,0)</f>
        <v>212</v>
      </c>
      <c r="V36">
        <f ca="1">ROUND((R36+T36)*(A36+A36)/AQ36*L36,0)</f>
        <v>199</v>
      </c>
      <c r="W36" s="65">
        <f ca="1">MIN(ROUND(U36/A36,4),1)</f>
        <v>0.106</v>
      </c>
      <c r="X36" s="65">
        <f ca="1">MIN(ROUND(V36/A36,4),1)</f>
        <v>9.9500000000000005E-2</v>
      </c>
      <c r="Y36"/>
      <c r="Z36"/>
      <c r="AA36"/>
      <c r="AB36" s="65"/>
      <c r="AC36"/>
      <c r="AD36" s="66"/>
      <c r="AE36" s="66"/>
      <c r="AF36" s="65"/>
      <c r="AG36" s="66"/>
      <c r="AH36" s="66"/>
      <c r="AI36" s="65"/>
      <c r="AJ36" s="66"/>
      <c r="AK36" s="66"/>
      <c r="AL36" s="65"/>
      <c r="AM36" s="52">
        <v>0.5</v>
      </c>
      <c r="AN36" s="52">
        <v>0.15</v>
      </c>
      <c r="AO36" s="52">
        <v>6000</v>
      </c>
      <c r="AP36" s="52">
        <v>500</v>
      </c>
      <c r="AQ36" s="52">
        <v>20000</v>
      </c>
      <c r="AS36">
        <f ca="1">ROUND(AT36*AV36,0)</f>
        <v>60</v>
      </c>
      <c r="AT36">
        <f>ROUND(AY36*0.35+AZ36*0.65,0)</f>
        <v>256</v>
      </c>
      <c r="AU36" s="65">
        <f ca="1">ROUND(AS36/A36,4)</f>
        <v>0.03</v>
      </c>
      <c r="AV36" s="8">
        <f ca="1">ROUND((AW36+其他表格!K8+基本公式!$B$87)*OFFSET(其他表格!$N$1,兵攻防!O36,0)+OFFSET(其他表格!$P$1,M36/100,0),4)</f>
        <v>0.23330000000000001</v>
      </c>
      <c r="AW36" s="54">
        <v>0.1</v>
      </c>
      <c r="AX36" s="9">
        <v>90</v>
      </c>
      <c r="AY36">
        <f t="shared" si="23"/>
        <v>44</v>
      </c>
      <c r="AZ36">
        <f t="shared" si="23"/>
        <v>370</v>
      </c>
      <c r="BA36">
        <f>ROUND(POWER(AX36/10*(BE36*2+BG36),2)/BH36*(A36+A36)/AQ36,0)</f>
        <v>35</v>
      </c>
      <c r="BB36" s="17">
        <f>ROUND(POWER(AX36/10*(BF36*2+BG36),2)/BH36*(A36+A36)/AQ36,0)</f>
        <v>97</v>
      </c>
      <c r="BC36">
        <f>ROUND(POWER(AX36/10*(BE36-BF36+BI36),2)/BJ36*(A36+A36)/AQ36,0)</f>
        <v>9</v>
      </c>
      <c r="BD36" s="17">
        <f>ROUND(POWER(AX36/10*(BF36*2-BE36*2+BI36),2)/BJ36*(A36+A36)/AQ36,0)</f>
        <v>273</v>
      </c>
      <c r="BE36">
        <f>基本公式!$B$184</f>
        <v>30</v>
      </c>
      <c r="BF36">
        <f>基本公式!$B$183</f>
        <v>150</v>
      </c>
      <c r="BG36" s="52">
        <v>300</v>
      </c>
      <c r="BH36" s="52">
        <v>60000</v>
      </c>
      <c r="BI36" s="52">
        <v>200</v>
      </c>
      <c r="BJ36" s="52">
        <v>11500</v>
      </c>
    </row>
    <row r="37" spans="1:62">
      <c r="A37">
        <v>5000</v>
      </c>
      <c r="B37" s="48">
        <f ca="1">ROUND(((U37-$U$29)+($V$29-V37)),0)</f>
        <v>50</v>
      </c>
      <c r="C37" s="49">
        <f ca="1">B37</f>
        <v>50</v>
      </c>
      <c r="D37" s="9">
        <v>5</v>
      </c>
      <c r="E37">
        <f>ROUND(POWER(A37*D37/100,AM37),0)</f>
        <v>16</v>
      </c>
      <c r="F37" s="50">
        <f>ROUND(G37*0.35+H37*0.65,0)</f>
        <v>16163</v>
      </c>
      <c r="G37">
        <f>ROUND((E37+(30+30)/2)*AN37*兵攻防!A37/基本公式!$B$53,0)</f>
        <v>6900</v>
      </c>
      <c r="H37" s="51">
        <f>ROUND((E37+(基本公式!$B$181+基本公式!$B$31)/2)*AN37*兵攻防!A37/基本公式!$B$53,0)</f>
        <v>21150</v>
      </c>
      <c r="I37" s="9">
        <v>3</v>
      </c>
      <c r="J37">
        <f>ROUND(POWER($A$29*I37/100,$AM$29),0)</f>
        <v>12</v>
      </c>
      <c r="K37" s="2">
        <v>3</v>
      </c>
      <c r="L37">
        <f ca="1">ROUND(30/K37*P37*N37,2)</f>
        <v>14.18</v>
      </c>
      <c r="M37" s="9">
        <v>250</v>
      </c>
      <c r="N37" s="12">
        <f ca="1">OFFSET(其他表格!$G$2,M37/100,0)</f>
        <v>1.05</v>
      </c>
      <c r="O37" s="9">
        <v>5</v>
      </c>
      <c r="P37" s="12">
        <f ca="1">OFFSET(其他表格!$B$1,O37,0)</f>
        <v>1.35</v>
      </c>
      <c r="Q37">
        <f>ROUND((E37+200)*AN37,2)</f>
        <v>32.4</v>
      </c>
      <c r="R37">
        <f>ROUND(($E$29+200)*$AN$29,2)</f>
        <v>30</v>
      </c>
      <c r="S37">
        <f>ROUND(POWER((E37+200-$J$29-200+AP37),2)/AO37,2)</f>
        <v>44.38</v>
      </c>
      <c r="T37">
        <f>ROUND(POWER(($E$29+200-J37-200+AP37),2)/AO37,2)</f>
        <v>39.69</v>
      </c>
      <c r="U37">
        <f ca="1">ROUND((Q37+S37)*(A37+A37)/AQ37*L37,0)</f>
        <v>544</v>
      </c>
      <c r="V37">
        <f ca="1">ROUND((R37+T37)*(A37+A37)/AQ37*L37,0)</f>
        <v>494</v>
      </c>
      <c r="W37" s="65">
        <f ca="1">MIN(ROUND(U37/A37,4),1)</f>
        <v>0.10879999999999999</v>
      </c>
      <c r="X37" s="65">
        <f ca="1">MIN(ROUND(V37/A37,4),1)</f>
        <v>9.8799999999999999E-2</v>
      </c>
      <c r="Y37"/>
      <c r="Z37"/>
      <c r="AA37"/>
      <c r="AB37" s="65"/>
      <c r="AC37"/>
      <c r="AD37" s="66"/>
      <c r="AE37" s="66"/>
      <c r="AF37" s="65"/>
      <c r="AG37" s="66"/>
      <c r="AH37" s="66"/>
      <c r="AI37" s="65"/>
      <c r="AJ37" s="66"/>
      <c r="AK37" s="66"/>
      <c r="AL37" s="65"/>
      <c r="AM37" s="52">
        <v>0.5</v>
      </c>
      <c r="AN37" s="52">
        <v>0.15</v>
      </c>
      <c r="AO37" s="52">
        <v>6000</v>
      </c>
      <c r="AP37" s="52">
        <v>500</v>
      </c>
      <c r="AQ37" s="52">
        <v>20000</v>
      </c>
      <c r="AS37">
        <f ca="1">ROUND(AT37*AV37,0)</f>
        <v>171</v>
      </c>
      <c r="AT37">
        <f>ROUND(AY37*0.35+AZ37*0.65,0)</f>
        <v>640</v>
      </c>
      <c r="AU37" s="65">
        <f ca="1">ROUND(AS37/A37,4)</f>
        <v>3.4200000000000001E-2</v>
      </c>
      <c r="AV37" s="8">
        <f ca="1">ROUND((AW37+其他表格!K9+基本公式!$B$87)*OFFSET(其他表格!$N$1,兵攻防!O37,0)+OFFSET(其他表格!$P$1,M37/100,0),4)</f>
        <v>0.26700000000000002</v>
      </c>
      <c r="AW37" s="54">
        <v>0.1</v>
      </c>
      <c r="AX37" s="9">
        <v>90</v>
      </c>
      <c r="AY37">
        <f t="shared" si="23"/>
        <v>110</v>
      </c>
      <c r="AZ37">
        <f t="shared" si="23"/>
        <v>925</v>
      </c>
      <c r="BA37">
        <f>ROUND(POWER(AX37/10*(BE37*2+BG37),2)/BH37*(A37+A37)/AQ37,0)</f>
        <v>87</v>
      </c>
      <c r="BB37" s="17">
        <f>ROUND(POWER(AX37/10*(BF37*2+BG37),2)/BH37*(A37+A37)/AQ37,0)</f>
        <v>243</v>
      </c>
      <c r="BC37">
        <f>ROUND(POWER(AX37/10*(BE37-BF37+BI37),2)/BJ37*(A37+A37)/AQ37,0)</f>
        <v>23</v>
      </c>
      <c r="BD37" s="17">
        <f>ROUND(POWER(AX37/10*(BF37*2-BE37*2+BI37),2)/BJ37*(A37+A37)/AQ37,0)</f>
        <v>682</v>
      </c>
      <c r="BE37">
        <f>基本公式!$B$184</f>
        <v>30</v>
      </c>
      <c r="BF37">
        <f>基本公式!$B$183</f>
        <v>150</v>
      </c>
      <c r="BG37" s="52">
        <v>300</v>
      </c>
      <c r="BH37" s="52">
        <v>60000</v>
      </c>
      <c r="BI37" s="52">
        <v>200</v>
      </c>
      <c r="BJ37" s="52">
        <v>11500</v>
      </c>
    </row>
    <row r="39" spans="1:62" s="47" customFormat="1">
      <c r="A39" s="47" t="s">
        <v>165</v>
      </c>
      <c r="B39" s="61" t="s">
        <v>163</v>
      </c>
      <c r="C39" s="61" t="s">
        <v>166</v>
      </c>
      <c r="F39" s="62"/>
      <c r="H39" s="63"/>
      <c r="K39" s="64"/>
      <c r="AR39" s="69"/>
      <c r="AV39" s="49"/>
      <c r="AW39" s="72"/>
      <c r="AX39" s="73"/>
      <c r="BB39" s="74"/>
      <c r="BD39" s="74"/>
      <c r="BG39" s="52"/>
      <c r="BH39" s="52"/>
    </row>
    <row r="40" spans="1:62">
      <c r="A40">
        <v>100</v>
      </c>
      <c r="B40" s="48">
        <f t="shared" ref="B40" ca="1" si="24">ROUND(((U40-$U$29)+($V$29-V40)),0)</f>
        <v>0</v>
      </c>
      <c r="C40" s="49">
        <v>13</v>
      </c>
      <c r="D40" s="9">
        <v>14</v>
      </c>
      <c r="E40">
        <f t="shared" ref="E40" si="25">ROUND(POWER(A40*D40/100,AM40),0)</f>
        <v>4</v>
      </c>
      <c r="F40" s="50">
        <f>ROUND(G40*0.35+H40*0.65,0)</f>
        <v>287</v>
      </c>
      <c r="G40">
        <f>ROUND((E40+(30+30)/2)*AN40*兵攻防!A40/基本公式!$B$53,0)</f>
        <v>102</v>
      </c>
      <c r="H40" s="51">
        <f>ROUND((E40+(基本公式!$B$181+基本公式!$B$31)/2)*AN40*兵攻防!A40/基本公式!$B$53,0)</f>
        <v>387</v>
      </c>
      <c r="I40" s="9">
        <v>7</v>
      </c>
      <c r="J40">
        <f>ROUND(POWER($A$24*I40/100,$AM$24),0)</f>
        <v>3</v>
      </c>
      <c r="K40" s="2">
        <v>3</v>
      </c>
      <c r="L40">
        <f t="shared" ref="L40" ca="1" si="26">ROUND(30/K40*P40*N40,2)</f>
        <v>15</v>
      </c>
      <c r="M40" s="9">
        <v>190</v>
      </c>
      <c r="N40" s="12">
        <f ca="1">OFFSET(其他表格!$G$2,M40/100,0)</f>
        <v>1</v>
      </c>
      <c r="O40" s="9">
        <v>8</v>
      </c>
      <c r="P40" s="12">
        <f ca="1">OFFSET(其他表格!$B$1,O40,0)</f>
        <v>1.5</v>
      </c>
      <c r="Q40">
        <f t="shared" ref="Q40" si="27">ROUND((E40+200)*AN40,2)</f>
        <v>30.6</v>
      </c>
      <c r="R40">
        <f>ROUND(($E$24+200)*$AN$24,2)</f>
        <v>30</v>
      </c>
      <c r="S40">
        <f>ROUND(POWER((E40+200-$J$24-200+AP40),2)/AO40,2)</f>
        <v>42.34</v>
      </c>
      <c r="T40">
        <f>ROUND(POWER(($E$24+200-J40-200+AP40),2)/AO40,2)</f>
        <v>41.17</v>
      </c>
      <c r="U40">
        <f t="shared" ref="U40" ca="1" si="28">ROUND((Q40+S40)*(A40+A40)/AQ40*L40,0)</f>
        <v>11</v>
      </c>
      <c r="V40">
        <f t="shared" ref="V40" ca="1" si="29">ROUND((R40+T40)*(A40+A40)/AQ40*L40,0)</f>
        <v>11</v>
      </c>
      <c r="W40" s="65">
        <f t="shared" ref="W40" ca="1" si="30">MIN(ROUND(U40/A40,4),1)</f>
        <v>0.11</v>
      </c>
      <c r="X40" s="65">
        <f t="shared" ref="X40" ca="1" si="31">MIN(ROUND(V40/A40,4),1)</f>
        <v>0.11</v>
      </c>
      <c r="Y40"/>
      <c r="Z40"/>
      <c r="AA40"/>
      <c r="AB40" s="65"/>
      <c r="AC40"/>
      <c r="AD40" s="66"/>
      <c r="AE40" s="66"/>
      <c r="AF40" s="65"/>
      <c r="AG40" s="66"/>
      <c r="AH40" s="66"/>
      <c r="AI40" s="65"/>
      <c r="AJ40" s="66"/>
      <c r="AK40" s="66"/>
      <c r="AL40" s="65"/>
      <c r="AM40" s="52">
        <v>0.5</v>
      </c>
      <c r="AN40" s="52">
        <v>0.15</v>
      </c>
      <c r="AO40" s="52">
        <v>6000</v>
      </c>
      <c r="AP40" s="52">
        <v>500</v>
      </c>
      <c r="AQ40" s="52">
        <v>20000</v>
      </c>
      <c r="AS40">
        <f t="shared" ref="AS40" ca="1" si="32">ROUND(AT40*AV40,0)</f>
        <v>4</v>
      </c>
      <c r="AT40">
        <f t="shared" ref="AT40" si="33">ROUND(AY40*0.35+AZ40*0.65,0)</f>
        <v>21</v>
      </c>
      <c r="AU40" s="65">
        <f t="shared" ref="AU40" ca="1" si="34">ROUND(AS40/A40,4)</f>
        <v>0.04</v>
      </c>
      <c r="AV40" s="8">
        <f ca="1">ROUND((AW40+其他表格!K4+基本公式!$B$87)*OFFSET(其他表格!$N$1,兵攻防!O40,0)+OFFSET(其他表格!$P$1,M40/100,0),4)</f>
        <v>0.1757</v>
      </c>
      <c r="AW40" s="54">
        <v>0.1</v>
      </c>
      <c r="AX40" s="9">
        <v>115</v>
      </c>
      <c r="AY40">
        <f t="shared" ref="AY40" si="35">BA40+BC40</f>
        <v>4</v>
      </c>
      <c r="AZ40">
        <f t="shared" ref="AZ40" si="36">BB40+BD40</f>
        <v>30</v>
      </c>
      <c r="BA40">
        <f t="shared" ref="BA40" si="37">ROUND(POWER(AX40/10*(BE40*2+BG40),2)/BH40*(A40+A40)/AQ40,0)</f>
        <v>3</v>
      </c>
      <c r="BB40" s="17">
        <f t="shared" ref="BB40" si="38">ROUND(POWER(AX40/10*(BF40*2+BG40),2)/BH40*(A40+A40)/AQ40,0)</f>
        <v>8</v>
      </c>
      <c r="BC40">
        <f t="shared" ref="BC40" si="39">ROUND(POWER(AX40/10*(BE40-BF40+BI40),2)/BJ40*(A40+A40)/AQ40,0)</f>
        <v>1</v>
      </c>
      <c r="BD40" s="17">
        <f t="shared" ref="BD40" si="40">ROUND(POWER(AX40/10*(BF40*2-BE40*2+BI40),2)/BJ40*(A40+A40)/AQ40,0)</f>
        <v>22</v>
      </c>
      <c r="BE40">
        <f>基本公式!$B$184</f>
        <v>30</v>
      </c>
      <c r="BF40">
        <f>基本公式!$B$183</f>
        <v>150</v>
      </c>
      <c r="BG40" s="52">
        <v>300</v>
      </c>
      <c r="BH40" s="52">
        <v>60000</v>
      </c>
      <c r="BI40" s="52">
        <v>200</v>
      </c>
      <c r="BJ40" s="52">
        <v>11500</v>
      </c>
    </row>
    <row r="41" spans="1:62">
      <c r="A41">
        <v>200</v>
      </c>
      <c r="B41" s="48">
        <f ca="1">ROUND(((U41-$U$29)+($V$29-V41)),0)</f>
        <v>1</v>
      </c>
      <c r="C41" s="49">
        <f ca="1">ROUND(C33*基本公式!$B$86,0)</f>
        <v>2</v>
      </c>
      <c r="D41" s="9">
        <v>14</v>
      </c>
      <c r="E41">
        <f>ROUND(POWER(A41*D41/100,AM41),0)</f>
        <v>5</v>
      </c>
      <c r="F41" s="50">
        <f t="shared" ref="F41" si="41">ROUND(G41*0.35+H41*0.65,0)</f>
        <v>581</v>
      </c>
      <c r="G41">
        <f>ROUND((E41+(30+30)/2)*AN41*兵攻防!A41/基本公式!$B$53,0)</f>
        <v>210</v>
      </c>
      <c r="H41" s="51">
        <f>ROUND((E41+(基本公式!$B$181+基本公式!$B$31)/2)*AN41*兵攻防!A41/基本公式!$B$53,0)</f>
        <v>780</v>
      </c>
      <c r="I41" s="9">
        <v>7</v>
      </c>
      <c r="J41">
        <f>ROUND(POWER($A$25*I41/100,$AM$25),0)</f>
        <v>4</v>
      </c>
      <c r="K41" s="2">
        <v>3</v>
      </c>
      <c r="L41">
        <f ca="1">ROUND(30/K41*P41*N41,2)</f>
        <v>15</v>
      </c>
      <c r="M41" s="9">
        <v>190</v>
      </c>
      <c r="N41" s="12">
        <f ca="1">OFFSET(其他表格!$G$2,M41/100,0)</f>
        <v>1</v>
      </c>
      <c r="O41" s="9">
        <v>8</v>
      </c>
      <c r="P41" s="12">
        <f ca="1">OFFSET(其他表格!$B$1,O41,0)</f>
        <v>1.5</v>
      </c>
      <c r="Q41">
        <f>ROUND((E41+200)*AN41,2)</f>
        <v>30.75</v>
      </c>
      <c r="R41">
        <f>ROUND(($E$25+200)*$AN$25,2)</f>
        <v>30</v>
      </c>
      <c r="S41">
        <f>ROUND(POWER((E41+200-$J$25-200+AP41),2)/AO41,2)</f>
        <v>42.5</v>
      </c>
      <c r="T41">
        <f>ROUND(POWER(($E$25+200-J41-200+AP41),2)/AO41,2)</f>
        <v>41</v>
      </c>
      <c r="U41">
        <f ca="1">ROUND((Q41+S41)*(A41+A41)/AQ41*L41,0)</f>
        <v>22</v>
      </c>
      <c r="V41">
        <f ca="1">ROUND((R41+T41)*(A41+A41)/AQ41*L41,0)</f>
        <v>21</v>
      </c>
      <c r="W41" s="65">
        <f ca="1">MIN(ROUND(U41/A41,4),1)</f>
        <v>0.11</v>
      </c>
      <c r="X41" s="65">
        <f ca="1">MIN(ROUND(V41/A41,4),1)</f>
        <v>0.105</v>
      </c>
      <c r="Y41"/>
      <c r="Z41"/>
      <c r="AA41"/>
      <c r="AB41" s="65"/>
      <c r="AC41"/>
      <c r="AD41" s="66"/>
      <c r="AE41" s="66"/>
      <c r="AF41" s="65"/>
      <c r="AG41" s="66"/>
      <c r="AH41" s="66"/>
      <c r="AI41" s="65"/>
      <c r="AJ41" s="66"/>
      <c r="AK41" s="66"/>
      <c r="AL41" s="65"/>
      <c r="AM41" s="52">
        <v>0.5</v>
      </c>
      <c r="AN41" s="52">
        <v>0.15</v>
      </c>
      <c r="AO41" s="52">
        <v>6000</v>
      </c>
      <c r="AP41" s="52">
        <v>500</v>
      </c>
      <c r="AQ41" s="52">
        <v>20000</v>
      </c>
      <c r="AS41">
        <f ca="1">ROUND(AT41*AV41,0)</f>
        <v>9</v>
      </c>
      <c r="AT41">
        <f>ROUND(AY41*0.35+AZ41*0.65,0)</f>
        <v>42</v>
      </c>
      <c r="AU41" s="65">
        <f ca="1">ROUND(AS41/A41,4)</f>
        <v>4.4999999999999998E-2</v>
      </c>
      <c r="AV41" s="8">
        <f ca="1">ROUND((AW41+其他表格!K5+基本公式!$B$87)*OFFSET(其他表格!$N$1,兵攻防!O41,0)+OFFSET(其他表格!$P$1,M41/100,0),4)</f>
        <v>0.21329999999999999</v>
      </c>
      <c r="AW41" s="54">
        <v>0.1</v>
      </c>
      <c r="AX41" s="9">
        <v>115</v>
      </c>
      <c r="AY41">
        <f t="shared" ref="AY41:AZ45" si="42">BA41+BC41</f>
        <v>7</v>
      </c>
      <c r="AZ41">
        <f t="shared" si="42"/>
        <v>61</v>
      </c>
      <c r="BA41">
        <f>ROUND(POWER(AX41/10*(BE41*2+BG41),2)/BH41*(A41+A41)/AQ41,0)</f>
        <v>6</v>
      </c>
      <c r="BB41" s="17">
        <f>ROUND(POWER(AX41/10*(BF41*2+BG41),2)/BH41*(A41+A41)/AQ41,0)</f>
        <v>16</v>
      </c>
      <c r="BC41">
        <f>ROUND(POWER(AX41/10*(BE41-BF41+BI41),2)/BJ41*(A41+A41)/AQ41,0)</f>
        <v>1</v>
      </c>
      <c r="BD41" s="17">
        <f>ROUND(POWER(AX41/10*(BF41*2-BE41*2+BI41),2)/BJ41*(A41+A41)/AQ41,0)</f>
        <v>45</v>
      </c>
      <c r="BE41">
        <f>基本公式!$B$184</f>
        <v>30</v>
      </c>
      <c r="BF41">
        <f>基本公式!$B$183</f>
        <v>150</v>
      </c>
      <c r="BG41" s="52">
        <v>300</v>
      </c>
      <c r="BH41" s="52">
        <v>60000</v>
      </c>
      <c r="BI41" s="52">
        <v>200</v>
      </c>
      <c r="BJ41" s="52">
        <v>11500</v>
      </c>
    </row>
    <row r="42" spans="1:62">
      <c r="A42">
        <v>500</v>
      </c>
      <c r="B42" s="48">
        <f ca="1">ROUND(((U42-$U$29)+($V$29-V42)),0)</f>
        <v>3</v>
      </c>
      <c r="C42" s="49">
        <f ca="1">ROUND(C34*基本公式!$B$86,0)</f>
        <v>3</v>
      </c>
      <c r="D42" s="9">
        <v>14</v>
      </c>
      <c r="E42">
        <f>ROUND(POWER(A42*D42/100,AM42),0)</f>
        <v>8</v>
      </c>
      <c r="F42" s="50">
        <f>ROUND(G42*0.35+H42*0.65,0)</f>
        <v>1496</v>
      </c>
      <c r="G42">
        <f>ROUND((E42+(30+30)/2)*AN42*兵攻防!A42/基本公式!$B$53,0)</f>
        <v>570</v>
      </c>
      <c r="H42" s="51">
        <f>ROUND((E42+(基本公式!$B$181+基本公式!$B$31)/2)*AN42*兵攻防!A42/基本公式!$B$53,0)</f>
        <v>1995</v>
      </c>
      <c r="I42" s="9">
        <v>7</v>
      </c>
      <c r="J42">
        <f>ROUND(POWER($A$26*I42/100,$AM$26),0)</f>
        <v>6</v>
      </c>
      <c r="K42" s="2">
        <v>3</v>
      </c>
      <c r="L42">
        <f ca="1">ROUND(30/K42*P42*N42,2)</f>
        <v>15</v>
      </c>
      <c r="M42" s="9">
        <v>190</v>
      </c>
      <c r="N42" s="12">
        <f ca="1">OFFSET(其他表格!$G$2,M42/100,0)</f>
        <v>1</v>
      </c>
      <c r="O42" s="9">
        <v>8</v>
      </c>
      <c r="P42" s="12">
        <f ca="1">OFFSET(其他表格!$B$1,O42,0)</f>
        <v>1.5</v>
      </c>
      <c r="Q42">
        <f>ROUND((E42+200)*AN42,2)</f>
        <v>31.2</v>
      </c>
      <c r="R42">
        <f>ROUND(($E$26+200)*$AN$26,2)</f>
        <v>30</v>
      </c>
      <c r="S42">
        <f>ROUND(POWER((E42+200-$J$26-200+AP42),2)/AO42,2)</f>
        <v>43.01</v>
      </c>
      <c r="T42">
        <f>ROUND(POWER(($E$26+200-J42-200+AP42),2)/AO42,2)</f>
        <v>40.67</v>
      </c>
      <c r="U42">
        <f ca="1">ROUND((Q42+S42)*(A42+A42)/AQ42*L42,0)</f>
        <v>56</v>
      </c>
      <c r="V42">
        <f ca="1">ROUND((R42+T42)*(A42+A42)/AQ42*L42,0)</f>
        <v>53</v>
      </c>
      <c r="W42" s="65">
        <f ca="1">MIN(ROUND(U42/A42,4),1)</f>
        <v>0.112</v>
      </c>
      <c r="X42" s="65">
        <f ca="1">MIN(ROUND(V42/A42,4),1)</f>
        <v>0.106</v>
      </c>
      <c r="Y42"/>
      <c r="Z42"/>
      <c r="AA42"/>
      <c r="AB42" s="65"/>
      <c r="AC42"/>
      <c r="AD42" s="66"/>
      <c r="AE42" s="66"/>
      <c r="AF42" s="65"/>
      <c r="AG42" s="66"/>
      <c r="AH42" s="66"/>
      <c r="AI42" s="65"/>
      <c r="AJ42" s="66"/>
      <c r="AK42" s="66"/>
      <c r="AL42" s="65"/>
      <c r="AM42" s="52">
        <v>0.5</v>
      </c>
      <c r="AN42" s="52">
        <v>0.15</v>
      </c>
      <c r="AO42" s="52">
        <v>6000</v>
      </c>
      <c r="AP42" s="52">
        <v>500</v>
      </c>
      <c r="AQ42" s="52">
        <v>20000</v>
      </c>
      <c r="AS42">
        <f ca="1">ROUND(AT42*AV42,0)</f>
        <v>26</v>
      </c>
      <c r="AT42">
        <f>ROUND(AY42*0.35+AZ42*0.65,0)</f>
        <v>104</v>
      </c>
      <c r="AU42" s="65">
        <f ca="1">ROUND(AS42/A42,4)</f>
        <v>5.1999999999999998E-2</v>
      </c>
      <c r="AV42" s="8">
        <f ca="1">ROUND((AW42+其他表格!K6+基本公式!$B$87)*OFFSET(其他表格!$N$1,兵攻防!O42,0)+OFFSET(其他表格!$P$1,M42/100,0),4)</f>
        <v>0.251</v>
      </c>
      <c r="AW42" s="54">
        <v>0.1</v>
      </c>
      <c r="AX42" s="9">
        <v>115</v>
      </c>
      <c r="AY42">
        <f t="shared" si="42"/>
        <v>18</v>
      </c>
      <c r="AZ42">
        <f t="shared" si="42"/>
        <v>151</v>
      </c>
      <c r="BA42">
        <f>ROUND(POWER(AX42/10*(BE42*2+BG42),2)/BH42*(A42+A42)/AQ42,0)</f>
        <v>14</v>
      </c>
      <c r="BB42" s="17">
        <f>ROUND(POWER(AX42/10*(BF42*2+BG42),2)/BH42*(A42+A42)/AQ42,0)</f>
        <v>40</v>
      </c>
      <c r="BC42">
        <f>ROUND(POWER(AX42/10*(BE42-BF42+BI42),2)/BJ42*(A42+A42)/AQ42,0)</f>
        <v>4</v>
      </c>
      <c r="BD42" s="17">
        <f>ROUND(POWER(AX42/10*(BF42*2-BE42*2+BI42),2)/BJ42*(A42+A42)/AQ42,0)</f>
        <v>111</v>
      </c>
      <c r="BE42">
        <f>基本公式!$B$184</f>
        <v>30</v>
      </c>
      <c r="BF42">
        <f>基本公式!$B$183</f>
        <v>150</v>
      </c>
      <c r="BG42" s="52">
        <v>300</v>
      </c>
      <c r="BH42" s="52">
        <v>60000</v>
      </c>
      <c r="BI42" s="52">
        <v>200</v>
      </c>
      <c r="BJ42" s="52">
        <v>11500</v>
      </c>
    </row>
    <row r="43" spans="1:62">
      <c r="A43">
        <v>1000</v>
      </c>
      <c r="B43" s="48">
        <f ca="1">ROUND(((U43-$U$29)+($V$29-V43)),0)</f>
        <v>7</v>
      </c>
      <c r="C43" s="49">
        <f ca="1">ROUND(C35*基本公式!$B$86,0)</f>
        <v>9</v>
      </c>
      <c r="D43" s="9">
        <v>14</v>
      </c>
      <c r="E43">
        <f>ROUND(POWER(A43*D43/100,AM43),0)</f>
        <v>12</v>
      </c>
      <c r="F43" s="50">
        <f>ROUND(G43*0.35+H43*0.65,0)</f>
        <v>3113</v>
      </c>
      <c r="G43">
        <f>ROUND((E43+(30+30)/2)*AN43*兵攻防!A43/基本公式!$B$53,0)</f>
        <v>1260</v>
      </c>
      <c r="H43" s="51">
        <f>ROUND((E43+(基本公式!$B$181+基本公式!$B$31)/2)*AN43*兵攻防!A43/基本公式!$B$53,0)</f>
        <v>4110</v>
      </c>
      <c r="I43" s="9">
        <v>7</v>
      </c>
      <c r="J43">
        <f>ROUND(POWER($A$27*I43/100,$AM$27),0)</f>
        <v>8</v>
      </c>
      <c r="K43" s="2">
        <v>3</v>
      </c>
      <c r="L43">
        <f ca="1">ROUND(30/K43*P43*N43,2)</f>
        <v>15</v>
      </c>
      <c r="M43" s="9">
        <v>190</v>
      </c>
      <c r="N43" s="12">
        <f ca="1">OFFSET(其他表格!$G$2,M43/100,0)</f>
        <v>1</v>
      </c>
      <c r="O43" s="9">
        <v>8</v>
      </c>
      <c r="P43" s="12">
        <f ca="1">OFFSET(其他表格!$B$1,O43,0)</f>
        <v>1.5</v>
      </c>
      <c r="Q43">
        <f>ROUND((E43+200)*AN43,2)</f>
        <v>31.8</v>
      </c>
      <c r="R43">
        <f>ROUND(($E$27+200)*$AN$27,2)</f>
        <v>30</v>
      </c>
      <c r="S43">
        <f>ROUND(POWER((E43+200-$J$27-200+AP43),2)/AO43,2)</f>
        <v>43.69</v>
      </c>
      <c r="T43">
        <f>ROUND(POWER(($E$27+200-J43-200+AP43),2)/AO43,2)</f>
        <v>40.340000000000003</v>
      </c>
      <c r="U43">
        <f ca="1">ROUND((Q43+S43)*(A43+A43)/AQ43*L43,0)</f>
        <v>113</v>
      </c>
      <c r="V43">
        <f ca="1">ROUND((R43+T43)*(A43+A43)/AQ43*L43,0)</f>
        <v>106</v>
      </c>
      <c r="W43" s="65">
        <f ca="1">MIN(ROUND(U43/A43,4),1)</f>
        <v>0.113</v>
      </c>
      <c r="X43" s="65">
        <f ca="1">MIN(ROUND(V43/A43,4),1)</f>
        <v>0.106</v>
      </c>
      <c r="Y43"/>
      <c r="Z43"/>
      <c r="AA43"/>
      <c r="AB43" s="65"/>
      <c r="AC43"/>
      <c r="AD43" s="66"/>
      <c r="AE43" s="66"/>
      <c r="AF43" s="65"/>
      <c r="AG43" s="66"/>
      <c r="AH43" s="66"/>
      <c r="AI43" s="65"/>
      <c r="AJ43" s="66"/>
      <c r="AK43" s="66"/>
      <c r="AL43" s="65"/>
      <c r="AM43" s="52">
        <v>0.5</v>
      </c>
      <c r="AN43" s="52">
        <v>0.15</v>
      </c>
      <c r="AO43" s="52">
        <v>6000</v>
      </c>
      <c r="AP43" s="52">
        <v>500</v>
      </c>
      <c r="AQ43" s="52">
        <v>20000</v>
      </c>
      <c r="AS43">
        <f ca="1">ROUND(AT43*AV43,0)</f>
        <v>60</v>
      </c>
      <c r="AT43">
        <f>ROUND(AY43*0.35+AZ43*0.65,0)</f>
        <v>209</v>
      </c>
      <c r="AU43" s="65">
        <f ca="1">ROUND(AS43/A43,4)</f>
        <v>0.06</v>
      </c>
      <c r="AV43" s="8">
        <f ca="1">ROUND((AW43+其他表格!K7+基本公式!$B$87)*OFFSET(其他表格!$N$1,兵攻防!O43,0)+OFFSET(其他表格!$P$1,M43/100,0),4)</f>
        <v>0.28860000000000002</v>
      </c>
      <c r="AW43" s="54">
        <v>0.1</v>
      </c>
      <c r="AX43" s="9">
        <v>115</v>
      </c>
      <c r="AY43">
        <f t="shared" si="42"/>
        <v>36</v>
      </c>
      <c r="AZ43">
        <f t="shared" si="42"/>
        <v>302</v>
      </c>
      <c r="BA43">
        <f>ROUND(POWER(AX43/10*(BE43*2+BG43),2)/BH43*(A43+A43)/AQ43,0)</f>
        <v>29</v>
      </c>
      <c r="BB43" s="17">
        <f>ROUND(POWER(AX43/10*(BF43*2+BG43),2)/BH43*(A43+A43)/AQ43,0)</f>
        <v>79</v>
      </c>
      <c r="BC43">
        <f>ROUND(POWER(AX43/10*(BE43-BF43+BI43),2)/BJ43*(A43+A43)/AQ43,0)</f>
        <v>7</v>
      </c>
      <c r="BD43" s="17">
        <f>ROUND(POWER(AX43/10*(BF43*2-BE43*2+BI43),2)/BJ43*(A43+A43)/AQ43,0)</f>
        <v>223</v>
      </c>
      <c r="BE43">
        <f>基本公式!$B$184</f>
        <v>30</v>
      </c>
      <c r="BF43">
        <f>基本公式!$B$183</f>
        <v>150</v>
      </c>
      <c r="BG43" s="52">
        <v>300</v>
      </c>
      <c r="BH43" s="52">
        <v>60000</v>
      </c>
      <c r="BI43" s="52">
        <v>200</v>
      </c>
      <c r="BJ43" s="52">
        <v>11500</v>
      </c>
    </row>
    <row r="44" spans="1:62">
      <c r="A44">
        <v>2000</v>
      </c>
      <c r="B44" s="48">
        <f ca="1">ROUND(((U44-$U$29)+($V$29-V44)),0)</f>
        <v>22</v>
      </c>
      <c r="C44" s="49">
        <f ca="1">ROUND(C36*基本公式!$B$86,0)</f>
        <v>22</v>
      </c>
      <c r="D44" s="9">
        <v>14</v>
      </c>
      <c r="E44">
        <f>ROUND(POWER(A44*D44/100,AM44),0)</f>
        <v>17</v>
      </c>
      <c r="F44" s="50">
        <f>ROUND(G44*0.35+H44*0.65,0)</f>
        <v>6525</v>
      </c>
      <c r="G44">
        <f>ROUND((E44+(30+30)/2)*AN44*兵攻防!A44/基本公式!$B$53,0)</f>
        <v>2820</v>
      </c>
      <c r="H44" s="51">
        <f>ROUND((E44+(基本公式!$B$181+基本公式!$B$31)/2)*AN44*兵攻防!A44/基本公式!$B$53,0)</f>
        <v>8520</v>
      </c>
      <c r="I44" s="9">
        <v>7</v>
      </c>
      <c r="J44">
        <f>ROUND(POWER($A$28*I44/100,$AM$28),0)</f>
        <v>12</v>
      </c>
      <c r="K44" s="2">
        <v>3</v>
      </c>
      <c r="L44">
        <f ca="1">ROUND(30/K44*P44*N44,2)</f>
        <v>15</v>
      </c>
      <c r="M44" s="9">
        <v>190</v>
      </c>
      <c r="N44" s="12">
        <f ca="1">OFFSET(其他表格!$G$2,M44/100,0)</f>
        <v>1</v>
      </c>
      <c r="O44" s="9">
        <v>8</v>
      </c>
      <c r="P44" s="12">
        <f ca="1">OFFSET(其他表格!$B$1,O44,0)</f>
        <v>1.5</v>
      </c>
      <c r="Q44">
        <f>ROUND((E44+200)*AN44,2)</f>
        <v>32.549999999999997</v>
      </c>
      <c r="R44">
        <f>ROUND(($E$28+200)*$AN$28,2)</f>
        <v>30</v>
      </c>
      <c r="S44">
        <f>ROUND(POWER((E44+200-$J$28-200+AP44),2)/AO44,2)</f>
        <v>44.55</v>
      </c>
      <c r="T44">
        <f>ROUND(POWER(($E$28+200-J44-200+AP44),2)/AO44,2)</f>
        <v>39.69</v>
      </c>
      <c r="U44">
        <f ca="1">ROUND((Q44+S44)*(A44+A44)/AQ44*L44,0)</f>
        <v>231</v>
      </c>
      <c r="V44">
        <f ca="1">ROUND((R44+T44)*(A44+A44)/AQ44*L44,0)</f>
        <v>209</v>
      </c>
      <c r="W44" s="65">
        <f ca="1">MIN(ROUND(U44/A44,4),1)</f>
        <v>0.11550000000000001</v>
      </c>
      <c r="X44" s="65">
        <f ca="1">MIN(ROUND(V44/A44,4),1)</f>
        <v>0.1045</v>
      </c>
      <c r="Y44"/>
      <c r="Z44"/>
      <c r="AA44"/>
      <c r="AB44" s="65"/>
      <c r="AC44"/>
      <c r="AD44" s="66"/>
      <c r="AE44" s="66"/>
      <c r="AF44" s="65"/>
      <c r="AG44" s="66"/>
      <c r="AH44" s="66"/>
      <c r="AI44" s="65"/>
      <c r="AJ44" s="66"/>
      <c r="AK44" s="66"/>
      <c r="AL44" s="65"/>
      <c r="AM44" s="52">
        <v>0.5</v>
      </c>
      <c r="AN44" s="52">
        <v>0.15</v>
      </c>
      <c r="AO44" s="52">
        <v>6000</v>
      </c>
      <c r="AP44" s="52">
        <v>500</v>
      </c>
      <c r="AQ44" s="52">
        <v>20000</v>
      </c>
      <c r="AS44">
        <f ca="1">ROUND(AT44*AV44,0)</f>
        <v>139</v>
      </c>
      <c r="AT44">
        <f>ROUND(AY44*0.35+AZ44*0.65,0)</f>
        <v>418</v>
      </c>
      <c r="AU44" s="65">
        <f ca="1">ROUND(AS44/A44,4)</f>
        <v>6.9500000000000006E-2</v>
      </c>
      <c r="AV44" s="8">
        <f ca="1">ROUND((AW44+其他表格!K8+基本公式!$B$87)*OFFSET(其他表格!$N$1,兵攻防!O44,0)+OFFSET(其他表格!$P$1,M44/100,0),4)</f>
        <v>0.33250000000000002</v>
      </c>
      <c r="AW44" s="54">
        <v>0.1</v>
      </c>
      <c r="AX44" s="9">
        <v>115</v>
      </c>
      <c r="AY44">
        <f t="shared" si="42"/>
        <v>72</v>
      </c>
      <c r="AZ44">
        <f t="shared" si="42"/>
        <v>604</v>
      </c>
      <c r="BA44">
        <f>ROUND(POWER(AX44/10*(BE44*2+BG44),2)/BH44*(A44+A44)/AQ44,0)</f>
        <v>57</v>
      </c>
      <c r="BB44" s="17">
        <f>ROUND(POWER(AX44/10*(BF44*2+BG44),2)/BH44*(A44+A44)/AQ44,0)</f>
        <v>159</v>
      </c>
      <c r="BC44">
        <f>ROUND(POWER(AX44/10*(BE44-BF44+BI44),2)/BJ44*(A44+A44)/AQ44,0)</f>
        <v>15</v>
      </c>
      <c r="BD44" s="17">
        <f>ROUND(POWER(AX44/10*(BF44*2-BE44*2+BI44),2)/BJ44*(A44+A44)/AQ44,0)</f>
        <v>445</v>
      </c>
      <c r="BE44">
        <f>基本公式!$B$184</f>
        <v>30</v>
      </c>
      <c r="BF44">
        <f>基本公式!$B$183</f>
        <v>150</v>
      </c>
      <c r="BG44" s="52">
        <v>300</v>
      </c>
      <c r="BH44" s="52">
        <v>60000</v>
      </c>
      <c r="BI44" s="52">
        <v>200</v>
      </c>
      <c r="BJ44" s="52">
        <v>11500</v>
      </c>
    </row>
    <row r="45" spans="1:62">
      <c r="A45">
        <v>5000</v>
      </c>
      <c r="B45" s="48">
        <f ca="1">ROUND(((U45-$U$29)+($V$29-V45)),0)</f>
        <v>86</v>
      </c>
      <c r="C45" s="49">
        <f ca="1">ROUND(C37*基本公式!$B$86,0)</f>
        <v>85</v>
      </c>
      <c r="D45" s="9">
        <v>14</v>
      </c>
      <c r="E45">
        <f>ROUND(POWER(A45*D45/100,AM45),0)</f>
        <v>26</v>
      </c>
      <c r="F45" s="50">
        <f>ROUND(G45*0.35+H45*0.65,0)</f>
        <v>17663</v>
      </c>
      <c r="G45">
        <f>ROUND((E45+(30+30)/2)*AN45*兵攻防!A45/基本公式!$B$53,0)</f>
        <v>8400</v>
      </c>
      <c r="H45" s="51">
        <f>ROUND((E45+(基本公式!$B$181+基本公式!$B$31)/2)*AN45*兵攻防!A45/基本公式!$B$53,0)</f>
        <v>22650</v>
      </c>
      <c r="I45" s="9">
        <v>7</v>
      </c>
      <c r="J45">
        <f>ROUND(POWER($A$29*I45/100,$AM$29),0)</f>
        <v>19</v>
      </c>
      <c r="K45" s="2">
        <v>3</v>
      </c>
      <c r="L45">
        <f ca="1">ROUND(30/K45*P45*N45,2)</f>
        <v>15</v>
      </c>
      <c r="M45" s="9">
        <v>190</v>
      </c>
      <c r="N45" s="12">
        <f ca="1">OFFSET(其他表格!$G$2,M45/100,0)</f>
        <v>1</v>
      </c>
      <c r="O45" s="9">
        <v>8</v>
      </c>
      <c r="P45" s="12">
        <f ca="1">OFFSET(其他表格!$B$1,O45,0)</f>
        <v>1.5</v>
      </c>
      <c r="Q45">
        <f>ROUND((E45+200)*AN45,2)</f>
        <v>33.9</v>
      </c>
      <c r="R45">
        <f>ROUND(($E$29+200)*$AN$29,2)</f>
        <v>30</v>
      </c>
      <c r="S45">
        <f>ROUND(POWER((E45+200-$J$29-200+AP45),2)/AO45,2)</f>
        <v>46.11</v>
      </c>
      <c r="T45">
        <f>ROUND(POWER(($E$29+200-J45-200+AP45),2)/AO45,2)</f>
        <v>38.56</v>
      </c>
      <c r="U45">
        <f ca="1">ROUND((Q45+S45)*(A45+A45)/AQ45*L45,0)</f>
        <v>600</v>
      </c>
      <c r="V45">
        <f ca="1">ROUND((R45+T45)*(A45+A45)/AQ45*L45,0)</f>
        <v>514</v>
      </c>
      <c r="W45" s="65">
        <f ca="1">MIN(ROUND(U45/A45,4),1)</f>
        <v>0.12</v>
      </c>
      <c r="X45" s="65">
        <f ca="1">MIN(ROUND(V45/A45,4),1)</f>
        <v>0.1028</v>
      </c>
      <c r="Y45"/>
      <c r="Z45"/>
      <c r="AA45"/>
      <c r="AB45" s="65"/>
      <c r="AC45"/>
      <c r="AD45" s="66"/>
      <c r="AE45" s="66"/>
      <c r="AF45" s="65"/>
      <c r="AG45" s="66"/>
      <c r="AH45" s="66"/>
      <c r="AI45" s="65"/>
      <c r="AJ45" s="66"/>
      <c r="AK45" s="66"/>
      <c r="AL45" s="65"/>
      <c r="AM45" s="52">
        <v>0.5</v>
      </c>
      <c r="AN45" s="52">
        <v>0.15</v>
      </c>
      <c r="AO45" s="52">
        <v>6000</v>
      </c>
      <c r="AP45" s="52">
        <v>500</v>
      </c>
      <c r="AQ45" s="52">
        <v>20000</v>
      </c>
      <c r="AS45">
        <f ca="1">ROUND(AT45*AV45,0)</f>
        <v>400</v>
      </c>
      <c r="AT45">
        <f>ROUND(AY45*0.35+AZ45*0.65,0)</f>
        <v>1045</v>
      </c>
      <c r="AU45" s="65">
        <f ca="1">ROUND(AS45/A45,4)</f>
        <v>0.08</v>
      </c>
      <c r="AV45" s="8">
        <f ca="1">ROUND((AW45+其他表格!K9+基本公式!$B$87)*OFFSET(其他表格!$N$1,兵攻防!O45,0)+OFFSET(其他表格!$P$1,M45/100,0),4)</f>
        <v>0.38269999999999998</v>
      </c>
      <c r="AW45" s="54">
        <v>0.1</v>
      </c>
      <c r="AX45" s="9">
        <v>115</v>
      </c>
      <c r="AY45">
        <f t="shared" si="42"/>
        <v>180</v>
      </c>
      <c r="AZ45">
        <f t="shared" si="42"/>
        <v>1510</v>
      </c>
      <c r="BA45">
        <f>ROUND(POWER(AX45/10*(BE45*2+BG45),2)/BH45*(A45+A45)/AQ45,0)</f>
        <v>143</v>
      </c>
      <c r="BB45" s="17">
        <f>ROUND(POWER(AX45/10*(BF45*2+BG45),2)/BH45*(A45+A45)/AQ45,0)</f>
        <v>397</v>
      </c>
      <c r="BC45">
        <f>ROUND(POWER(AX45/10*(BE45-BF45+BI45),2)/BJ45*(A45+A45)/AQ45,0)</f>
        <v>37</v>
      </c>
      <c r="BD45" s="17">
        <f>ROUND(POWER(AX45/10*(BF45*2-BE45*2+BI45),2)/BJ45*(A45+A45)/AQ45,0)</f>
        <v>1113</v>
      </c>
      <c r="BE45">
        <f>基本公式!$B$184</f>
        <v>30</v>
      </c>
      <c r="BF45">
        <f>基本公式!$B$183</f>
        <v>150</v>
      </c>
      <c r="BG45" s="52">
        <v>300</v>
      </c>
      <c r="BH45" s="52">
        <v>60000</v>
      </c>
      <c r="BI45" s="52">
        <v>200</v>
      </c>
      <c r="BJ45" s="52">
        <v>11500</v>
      </c>
    </row>
    <row r="47" spans="1:62" s="47" customFormat="1">
      <c r="A47" s="47" t="s">
        <v>167</v>
      </c>
      <c r="B47" s="61" t="s">
        <v>163</v>
      </c>
      <c r="C47" s="61" t="s">
        <v>168</v>
      </c>
      <c r="F47" s="62"/>
      <c r="H47" s="63"/>
      <c r="K47" s="64"/>
      <c r="AR47" s="69"/>
      <c r="AV47" s="49"/>
      <c r="AW47" s="72"/>
      <c r="AX47" s="73"/>
      <c r="BB47" s="74"/>
      <c r="BD47" s="74"/>
      <c r="BG47" s="52"/>
      <c r="BH47" s="52"/>
    </row>
    <row r="48" spans="1:62">
      <c r="A48">
        <v>100</v>
      </c>
      <c r="B48" s="48">
        <f t="shared" ref="B48" ca="1" si="43">ROUND(((U48-$U$29)+($V$29-V48)),0)</f>
        <v>0</v>
      </c>
      <c r="C48" s="49">
        <f>ROUND(C40*基本公式!$B$86,0)</f>
        <v>22</v>
      </c>
      <c r="D48" s="9">
        <v>32</v>
      </c>
      <c r="E48">
        <f t="shared" ref="E48" si="44">ROUND(POWER(A48*D48/100,AM48),0)</f>
        <v>6</v>
      </c>
      <c r="F48" s="50">
        <f>ROUND(G48*0.35+H48*0.65,0)</f>
        <v>293</v>
      </c>
      <c r="G48">
        <f>ROUND((E48+(30+30)/2)*AN48*兵攻防!A48/基本公式!$B$53,0)</f>
        <v>108</v>
      </c>
      <c r="H48" s="51">
        <f>ROUND((E48+(基本公式!$B$181+基本公式!$B$31)/2)*AN48*兵攻防!A48/基本公式!$B$53,0)</f>
        <v>393</v>
      </c>
      <c r="I48" s="9">
        <v>15</v>
      </c>
      <c r="J48">
        <f>ROUND(POWER($A$24*I48/100,$AM$24),0)</f>
        <v>4</v>
      </c>
      <c r="K48" s="2">
        <v>3</v>
      </c>
      <c r="L48">
        <f t="shared" ref="L48" ca="1" si="45">ROUND(30/K48*P48*N48,2)</f>
        <v>16.68</v>
      </c>
      <c r="M48" s="9">
        <v>400</v>
      </c>
      <c r="N48" s="12">
        <f ca="1">OFFSET(其他表格!$G$2,M48/100,0)</f>
        <v>1.1500000000000001</v>
      </c>
      <c r="O48" s="9">
        <v>7</v>
      </c>
      <c r="P48" s="12">
        <f ca="1">OFFSET(其他表格!$B$1,O48,0)</f>
        <v>1.45</v>
      </c>
      <c r="Q48">
        <f t="shared" ref="Q48" si="46">ROUND((E48+200)*AN48,2)</f>
        <v>30.9</v>
      </c>
      <c r="R48">
        <f>ROUND(($E$24+200)*$AN$24,2)</f>
        <v>30</v>
      </c>
      <c r="S48">
        <f>ROUND(POWER((E48+200-$J$24-200+AP48),2)/AO48,2)</f>
        <v>42.67</v>
      </c>
      <c r="T48">
        <f>ROUND(POWER(($E$24+200-J48-200+AP48),2)/AO48,2)</f>
        <v>41</v>
      </c>
      <c r="U48">
        <f t="shared" ref="U48" ca="1" si="47">ROUND((Q48+S48)*(A48+A48)/AQ48*L48,0)</f>
        <v>12</v>
      </c>
      <c r="V48">
        <f t="shared" ref="V48" ca="1" si="48">ROUND((R48+T48)*(A48+A48)/AQ48*L48,0)</f>
        <v>12</v>
      </c>
      <c r="W48" s="65">
        <f t="shared" ref="W48" ca="1" si="49">MIN(ROUND(U48/A48,4),1)</f>
        <v>0.12</v>
      </c>
      <c r="X48" s="65">
        <f t="shared" ref="X48" ca="1" si="50">MIN(ROUND(V48/A48,4),1)</f>
        <v>0.12</v>
      </c>
      <c r="Y48"/>
      <c r="Z48"/>
      <c r="AA48"/>
      <c r="AB48" s="65"/>
      <c r="AC48"/>
      <c r="AD48" s="66"/>
      <c r="AE48" s="66"/>
      <c r="AF48" s="65"/>
      <c r="AG48" s="66"/>
      <c r="AH48" s="66"/>
      <c r="AI48" s="65"/>
      <c r="AJ48" s="66"/>
      <c r="AK48" s="66"/>
      <c r="AL48" s="65"/>
      <c r="AM48" s="52">
        <v>0.5</v>
      </c>
      <c r="AN48" s="52">
        <v>0.15</v>
      </c>
      <c r="AO48" s="52">
        <v>6000</v>
      </c>
      <c r="AP48" s="52">
        <v>500</v>
      </c>
      <c r="AQ48" s="52">
        <v>20000</v>
      </c>
      <c r="AS48">
        <f t="shared" ref="AS48" ca="1" si="51">ROUND(AT48*AV48,0)</f>
        <v>8</v>
      </c>
      <c r="AT48">
        <f t="shared" ref="AT48" si="52">ROUND(AY48*0.35+AZ48*0.65,0)</f>
        <v>36</v>
      </c>
      <c r="AU48" s="65">
        <f t="shared" ref="AU48" ca="1" si="53">ROUND(AS48/A48,4)</f>
        <v>0.08</v>
      </c>
      <c r="AV48" s="8">
        <f ca="1">ROUND((AW48+其他表格!K4+基本公式!$B$87)*OFFSET(其他表格!$N$1,兵攻防!O48,0)+OFFSET(其他表格!$P$1,M48/100,0),4)</f>
        <v>0.2157</v>
      </c>
      <c r="AW48" s="54">
        <v>0.1</v>
      </c>
      <c r="AX48" s="9">
        <v>150</v>
      </c>
      <c r="AY48">
        <f t="shared" ref="AY48" si="54">BA48+BC48</f>
        <v>6</v>
      </c>
      <c r="AZ48">
        <f t="shared" ref="AZ48" si="55">BB48+BD48</f>
        <v>52</v>
      </c>
      <c r="BA48">
        <f t="shared" ref="BA48" si="56">ROUND(POWER(AX48/10*(BE48*2+BG48),2)/BH48*(A48+A48)/AQ48,0)</f>
        <v>5</v>
      </c>
      <c r="BB48" s="17">
        <f t="shared" ref="BB48" si="57">ROUND(POWER(AX48/10*(BF48*2+BG48),2)/BH48*(A48+A48)/AQ48,0)</f>
        <v>14</v>
      </c>
      <c r="BC48">
        <f t="shared" ref="BC48" si="58">ROUND(POWER(AX48/10*(BE48-BF48+BI48),2)/BJ48*(A48+A48)/AQ48,0)</f>
        <v>1</v>
      </c>
      <c r="BD48" s="17">
        <f t="shared" ref="BD48" si="59">ROUND(POWER(AX48/10*(BF48*2-BE48*2+BI48),2)/BJ48*(A48+A48)/AQ48,0)</f>
        <v>38</v>
      </c>
      <c r="BE48">
        <f>基本公式!$B$184</f>
        <v>30</v>
      </c>
      <c r="BF48">
        <f>基本公式!$B$183</f>
        <v>150</v>
      </c>
      <c r="BG48" s="52">
        <v>300</v>
      </c>
      <c r="BH48" s="52">
        <v>60000</v>
      </c>
      <c r="BI48" s="52">
        <v>200</v>
      </c>
      <c r="BJ48" s="52">
        <v>11500</v>
      </c>
    </row>
    <row r="49" spans="1:62">
      <c r="A49">
        <v>200</v>
      </c>
      <c r="B49" s="48">
        <f ca="1">ROUND(((U49-$U$29)+($V$29-V49)),0)</f>
        <v>1</v>
      </c>
      <c r="C49" s="49">
        <f ca="1">ROUND(C41*基本公式!$B$86,0)</f>
        <v>3</v>
      </c>
      <c r="D49" s="9">
        <v>32</v>
      </c>
      <c r="E49">
        <f>ROUND(POWER(A49*D49/100,AM49),0)</f>
        <v>8</v>
      </c>
      <c r="F49" s="50">
        <f t="shared" ref="F49" si="60">ROUND(G49*0.35+H49*0.65,0)</f>
        <v>599</v>
      </c>
      <c r="G49">
        <f>ROUND((E49+(30+30)/2)*AN49*兵攻防!A49/基本公式!$B$53,0)</f>
        <v>228</v>
      </c>
      <c r="H49" s="51">
        <f>ROUND((E49+(基本公式!$B$181+基本公式!$B$31)/2)*AN49*兵攻防!A49/基本公式!$B$53,0)</f>
        <v>798</v>
      </c>
      <c r="I49" s="9">
        <v>15</v>
      </c>
      <c r="J49">
        <f>ROUND(POWER($A$25*I49/100,$AM$25),0)</f>
        <v>5</v>
      </c>
      <c r="K49" s="2">
        <v>3</v>
      </c>
      <c r="L49">
        <f ca="1">ROUND(30/K49*P49*N49,2)</f>
        <v>16.68</v>
      </c>
      <c r="M49" s="9">
        <v>400</v>
      </c>
      <c r="N49" s="12">
        <f ca="1">OFFSET(其他表格!$G$2,M49/100,0)</f>
        <v>1.1500000000000001</v>
      </c>
      <c r="O49" s="9">
        <v>7</v>
      </c>
      <c r="P49" s="12">
        <f ca="1">OFFSET(其他表格!$B$1,O49,0)</f>
        <v>1.45</v>
      </c>
      <c r="Q49">
        <f>ROUND((E49+200)*AN49,2)</f>
        <v>31.2</v>
      </c>
      <c r="R49">
        <f>ROUND(($E$25+200)*$AN$25,2)</f>
        <v>30</v>
      </c>
      <c r="S49">
        <f>ROUND(POWER((E49+200-$J$25-200+AP49),2)/AO49,2)</f>
        <v>43.01</v>
      </c>
      <c r="T49">
        <f>ROUND(POWER(($E$25+200-J49-200+AP49),2)/AO49,2)</f>
        <v>40.840000000000003</v>
      </c>
      <c r="U49">
        <f ca="1">ROUND((Q49+S49)*(A49+A49)/AQ49*L49,0)</f>
        <v>25</v>
      </c>
      <c r="V49">
        <f ca="1">ROUND((R49+T49)*(A49+A49)/AQ49*L49,0)</f>
        <v>24</v>
      </c>
      <c r="W49" s="65">
        <f ca="1">MIN(ROUND(U49/A49,4),1)</f>
        <v>0.125</v>
      </c>
      <c r="X49" s="65">
        <f ca="1">MIN(ROUND(V49/A49,4),1)</f>
        <v>0.12</v>
      </c>
      <c r="Y49"/>
      <c r="Z49"/>
      <c r="AA49"/>
      <c r="AB49" s="65"/>
      <c r="AC49"/>
      <c r="AD49" s="66"/>
      <c r="AE49" s="66"/>
      <c r="AF49" s="65"/>
      <c r="AG49" s="66"/>
      <c r="AH49" s="66"/>
      <c r="AI49" s="65"/>
      <c r="AJ49" s="66"/>
      <c r="AK49" s="66"/>
      <c r="AL49" s="65"/>
      <c r="AM49" s="52">
        <v>0.5</v>
      </c>
      <c r="AN49" s="52">
        <v>0.15</v>
      </c>
      <c r="AO49" s="52">
        <v>6000</v>
      </c>
      <c r="AP49" s="52">
        <v>500</v>
      </c>
      <c r="AQ49" s="52">
        <v>20000</v>
      </c>
      <c r="AS49">
        <f ca="1">ROUND(AT49*AV49,0)</f>
        <v>18</v>
      </c>
      <c r="AT49">
        <f>ROUND(AY49*0.35+AZ49*0.65,0)</f>
        <v>72</v>
      </c>
      <c r="AU49" s="65">
        <f ca="1">ROUND(AS49/A49,4)</f>
        <v>0.09</v>
      </c>
      <c r="AV49" s="8">
        <f ca="1">ROUND((AW49+其他表格!K5+基本公式!$B$87)*OFFSET(其他表格!$N$1,兵攻防!O49,0)+OFFSET(其他表格!$P$1,M49/100,0),4)</f>
        <v>0.24909999999999999</v>
      </c>
      <c r="AW49" s="54">
        <v>0.1</v>
      </c>
      <c r="AX49" s="9">
        <v>150</v>
      </c>
      <c r="AY49">
        <f t="shared" ref="AY49:AZ53" si="61">BA49+BC49</f>
        <v>13</v>
      </c>
      <c r="AZ49">
        <f t="shared" si="61"/>
        <v>103</v>
      </c>
      <c r="BA49">
        <f>ROUND(POWER(AX49/10*(BE49*2+BG49),2)/BH49*(A49+A49)/AQ49,0)</f>
        <v>10</v>
      </c>
      <c r="BB49" s="17">
        <f>ROUND(POWER(AX49/10*(BF49*2+BG49),2)/BH49*(A49+A49)/AQ49,0)</f>
        <v>27</v>
      </c>
      <c r="BC49">
        <f>ROUND(POWER(AX49/10*(BE49-BF49+BI49),2)/BJ49*(A49+A49)/AQ49,0)</f>
        <v>3</v>
      </c>
      <c r="BD49" s="17">
        <f>ROUND(POWER(AX49/10*(BF49*2-BE49*2+BI49),2)/BJ49*(A49+A49)/AQ49,0)</f>
        <v>76</v>
      </c>
      <c r="BE49">
        <f>基本公式!$B$184</f>
        <v>30</v>
      </c>
      <c r="BF49">
        <f>基本公式!$B$183</f>
        <v>150</v>
      </c>
      <c r="BG49" s="52">
        <v>300</v>
      </c>
      <c r="BH49" s="52">
        <v>60000</v>
      </c>
      <c r="BI49" s="52">
        <v>200</v>
      </c>
      <c r="BJ49" s="52">
        <v>11500</v>
      </c>
    </row>
    <row r="50" spans="1:62">
      <c r="A50">
        <v>500</v>
      </c>
      <c r="B50" s="48">
        <f ca="1">ROUND(((U50-$U$29)+($V$29-V50)),0)</f>
        <v>4</v>
      </c>
      <c r="C50" s="49">
        <f ca="1">ROUND(C42*基本公式!$B$86,0)</f>
        <v>5</v>
      </c>
      <c r="D50" s="9">
        <v>32</v>
      </c>
      <c r="E50">
        <f>ROUND(POWER(A50*D50/100,AM50),0)</f>
        <v>13</v>
      </c>
      <c r="F50" s="50">
        <f>ROUND(G50*0.35+H50*0.65,0)</f>
        <v>1571</v>
      </c>
      <c r="G50">
        <f>ROUND((E50+(30+30)/2)*AN50*兵攻防!A50/基本公式!$B$53,0)</f>
        <v>645</v>
      </c>
      <c r="H50" s="51">
        <f>ROUND((E50+(基本公式!$B$181+基本公式!$B$31)/2)*AN50*兵攻防!A50/基本公式!$B$53,0)</f>
        <v>2070</v>
      </c>
      <c r="I50" s="9">
        <v>15</v>
      </c>
      <c r="J50">
        <f>ROUND(POWER($A$26*I50/100,$AM$26),0)</f>
        <v>9</v>
      </c>
      <c r="K50" s="2">
        <v>3</v>
      </c>
      <c r="L50">
        <f ca="1">ROUND(30/K50*P50*N50,2)</f>
        <v>16.68</v>
      </c>
      <c r="M50" s="9">
        <v>400</v>
      </c>
      <c r="N50" s="12">
        <f ca="1">OFFSET(其他表格!$G$2,M50/100,0)</f>
        <v>1.1500000000000001</v>
      </c>
      <c r="O50" s="9">
        <v>7</v>
      </c>
      <c r="P50" s="12">
        <f ca="1">OFFSET(其他表格!$B$1,O50,0)</f>
        <v>1.45</v>
      </c>
      <c r="Q50">
        <f>ROUND((E50+200)*AN50,2)</f>
        <v>31.95</v>
      </c>
      <c r="R50">
        <f>ROUND(($E$26+200)*$AN$26,2)</f>
        <v>30</v>
      </c>
      <c r="S50">
        <f>ROUND(POWER((E50+200-$J$26-200+AP50),2)/AO50,2)</f>
        <v>43.86</v>
      </c>
      <c r="T50">
        <f>ROUND(POWER(($E$26+200-J50-200+AP50),2)/AO50,2)</f>
        <v>40.18</v>
      </c>
      <c r="U50">
        <f ca="1">ROUND((Q50+S50)*(A50+A50)/AQ50*L50,0)</f>
        <v>63</v>
      </c>
      <c r="V50">
        <f ca="1">ROUND((R50+T50)*(A50+A50)/AQ50*L50,0)</f>
        <v>59</v>
      </c>
      <c r="W50" s="65">
        <f ca="1">MIN(ROUND(U50/A50,4),1)</f>
        <v>0.126</v>
      </c>
      <c r="X50" s="65">
        <f ca="1">MIN(ROUND(V50/A50,4),1)</f>
        <v>0.11799999999999999</v>
      </c>
      <c r="Y50"/>
      <c r="Z50"/>
      <c r="AA50"/>
      <c r="AB50" s="65"/>
      <c r="AC50"/>
      <c r="AD50" s="66"/>
      <c r="AE50" s="66"/>
      <c r="AF50" s="65"/>
      <c r="AG50" s="66"/>
      <c r="AH50" s="66"/>
      <c r="AI50" s="65"/>
      <c r="AJ50" s="66"/>
      <c r="AK50" s="66"/>
      <c r="AL50" s="65"/>
      <c r="AM50" s="52">
        <v>0.5</v>
      </c>
      <c r="AN50" s="52">
        <v>0.15</v>
      </c>
      <c r="AO50" s="52">
        <v>6000</v>
      </c>
      <c r="AP50" s="52">
        <v>500</v>
      </c>
      <c r="AQ50" s="52">
        <v>20000</v>
      </c>
      <c r="AS50">
        <f ca="1">ROUND(AT50*AV50,0)</f>
        <v>50</v>
      </c>
      <c r="AT50">
        <f>ROUND(AY50*0.35+AZ50*0.65,0)</f>
        <v>178</v>
      </c>
      <c r="AU50" s="65">
        <f ca="1">ROUND(AS50/A50,4)</f>
        <v>0.1</v>
      </c>
      <c r="AV50" s="8">
        <f ca="1">ROUND((AW50+其他表格!K6+基本公式!$B$87)*OFFSET(其他表格!$N$1,兵攻防!O50,0)+OFFSET(其他表格!$P$1,M50/100,0),4)</f>
        <v>0.28249999999999997</v>
      </c>
      <c r="AW50" s="54">
        <v>0.1</v>
      </c>
      <c r="AX50" s="9">
        <v>150</v>
      </c>
      <c r="AY50">
        <f t="shared" si="61"/>
        <v>30</v>
      </c>
      <c r="AZ50">
        <f t="shared" si="61"/>
        <v>257</v>
      </c>
      <c r="BA50">
        <f>ROUND(POWER(AX50/10*(BE50*2+BG50),2)/BH50*(A50+A50)/AQ50,0)</f>
        <v>24</v>
      </c>
      <c r="BB50" s="17">
        <f>ROUND(POWER(AX50/10*(BF50*2+BG50),2)/BH50*(A50+A50)/AQ50,0)</f>
        <v>68</v>
      </c>
      <c r="BC50">
        <f>ROUND(POWER(AX50/10*(BE50-BF50+BI50),2)/BJ50*(A50+A50)/AQ50,0)</f>
        <v>6</v>
      </c>
      <c r="BD50" s="17">
        <f>ROUND(POWER(AX50/10*(BF50*2-BE50*2+BI50),2)/BJ50*(A50+A50)/AQ50,0)</f>
        <v>189</v>
      </c>
      <c r="BE50">
        <f>基本公式!$B$184</f>
        <v>30</v>
      </c>
      <c r="BF50">
        <f>基本公式!$B$183</f>
        <v>150</v>
      </c>
      <c r="BG50" s="52">
        <v>300</v>
      </c>
      <c r="BH50" s="52">
        <v>60000</v>
      </c>
      <c r="BI50" s="52">
        <v>200</v>
      </c>
      <c r="BJ50" s="52">
        <v>11500</v>
      </c>
    </row>
    <row r="51" spans="1:62">
      <c r="A51">
        <v>1000</v>
      </c>
      <c r="B51" s="48">
        <f ca="1">ROUND(((U51-$U$29)+($V$29-V51)),0)</f>
        <v>13</v>
      </c>
      <c r="C51" s="49">
        <f ca="1">ROUND(C43*基本公式!$B$86,0)</f>
        <v>15</v>
      </c>
      <c r="D51" s="9">
        <v>32</v>
      </c>
      <c r="E51">
        <f>ROUND(POWER(A51*D51/100,AM51),0)</f>
        <v>18</v>
      </c>
      <c r="F51" s="50">
        <f>ROUND(G51*0.35+H51*0.65,0)</f>
        <v>3293</v>
      </c>
      <c r="G51">
        <f>ROUND((E51+(30+30)/2)*AN51*兵攻防!A51/基本公式!$B$53,0)</f>
        <v>1440</v>
      </c>
      <c r="H51" s="51">
        <f>ROUND((E51+(基本公式!$B$181+基本公式!$B$31)/2)*AN51*兵攻防!A51/基本公式!$B$53,0)</f>
        <v>4290</v>
      </c>
      <c r="I51" s="9">
        <v>15</v>
      </c>
      <c r="J51">
        <f>ROUND(POWER($A$27*I51/100,$AM$27),0)</f>
        <v>12</v>
      </c>
      <c r="K51" s="2">
        <v>3</v>
      </c>
      <c r="L51">
        <f ca="1">ROUND(30/K51*P51*N51,2)</f>
        <v>16.68</v>
      </c>
      <c r="M51" s="9">
        <v>400</v>
      </c>
      <c r="N51" s="12">
        <f ca="1">OFFSET(其他表格!$G$2,M51/100,0)</f>
        <v>1.1500000000000001</v>
      </c>
      <c r="O51" s="9">
        <v>7</v>
      </c>
      <c r="P51" s="12">
        <f ca="1">OFFSET(其他表格!$B$1,O51,0)</f>
        <v>1.45</v>
      </c>
      <c r="Q51">
        <f>ROUND((E51+200)*AN51,2)</f>
        <v>32.700000000000003</v>
      </c>
      <c r="R51">
        <f>ROUND(($E$27+200)*$AN$27,2)</f>
        <v>30</v>
      </c>
      <c r="S51">
        <f>ROUND(POWER((E51+200-$J$27-200+AP51),2)/AO51,2)</f>
        <v>44.72</v>
      </c>
      <c r="T51">
        <f>ROUND(POWER(($E$27+200-J51-200+AP51),2)/AO51,2)</f>
        <v>39.69</v>
      </c>
      <c r="U51">
        <f ca="1">ROUND((Q51+S51)*(A51+A51)/AQ51*L51,0)</f>
        <v>129</v>
      </c>
      <c r="V51">
        <f ca="1">ROUND((R51+T51)*(A51+A51)/AQ51*L51,0)</f>
        <v>116</v>
      </c>
      <c r="W51" s="65">
        <f ca="1">MIN(ROUND(U51/A51,4),1)</f>
        <v>0.129</v>
      </c>
      <c r="X51" s="65">
        <f ca="1">MIN(ROUND(V51/A51,4),1)</f>
        <v>0.11600000000000001</v>
      </c>
      <c r="Y51"/>
      <c r="Z51"/>
      <c r="AA51"/>
      <c r="AB51" s="65"/>
      <c r="AC51"/>
      <c r="AD51" s="66"/>
      <c r="AE51" s="66"/>
      <c r="AF51" s="65"/>
      <c r="AG51" s="66"/>
      <c r="AH51" s="66"/>
      <c r="AI51" s="65"/>
      <c r="AJ51" s="66"/>
      <c r="AK51" s="66"/>
      <c r="AL51" s="65"/>
      <c r="AM51" s="52">
        <v>0.5</v>
      </c>
      <c r="AN51" s="52">
        <v>0.15</v>
      </c>
      <c r="AO51" s="52">
        <v>6000</v>
      </c>
      <c r="AP51" s="52">
        <v>500</v>
      </c>
      <c r="AQ51" s="52">
        <v>20000</v>
      </c>
      <c r="AS51">
        <f ca="1">ROUND(AT51*AV51,0)</f>
        <v>112</v>
      </c>
      <c r="AT51">
        <f>ROUND(AY51*0.35+AZ51*0.65,0)</f>
        <v>356</v>
      </c>
      <c r="AU51" s="65">
        <f ca="1">ROUND(AS51/A51,4)</f>
        <v>0.112</v>
      </c>
      <c r="AV51" s="8">
        <f ca="1">ROUND((AW51+其他表格!K7+基本公式!$B$87)*OFFSET(其他表格!$N$1,兵攻防!O51,0)+OFFSET(其他表格!$P$1,M51/100,0),4)</f>
        <v>0.31590000000000001</v>
      </c>
      <c r="AW51" s="54">
        <v>0.1</v>
      </c>
      <c r="AX51" s="9">
        <v>150</v>
      </c>
      <c r="AY51">
        <f t="shared" si="61"/>
        <v>62</v>
      </c>
      <c r="AZ51">
        <f t="shared" si="61"/>
        <v>514</v>
      </c>
      <c r="BA51">
        <f>ROUND(POWER(AX51/10*(BE51*2+BG51),2)/BH51*(A51+A51)/AQ51,0)</f>
        <v>49</v>
      </c>
      <c r="BB51" s="17">
        <f>ROUND(POWER(AX51/10*(BF51*2+BG51),2)/BH51*(A51+A51)/AQ51,0)</f>
        <v>135</v>
      </c>
      <c r="BC51">
        <f>ROUND(POWER(AX51/10*(BE51-BF51+BI51),2)/BJ51*(A51+A51)/AQ51,0)</f>
        <v>13</v>
      </c>
      <c r="BD51" s="17">
        <f>ROUND(POWER(AX51/10*(BF51*2-BE51*2+BI51),2)/BJ51*(A51+A51)/AQ51,0)</f>
        <v>379</v>
      </c>
      <c r="BE51">
        <f>基本公式!$B$184</f>
        <v>30</v>
      </c>
      <c r="BF51">
        <f>基本公式!$B$183</f>
        <v>150</v>
      </c>
      <c r="BG51" s="52">
        <v>300</v>
      </c>
      <c r="BH51" s="52">
        <v>60000</v>
      </c>
      <c r="BI51" s="52">
        <v>200</v>
      </c>
      <c r="BJ51" s="52">
        <v>11500</v>
      </c>
    </row>
    <row r="52" spans="1:62">
      <c r="A52">
        <v>2000</v>
      </c>
      <c r="B52" s="48">
        <f ca="1">ROUND(((U52-$U$29)+($V$29-V52)),0)</f>
        <v>36</v>
      </c>
      <c r="C52" s="49">
        <f ca="1">ROUND(C44*基本公式!$B$86,0)</f>
        <v>37</v>
      </c>
      <c r="D52" s="9">
        <v>32</v>
      </c>
      <c r="E52">
        <f>ROUND(POWER(A52*D52/100,AM52),0)</f>
        <v>25</v>
      </c>
      <c r="F52" s="50">
        <f>ROUND(G52*0.35+H52*0.65,0)</f>
        <v>7005</v>
      </c>
      <c r="G52">
        <f>ROUND((E52+(30+30)/2)*AN52*兵攻防!A52/基本公式!$B$53,0)</f>
        <v>3300</v>
      </c>
      <c r="H52" s="51">
        <f>ROUND((E52+(基本公式!$B$181+基本公式!$B$31)/2)*AN52*兵攻防!A52/基本公式!$B$53,0)</f>
        <v>9000</v>
      </c>
      <c r="I52" s="9">
        <v>15</v>
      </c>
      <c r="J52">
        <f>ROUND(POWER($A$28*I52/100,$AM$28),0)</f>
        <v>17</v>
      </c>
      <c r="K52" s="2">
        <v>3</v>
      </c>
      <c r="L52">
        <f ca="1">ROUND(30/K52*P52*N52,2)</f>
        <v>16.68</v>
      </c>
      <c r="M52" s="9">
        <v>400</v>
      </c>
      <c r="N52" s="12">
        <f ca="1">OFFSET(其他表格!$G$2,M52/100,0)</f>
        <v>1.1500000000000001</v>
      </c>
      <c r="O52" s="9">
        <v>7</v>
      </c>
      <c r="P52" s="12">
        <f ca="1">OFFSET(其他表格!$B$1,O52,0)</f>
        <v>1.45</v>
      </c>
      <c r="Q52">
        <f>ROUND((E52+200)*AN52,2)</f>
        <v>33.75</v>
      </c>
      <c r="R52">
        <f>ROUND(($E$28+200)*$AN$28,2)</f>
        <v>30</v>
      </c>
      <c r="S52">
        <f>ROUND(POWER((E52+200-$J$28-200+AP52),2)/AO52,2)</f>
        <v>45.94</v>
      </c>
      <c r="T52">
        <f>ROUND(POWER(($E$28+200-J52-200+AP52),2)/AO52,2)</f>
        <v>38.880000000000003</v>
      </c>
      <c r="U52">
        <f ca="1">ROUND((Q52+S52)*(A52+A52)/AQ52*L52,0)</f>
        <v>266</v>
      </c>
      <c r="V52">
        <f ca="1">ROUND((R52+T52)*(A52+A52)/AQ52*L52,0)</f>
        <v>230</v>
      </c>
      <c r="W52" s="65">
        <f ca="1">MIN(ROUND(U52/A52,4),1)</f>
        <v>0.13300000000000001</v>
      </c>
      <c r="X52" s="65">
        <f ca="1">MIN(ROUND(V52/A52,4),1)</f>
        <v>0.115</v>
      </c>
      <c r="Y52"/>
      <c r="Z52"/>
      <c r="AA52"/>
      <c r="AB52" s="65"/>
      <c r="AC52"/>
      <c r="AD52" s="66"/>
      <c r="AE52" s="66"/>
      <c r="AF52" s="65"/>
      <c r="AG52" s="66"/>
      <c r="AH52" s="66"/>
      <c r="AI52" s="65"/>
      <c r="AJ52" s="66"/>
      <c r="AK52" s="66"/>
      <c r="AL52" s="65"/>
      <c r="AM52" s="52">
        <v>0.5</v>
      </c>
      <c r="AN52" s="52">
        <v>0.15</v>
      </c>
      <c r="AO52" s="52">
        <v>6000</v>
      </c>
      <c r="AP52" s="52">
        <v>500</v>
      </c>
      <c r="AQ52" s="52">
        <v>20000</v>
      </c>
      <c r="AS52">
        <f ca="1">ROUND(AT52*AV52,0)</f>
        <v>252</v>
      </c>
      <c r="AT52">
        <f>ROUND(AY52*0.35+AZ52*0.65,0)</f>
        <v>711</v>
      </c>
      <c r="AU52" s="65">
        <f ca="1">ROUND(AS52/A52,4)</f>
        <v>0.126</v>
      </c>
      <c r="AV52" s="8">
        <f ca="1">ROUND((AW52+其他表格!K8+基本公式!$B$87)*OFFSET(其他表格!$N$1,兵攻防!O52,0)+OFFSET(其他表格!$P$1,M52/100,0),4)</f>
        <v>0.3548</v>
      </c>
      <c r="AW52" s="54">
        <v>0.1</v>
      </c>
      <c r="AX52" s="9">
        <v>150</v>
      </c>
      <c r="AY52">
        <f t="shared" si="61"/>
        <v>122</v>
      </c>
      <c r="AZ52">
        <f t="shared" si="61"/>
        <v>1028</v>
      </c>
      <c r="BA52">
        <f>ROUND(POWER(AX52/10*(BE52*2+BG52),2)/BH52*(A52+A52)/AQ52,0)</f>
        <v>97</v>
      </c>
      <c r="BB52" s="17">
        <f>ROUND(POWER(AX52/10*(BF52*2+BG52),2)/BH52*(A52+A52)/AQ52,0)</f>
        <v>270</v>
      </c>
      <c r="BC52">
        <f>ROUND(POWER(AX52/10*(BE52-BF52+BI52),2)/BJ52*(A52+A52)/AQ52,0)</f>
        <v>25</v>
      </c>
      <c r="BD52" s="17">
        <f>ROUND(POWER(AX52/10*(BF52*2-BE52*2+BI52),2)/BJ52*(A52+A52)/AQ52,0)</f>
        <v>758</v>
      </c>
      <c r="BE52">
        <f>基本公式!$B$184</f>
        <v>30</v>
      </c>
      <c r="BF52">
        <f>基本公式!$B$183</f>
        <v>150</v>
      </c>
      <c r="BG52" s="52">
        <v>300</v>
      </c>
      <c r="BH52" s="52">
        <v>60000</v>
      </c>
      <c r="BI52" s="52">
        <v>200</v>
      </c>
      <c r="BJ52" s="52">
        <v>11500</v>
      </c>
    </row>
    <row r="53" spans="1:62">
      <c r="A53">
        <v>5000</v>
      </c>
      <c r="B53" s="48">
        <f ca="1">ROUND(((U53-$U$29)+($V$29-V53)),0)</f>
        <v>145</v>
      </c>
      <c r="C53" s="49">
        <f ca="1">ROUND(C45*基本公式!$B$86,0)</f>
        <v>145</v>
      </c>
      <c r="D53" s="9">
        <v>32</v>
      </c>
      <c r="E53">
        <f>ROUND(POWER(A53*D53/100,AM53),0)</f>
        <v>40</v>
      </c>
      <c r="F53" s="50">
        <f>ROUND(G53*0.35+H53*0.65,0)</f>
        <v>19763</v>
      </c>
      <c r="G53">
        <f>ROUND((E53+(30+30)/2)*AN53*兵攻防!A53/基本公式!$B$53,0)</f>
        <v>10500</v>
      </c>
      <c r="H53" s="51">
        <f>ROUND((E53+(基本公式!$B$181+基本公式!$B$31)/2)*AN53*兵攻防!A53/基本公式!$B$53,0)</f>
        <v>24750</v>
      </c>
      <c r="I53" s="9">
        <v>15</v>
      </c>
      <c r="J53">
        <f>ROUND(POWER($A$29*I53/100,$AM$29),0)</f>
        <v>27</v>
      </c>
      <c r="K53" s="2">
        <v>3</v>
      </c>
      <c r="L53">
        <f ca="1">ROUND(30/K53*P53*N53,2)</f>
        <v>16.68</v>
      </c>
      <c r="M53" s="9">
        <v>400</v>
      </c>
      <c r="N53" s="12">
        <f ca="1">OFFSET(其他表格!$G$2,M53/100,0)</f>
        <v>1.1500000000000001</v>
      </c>
      <c r="O53" s="9">
        <v>7</v>
      </c>
      <c r="P53" s="12">
        <f ca="1">OFFSET(其他表格!$B$1,O53,0)</f>
        <v>1.45</v>
      </c>
      <c r="Q53">
        <f>ROUND((E53+200)*AN53,2)</f>
        <v>36</v>
      </c>
      <c r="R53">
        <f>ROUND(($E$29+200)*$AN$29,2)</f>
        <v>30</v>
      </c>
      <c r="S53">
        <f>ROUND(POWER((E53+200-$J$29-200+AP53),2)/AO53,2)</f>
        <v>48.6</v>
      </c>
      <c r="T53">
        <f>ROUND(POWER(($E$29+200-J53-200+AP53),2)/AO53,2)</f>
        <v>37.29</v>
      </c>
      <c r="U53">
        <f ca="1">ROUND((Q53+S53)*(A53+A53)/AQ53*L53,0)</f>
        <v>706</v>
      </c>
      <c r="V53">
        <f ca="1">ROUND((R53+T53)*(A53+A53)/AQ53*L53,0)</f>
        <v>561</v>
      </c>
      <c r="W53" s="65">
        <f ca="1">MIN(ROUND(U53/A53,4),1)</f>
        <v>0.14119999999999999</v>
      </c>
      <c r="X53" s="65">
        <f ca="1">MIN(ROUND(V53/A53,4),1)</f>
        <v>0.11219999999999999</v>
      </c>
      <c r="Y53"/>
      <c r="Z53"/>
      <c r="AA53"/>
      <c r="AB53" s="65"/>
      <c r="AC53"/>
      <c r="AD53" s="66"/>
      <c r="AE53" s="66"/>
      <c r="AF53" s="65"/>
      <c r="AG53" s="66"/>
      <c r="AH53" s="66"/>
      <c r="AI53" s="65"/>
      <c r="AJ53" s="66"/>
      <c r="AK53" s="66"/>
      <c r="AL53" s="65"/>
      <c r="AM53" s="52">
        <v>0.5</v>
      </c>
      <c r="AN53" s="52">
        <v>0.15</v>
      </c>
      <c r="AO53" s="52">
        <v>6000</v>
      </c>
      <c r="AP53" s="52">
        <v>500</v>
      </c>
      <c r="AQ53" s="52">
        <v>20000</v>
      </c>
      <c r="AS53">
        <f ca="1">ROUND(AT53*AV53,0)</f>
        <v>710</v>
      </c>
      <c r="AT53">
        <f>ROUND(AY53*0.35+AZ53*0.65,0)</f>
        <v>1777</v>
      </c>
      <c r="AU53" s="65">
        <f ca="1">ROUND(AS53/A53,4)</f>
        <v>0.14199999999999999</v>
      </c>
      <c r="AV53" s="8">
        <f ca="1">ROUND((AW53+其他表格!K9+基本公式!$B$87)*OFFSET(其他表格!$N$1,兵攻防!O53,0)+OFFSET(其他表格!$P$1,M53/100,0),4)</f>
        <v>0.39929999999999999</v>
      </c>
      <c r="AW53" s="54">
        <v>0.1</v>
      </c>
      <c r="AX53" s="9">
        <v>150</v>
      </c>
      <c r="AY53">
        <f t="shared" si="61"/>
        <v>306</v>
      </c>
      <c r="AZ53">
        <f t="shared" si="61"/>
        <v>2569</v>
      </c>
      <c r="BA53">
        <f>ROUND(POWER(AX53/10*(BE53*2+BG53),2)/BH53*(A53+A53)/AQ53,0)</f>
        <v>243</v>
      </c>
      <c r="BB53" s="17">
        <f>ROUND(POWER(AX53/10*(BF53*2+BG53),2)/BH53*(A53+A53)/AQ53,0)</f>
        <v>675</v>
      </c>
      <c r="BC53">
        <f>ROUND(POWER(AX53/10*(BE53-BF53+BI53),2)/BJ53*(A53+A53)/AQ53,0)</f>
        <v>63</v>
      </c>
      <c r="BD53" s="17">
        <f>ROUND(POWER(AX53/10*(BF53*2-BE53*2+BI53),2)/BJ53*(A53+A53)/AQ53,0)</f>
        <v>1894</v>
      </c>
      <c r="BE53">
        <f>基本公式!$B$184</f>
        <v>30</v>
      </c>
      <c r="BF53">
        <f>基本公式!$B$183</f>
        <v>150</v>
      </c>
      <c r="BG53" s="52">
        <v>300</v>
      </c>
      <c r="BH53" s="52">
        <v>60000</v>
      </c>
      <c r="BI53" s="52">
        <v>200</v>
      </c>
      <c r="BJ53" s="52">
        <v>11500</v>
      </c>
    </row>
    <row r="55" spans="1:62" s="47" customFormat="1">
      <c r="A55" s="47" t="s">
        <v>169</v>
      </c>
      <c r="B55" s="61" t="s">
        <v>163</v>
      </c>
      <c r="C55" s="61" t="s">
        <v>170</v>
      </c>
      <c r="F55" s="62"/>
      <c r="H55" s="63"/>
      <c r="K55" s="64"/>
      <c r="AR55" s="69"/>
      <c r="AV55" s="49"/>
      <c r="AW55" s="72"/>
      <c r="AX55" s="73"/>
      <c r="BB55" s="74"/>
      <c r="BD55" s="74"/>
      <c r="BG55" s="52"/>
      <c r="BH55" s="52"/>
    </row>
    <row r="56" spans="1:62">
      <c r="A56">
        <v>100</v>
      </c>
      <c r="B56" s="48">
        <f t="shared" ref="B56" ca="1" si="62">ROUND(((U56-$U$29)+($V$29-V56)),0)</f>
        <v>0</v>
      </c>
      <c r="C56" s="49">
        <f t="shared" ref="C56" ca="1" si="63">C32</f>
        <v>0</v>
      </c>
      <c r="D56" s="9">
        <v>7</v>
      </c>
      <c r="E56">
        <f t="shared" ref="E56" si="64">ROUND(POWER(A56*D56/100,AM56),0)</f>
        <v>3</v>
      </c>
      <c r="F56" s="50">
        <f>ROUND(G56*0.35+H56*0.65,0)</f>
        <v>284</v>
      </c>
      <c r="G56">
        <f>ROUND((E56+(30+30)/2)*AN56*兵攻防!A56/基本公式!$B$53,0)</f>
        <v>99</v>
      </c>
      <c r="H56" s="51">
        <f>ROUND((E56+(基本公式!$B$181+基本公式!$B$31)/2)*AN56*兵攻防!A56/基本公式!$B$53,0)</f>
        <v>384</v>
      </c>
      <c r="I56" s="9">
        <v>5</v>
      </c>
      <c r="J56">
        <f>ROUND(POWER($A$24*I56/100,$AM$24),0)</f>
        <v>2</v>
      </c>
      <c r="K56" s="2">
        <v>3</v>
      </c>
      <c r="L56">
        <f t="shared" ref="L56" ca="1" si="65">ROUND(30/K56*P56*N56,2)</f>
        <v>11.55</v>
      </c>
      <c r="M56" s="9">
        <v>280</v>
      </c>
      <c r="N56" s="12">
        <f ca="1">OFFSET(其他表格!$G$2,M56/100,0)</f>
        <v>1.05</v>
      </c>
      <c r="O56" s="9">
        <v>2</v>
      </c>
      <c r="P56" s="12">
        <f ca="1">OFFSET(其他表格!$B$1,O56,0)</f>
        <v>1.1000000000000001</v>
      </c>
      <c r="Q56">
        <f t="shared" ref="Q56" si="66">ROUND((E56+200)*AN56,2)</f>
        <v>30.45</v>
      </c>
      <c r="R56">
        <f>ROUND(($E$24+200)*$AN$24,2)</f>
        <v>30</v>
      </c>
      <c r="S56">
        <f>ROUND(POWER((E56+200-$J$24-200+AP56),2)/AO56,2)</f>
        <v>42.17</v>
      </c>
      <c r="T56">
        <f>ROUND(POWER(($E$24+200-J56-200+AP56),2)/AO56,2)</f>
        <v>41.33</v>
      </c>
      <c r="U56">
        <f t="shared" ref="U56" ca="1" si="67">ROUND((Q56+S56)*(A56+A56)/AQ56*L56,0)</f>
        <v>8</v>
      </c>
      <c r="V56">
        <f t="shared" ref="V56" ca="1" si="68">ROUND((R56+T56)*(A56+A56)/AQ56*L56,0)</f>
        <v>8</v>
      </c>
      <c r="W56" s="65">
        <f t="shared" ref="W56" ca="1" si="69">MIN(ROUND(U56/A56,4),1)</f>
        <v>0.08</v>
      </c>
      <c r="X56" s="65">
        <f t="shared" ref="X56" ca="1" si="70">MIN(ROUND(V56/A56,4),1)</f>
        <v>0.08</v>
      </c>
      <c r="Y56"/>
      <c r="Z56"/>
      <c r="AA56"/>
      <c r="AB56" s="65"/>
      <c r="AC56"/>
      <c r="AD56" s="66"/>
      <c r="AE56" s="66"/>
      <c r="AF56" s="65"/>
      <c r="AG56" s="66"/>
      <c r="AH56" s="66"/>
      <c r="AI56" s="65"/>
      <c r="AJ56" s="66"/>
      <c r="AK56" s="66"/>
      <c r="AL56" s="65"/>
      <c r="AM56" s="52">
        <v>0.5</v>
      </c>
      <c r="AN56" s="52">
        <v>0.15</v>
      </c>
      <c r="AO56" s="52">
        <v>6000</v>
      </c>
      <c r="AP56" s="52">
        <v>500</v>
      </c>
      <c r="AQ56" s="52">
        <v>20000</v>
      </c>
      <c r="AS56">
        <f t="shared" ref="AS56" ca="1" si="71">ROUND(AT56*AV56,0)</f>
        <v>2</v>
      </c>
      <c r="AT56">
        <f t="shared" ref="AT56" si="72">ROUND(AY56*0.35+AZ56*0.65,0)</f>
        <v>27</v>
      </c>
      <c r="AU56" s="65">
        <f t="shared" ref="AU56" ca="1" si="73">ROUND(AS56/A56,4)</f>
        <v>0.02</v>
      </c>
      <c r="AV56" s="8">
        <f ca="1">ROUND((AW56+其他表格!K4+基本公式!$B$87)*OFFSET(其他表格!$N$1,兵攻防!O56,0)+OFFSET(其他表格!$P$1,M56/100,0),4)</f>
        <v>6.1800000000000001E-2</v>
      </c>
      <c r="AW56" s="54">
        <v>0.1</v>
      </c>
      <c r="AX56" s="9">
        <v>131</v>
      </c>
      <c r="AY56">
        <f t="shared" ref="AY56" si="74">BA56+BC56</f>
        <v>4</v>
      </c>
      <c r="AZ56">
        <f t="shared" ref="AZ56" si="75">BB56+BD56</f>
        <v>39</v>
      </c>
      <c r="BA56">
        <f t="shared" ref="BA56" si="76">ROUND(POWER(AX56/10*(BE56+BG56),2)/BH56*(A56+A56)/AQ56,0)</f>
        <v>3</v>
      </c>
      <c r="BB56" s="17">
        <f t="shared" ref="BB56" si="77">ROUND(POWER(AX56/10*(BF56*2+BG56),2)/BH56*(A56+A56)/AQ56,0)</f>
        <v>10</v>
      </c>
      <c r="BC56">
        <f t="shared" ref="BC56" si="78">ROUND(POWER(AX56/10*(BE56-BF56+BI56),2)/BJ56*(A56+A56)/AQ56,0)</f>
        <v>1</v>
      </c>
      <c r="BD56" s="17">
        <f t="shared" ref="BD56" si="79">ROUND(POWER(AX56/10*(BF56*2-BE56*2+BI56),2)/BJ56*(A56+A56)/AQ56,0)</f>
        <v>29</v>
      </c>
      <c r="BE56">
        <f>基本公式!$B$184</f>
        <v>30</v>
      </c>
      <c r="BF56">
        <f>基本公式!$B$183</f>
        <v>150</v>
      </c>
      <c r="BG56" s="52">
        <v>300</v>
      </c>
      <c r="BH56" s="52">
        <v>60000</v>
      </c>
      <c r="BI56" s="52">
        <v>200</v>
      </c>
      <c r="BJ56" s="52">
        <v>11500</v>
      </c>
    </row>
    <row r="57" spans="1:62">
      <c r="A57">
        <v>200</v>
      </c>
      <c r="B57" s="48">
        <f ca="1">ROUND(((U57-$U$29)+($V$29-V57)),0)</f>
        <v>1</v>
      </c>
      <c r="C57" s="49">
        <f ca="1">C33</f>
        <v>1</v>
      </c>
      <c r="D57" s="9">
        <v>7</v>
      </c>
      <c r="E57">
        <f>ROUND(POWER(A57*D57/100,AM57),0)</f>
        <v>4</v>
      </c>
      <c r="F57" s="50">
        <f t="shared" ref="F57" si="80">ROUND(G57*0.35+H57*0.65,0)</f>
        <v>575</v>
      </c>
      <c r="G57">
        <f>ROUND((E57+(30+30)/2)*AN57*兵攻防!A57/基本公式!$B$53,0)</f>
        <v>204</v>
      </c>
      <c r="H57" s="51">
        <f>ROUND((E57+(基本公式!$B$181+基本公式!$B$31)/2)*AN57*兵攻防!A57/基本公式!$B$53,0)</f>
        <v>774</v>
      </c>
      <c r="I57" s="9">
        <v>5</v>
      </c>
      <c r="J57">
        <f>ROUND(POWER($A$25*I57/100,$AM$25),0)</f>
        <v>3</v>
      </c>
      <c r="K57" s="2">
        <v>3</v>
      </c>
      <c r="L57">
        <f ca="1">ROUND(30/K57*P57*N57,2)</f>
        <v>11.55</v>
      </c>
      <c r="M57" s="9">
        <v>280</v>
      </c>
      <c r="N57" s="12">
        <f ca="1">OFFSET(其他表格!$G$2,M57/100,0)</f>
        <v>1.05</v>
      </c>
      <c r="O57" s="9">
        <v>2</v>
      </c>
      <c r="P57" s="12">
        <f ca="1">OFFSET(其他表格!$B$1,O57,0)</f>
        <v>1.1000000000000001</v>
      </c>
      <c r="Q57">
        <f>ROUND((E57+200)*AN57,2)</f>
        <v>30.6</v>
      </c>
      <c r="R57">
        <f>ROUND(($E$25+200)*$AN$25,2)</f>
        <v>30</v>
      </c>
      <c r="S57">
        <f>ROUND(POWER((E57+200-$J$25-200+AP57),2)/AO57,2)</f>
        <v>42.34</v>
      </c>
      <c r="T57">
        <f>ROUND(POWER(($E$25+200-J57-200+AP57),2)/AO57,2)</f>
        <v>41.17</v>
      </c>
      <c r="U57">
        <f ca="1">ROUND((Q57+S57)*(A57+A57)/AQ57*L57,0)</f>
        <v>17</v>
      </c>
      <c r="V57">
        <f ca="1">ROUND((R57+T57)*(A57+A57)/AQ57*L57,0)</f>
        <v>16</v>
      </c>
      <c r="W57" s="65">
        <f ca="1">MIN(ROUND(U57/A57,4),1)</f>
        <v>8.5000000000000006E-2</v>
      </c>
      <c r="X57" s="65">
        <f ca="1">MIN(ROUND(V57/A57,4),1)</f>
        <v>0.08</v>
      </c>
      <c r="Y57"/>
      <c r="Z57"/>
      <c r="AA57"/>
      <c r="AB57" s="65"/>
      <c r="AC57"/>
      <c r="AD57" s="66"/>
      <c r="AE57" s="66"/>
      <c r="AF57" s="65"/>
      <c r="AG57" s="66"/>
      <c r="AH57" s="66"/>
      <c r="AI57" s="65"/>
      <c r="AJ57" s="66"/>
      <c r="AK57" s="66"/>
      <c r="AL57" s="65"/>
      <c r="AM57" s="52">
        <v>0.5</v>
      </c>
      <c r="AN57" s="52">
        <v>0.15</v>
      </c>
      <c r="AO57" s="52">
        <v>6000</v>
      </c>
      <c r="AP57" s="52">
        <v>500</v>
      </c>
      <c r="AQ57" s="52">
        <v>20000</v>
      </c>
      <c r="AS57">
        <f ca="1">ROUND(AT57*AV57,0)</f>
        <v>4</v>
      </c>
      <c r="AT57">
        <f>ROUND(AY57*0.35+AZ57*0.65,0)</f>
        <v>54</v>
      </c>
      <c r="AU57" s="65">
        <f ca="1">ROUND(AS57/A57,4)</f>
        <v>0.02</v>
      </c>
      <c r="AV57" s="8">
        <f ca="1">ROUND((AW57+其他表格!K5+基本公式!$B$87)*OFFSET(其他表格!$N$1,兵攻防!O57,0)+OFFSET(其他表格!$P$1,M57/100,0),4)</f>
        <v>7.2900000000000006E-2</v>
      </c>
      <c r="AW57" s="54">
        <v>0.1</v>
      </c>
      <c r="AX57" s="9">
        <v>131</v>
      </c>
      <c r="AY57">
        <f t="shared" ref="AY57:AZ61" si="81">BA57+BC57</f>
        <v>8</v>
      </c>
      <c r="AZ57">
        <f t="shared" si="81"/>
        <v>79</v>
      </c>
      <c r="BA57">
        <f>ROUND(POWER(AX57/10*(BE57+BG57),2)/BH57*(A57+A57)/AQ57,0)</f>
        <v>6</v>
      </c>
      <c r="BB57" s="17">
        <f>ROUND(POWER(AX57/10*(BF57*2+BG57),2)/BH57*(A57+A57)/AQ57,0)</f>
        <v>21</v>
      </c>
      <c r="BC57">
        <f>ROUND(POWER(AX57/10*(BE57-BF57+BI57),2)/BJ57*(A57+A57)/AQ57,0)</f>
        <v>2</v>
      </c>
      <c r="BD57" s="17">
        <f>ROUND(POWER(AX57/10*(BF57*2-BE57*2+BI57),2)/BJ57*(A57+A57)/AQ57,0)</f>
        <v>58</v>
      </c>
      <c r="BE57">
        <f>基本公式!$B$184</f>
        <v>30</v>
      </c>
      <c r="BF57">
        <f>基本公式!$B$183</f>
        <v>150</v>
      </c>
      <c r="BG57" s="52">
        <v>300</v>
      </c>
      <c r="BH57" s="52">
        <v>60000</v>
      </c>
      <c r="BI57" s="52">
        <v>200</v>
      </c>
      <c r="BJ57" s="52">
        <v>11500</v>
      </c>
    </row>
    <row r="58" spans="1:62">
      <c r="A58">
        <v>500</v>
      </c>
      <c r="B58" s="48">
        <f ca="1">ROUND(((U58-$U$29)+($V$29-V58)),0)</f>
        <v>1</v>
      </c>
      <c r="C58" s="49">
        <f ca="1">C34</f>
        <v>2</v>
      </c>
      <c r="D58" s="9">
        <v>7</v>
      </c>
      <c r="E58">
        <f>ROUND(POWER(A58*D58/100,AM58),0)</f>
        <v>6</v>
      </c>
      <c r="F58" s="50">
        <f>ROUND(G58*0.35+H58*0.65,0)</f>
        <v>1466</v>
      </c>
      <c r="G58">
        <f>ROUND((E58+(30+30)/2)*AN58*兵攻防!A58/基本公式!$B$53,0)</f>
        <v>540</v>
      </c>
      <c r="H58" s="51">
        <f>ROUND((E58+(基本公式!$B$181+基本公式!$B$31)/2)*AN58*兵攻防!A58/基本公式!$B$53,0)</f>
        <v>1965</v>
      </c>
      <c r="I58" s="9">
        <v>5</v>
      </c>
      <c r="J58">
        <f>ROUND(POWER($A$26*I58/100,$AM$26),0)</f>
        <v>5</v>
      </c>
      <c r="K58" s="2">
        <v>3</v>
      </c>
      <c r="L58">
        <f ca="1">ROUND(30/K58*P58*N58,2)</f>
        <v>11.55</v>
      </c>
      <c r="M58" s="9">
        <v>280</v>
      </c>
      <c r="N58" s="12">
        <f ca="1">OFFSET(其他表格!$G$2,M58/100,0)</f>
        <v>1.05</v>
      </c>
      <c r="O58" s="9">
        <v>2</v>
      </c>
      <c r="P58" s="12">
        <f ca="1">OFFSET(其他表格!$B$1,O58,0)</f>
        <v>1.1000000000000001</v>
      </c>
      <c r="Q58">
        <f>ROUND((E58+200)*AN58,2)</f>
        <v>30.9</v>
      </c>
      <c r="R58">
        <f>ROUND(($E$26+200)*$AN$26,2)</f>
        <v>30</v>
      </c>
      <c r="S58">
        <f>ROUND(POWER((E58+200-$J$26-200+AP58),2)/AO58,2)</f>
        <v>42.67</v>
      </c>
      <c r="T58">
        <f>ROUND(POWER(($E$26+200-J58-200+AP58),2)/AO58,2)</f>
        <v>40.840000000000003</v>
      </c>
      <c r="U58">
        <f ca="1">ROUND((Q58+S58)*(A58+A58)/AQ58*L58,0)</f>
        <v>42</v>
      </c>
      <c r="V58">
        <f ca="1">ROUND((R58+T58)*(A58+A58)/AQ58*L58,0)</f>
        <v>41</v>
      </c>
      <c r="W58" s="65">
        <f ca="1">MIN(ROUND(U58/A58,4),1)</f>
        <v>8.4000000000000005E-2</v>
      </c>
      <c r="X58" s="65">
        <f ca="1">MIN(ROUND(V58/A58,4),1)</f>
        <v>8.2000000000000003E-2</v>
      </c>
      <c r="Y58"/>
      <c r="Z58"/>
      <c r="AA58"/>
      <c r="AB58" s="65"/>
      <c r="AC58"/>
      <c r="AD58" s="66"/>
      <c r="AE58" s="66"/>
      <c r="AF58" s="65"/>
      <c r="AG58" s="66"/>
      <c r="AH58" s="66"/>
      <c r="AI58" s="65"/>
      <c r="AJ58" s="66"/>
      <c r="AK58" s="66"/>
      <c r="AL58" s="65"/>
      <c r="AM58" s="52">
        <v>0.5</v>
      </c>
      <c r="AN58" s="52">
        <v>0.15</v>
      </c>
      <c r="AO58" s="52">
        <v>6000</v>
      </c>
      <c r="AP58" s="52">
        <v>500</v>
      </c>
      <c r="AQ58" s="52">
        <v>20000</v>
      </c>
      <c r="AS58">
        <f ca="1">ROUND(AT58*AV58,0)</f>
        <v>11</v>
      </c>
      <c r="AT58">
        <f>ROUND(AY58*0.35+AZ58*0.65,0)</f>
        <v>134</v>
      </c>
      <c r="AU58" s="65">
        <f ca="1">ROUND(AS58/A58,4)</f>
        <v>2.1999999999999999E-2</v>
      </c>
      <c r="AV58" s="8">
        <f ca="1">ROUND((AW58+其他表格!K6+基本公式!$B$87)*OFFSET(其他表格!$N$1,兵攻防!O58,0)+OFFSET(其他表格!$P$1,M58/100,0),4)</f>
        <v>8.4000000000000005E-2</v>
      </c>
      <c r="AW58" s="54">
        <v>0.1</v>
      </c>
      <c r="AX58" s="9">
        <v>131</v>
      </c>
      <c r="AY58">
        <f t="shared" si="81"/>
        <v>21</v>
      </c>
      <c r="AZ58">
        <f t="shared" si="81"/>
        <v>195</v>
      </c>
      <c r="BA58">
        <f>ROUND(POWER(AX58/10*(BE58+BG58),2)/BH58*(A58+A58)/AQ58,0)</f>
        <v>16</v>
      </c>
      <c r="BB58" s="17">
        <f>ROUND(POWER(AX58/10*(BF58*2+BG58),2)/BH58*(A58+A58)/AQ58,0)</f>
        <v>51</v>
      </c>
      <c r="BC58">
        <f>ROUND(POWER(AX58/10*(BE58-BF58+BI58),2)/BJ58*(A58+A58)/AQ58,0)</f>
        <v>5</v>
      </c>
      <c r="BD58" s="17">
        <f>ROUND(POWER(AX58/10*(BF58*2-BE58*2+BI58),2)/BJ58*(A58+A58)/AQ58,0)</f>
        <v>144</v>
      </c>
      <c r="BE58">
        <f>基本公式!$B$184</f>
        <v>30</v>
      </c>
      <c r="BF58">
        <f>基本公式!$B$183</f>
        <v>150</v>
      </c>
      <c r="BG58" s="52">
        <v>300</v>
      </c>
      <c r="BH58" s="52">
        <v>60000</v>
      </c>
      <c r="BI58" s="52">
        <v>200</v>
      </c>
      <c r="BJ58" s="52">
        <v>11500</v>
      </c>
    </row>
    <row r="59" spans="1:62">
      <c r="A59">
        <v>1000</v>
      </c>
      <c r="B59" s="48">
        <f ca="1">ROUND(((U59-$U$29)+($V$29-V59)),0)</f>
        <v>5</v>
      </c>
      <c r="C59" s="49">
        <f ca="1">C35</f>
        <v>5</v>
      </c>
      <c r="D59" s="9">
        <v>7</v>
      </c>
      <c r="E59">
        <f>ROUND(POWER(A59*D59/100,AM59),0)</f>
        <v>8</v>
      </c>
      <c r="F59" s="50">
        <f>ROUND(G59*0.35+H59*0.65,0)</f>
        <v>2993</v>
      </c>
      <c r="G59">
        <f>ROUND((E59+(30+30)/2)*AN59*兵攻防!A59/基本公式!$B$53,0)</f>
        <v>1140</v>
      </c>
      <c r="H59" s="51">
        <f>ROUND((E59+(基本公式!$B$181+基本公式!$B$31)/2)*AN59*兵攻防!A59/基本公式!$B$53,0)</f>
        <v>3990</v>
      </c>
      <c r="I59" s="9">
        <v>5</v>
      </c>
      <c r="J59">
        <f>ROUND(POWER($A$27*I59/100,$AM$27),0)</f>
        <v>7</v>
      </c>
      <c r="K59" s="2">
        <v>3</v>
      </c>
      <c r="L59">
        <f ca="1">ROUND(30/K59*P59*N59,2)</f>
        <v>11.55</v>
      </c>
      <c r="M59" s="9">
        <v>280</v>
      </c>
      <c r="N59" s="12">
        <f ca="1">OFFSET(其他表格!$G$2,M59/100,0)</f>
        <v>1.05</v>
      </c>
      <c r="O59" s="9">
        <v>2</v>
      </c>
      <c r="P59" s="12">
        <f ca="1">OFFSET(其他表格!$B$1,O59,0)</f>
        <v>1.1000000000000001</v>
      </c>
      <c r="Q59">
        <f>ROUND((E59+200)*AN59,2)</f>
        <v>31.2</v>
      </c>
      <c r="R59">
        <f>ROUND(($E$27+200)*$AN$27,2)</f>
        <v>30</v>
      </c>
      <c r="S59">
        <f>ROUND(POWER((E59+200-$J$27-200+AP59),2)/AO59,2)</f>
        <v>43.01</v>
      </c>
      <c r="T59">
        <f>ROUND(POWER(($E$27+200-J59-200+AP59),2)/AO59,2)</f>
        <v>40.51</v>
      </c>
      <c r="U59">
        <f ca="1">ROUND((Q59+S59)*(A59+A59)/AQ59*L59,0)</f>
        <v>86</v>
      </c>
      <c r="V59">
        <f ca="1">ROUND((R59+T59)*(A59+A59)/AQ59*L59,0)</f>
        <v>81</v>
      </c>
      <c r="W59" s="65">
        <f ca="1">MIN(ROUND(U59/A59,4),1)</f>
        <v>8.5999999999999993E-2</v>
      </c>
      <c r="X59" s="65">
        <f ca="1">MIN(ROUND(V59/A59,4),1)</f>
        <v>8.1000000000000003E-2</v>
      </c>
      <c r="Y59"/>
      <c r="Z59"/>
      <c r="AA59"/>
      <c r="AB59" s="65"/>
      <c r="AC59"/>
      <c r="AD59" s="66"/>
      <c r="AE59" s="66"/>
      <c r="AF59" s="65"/>
      <c r="AG59" s="66"/>
      <c r="AH59" s="66"/>
      <c r="AI59" s="65"/>
      <c r="AJ59" s="66"/>
      <c r="AK59" s="66"/>
      <c r="AL59" s="65"/>
      <c r="AM59" s="52">
        <v>0.5</v>
      </c>
      <c r="AN59" s="52">
        <v>0.15</v>
      </c>
      <c r="AO59" s="52">
        <v>6000</v>
      </c>
      <c r="AP59" s="52">
        <v>500</v>
      </c>
      <c r="AQ59" s="52">
        <v>20000</v>
      </c>
      <c r="AS59">
        <f ca="1">ROUND(AT59*AV59,0)</f>
        <v>26</v>
      </c>
      <c r="AT59">
        <f>ROUND(AY59*0.35+AZ59*0.65,0)</f>
        <v>269</v>
      </c>
      <c r="AU59" s="65">
        <f ca="1">ROUND(AS59/A59,4)</f>
        <v>2.5999999999999999E-2</v>
      </c>
      <c r="AV59" s="8">
        <f ca="1">ROUND((AW59+其他表格!K7+基本公式!$B$87)*OFFSET(其他表格!$N$1,兵攻防!O59,0)+OFFSET(其他表格!$P$1,M59/100,0),4)</f>
        <v>9.5100000000000004E-2</v>
      </c>
      <c r="AW59" s="54">
        <v>0.1</v>
      </c>
      <c r="AX59" s="9">
        <v>131</v>
      </c>
      <c r="AY59">
        <f t="shared" si="81"/>
        <v>41</v>
      </c>
      <c r="AZ59">
        <f t="shared" si="81"/>
        <v>392</v>
      </c>
      <c r="BA59">
        <f>ROUND(POWER(AX59/10*(BE59+BG59),2)/BH59*(A59+A59)/AQ59,0)</f>
        <v>31</v>
      </c>
      <c r="BB59" s="17">
        <f>ROUND(POWER(AX59/10*(BF59*2+BG59),2)/BH59*(A59+A59)/AQ59,0)</f>
        <v>103</v>
      </c>
      <c r="BC59">
        <f>ROUND(POWER(AX59/10*(BE59-BF59+BI59),2)/BJ59*(A59+A59)/AQ59,0)</f>
        <v>10</v>
      </c>
      <c r="BD59" s="17">
        <f>ROUND(POWER(AX59/10*(BF59*2-BE59*2+BI59),2)/BJ59*(A59+A59)/AQ59,0)</f>
        <v>289</v>
      </c>
      <c r="BE59">
        <f>基本公式!$B$184</f>
        <v>30</v>
      </c>
      <c r="BF59">
        <f>基本公式!$B$183</f>
        <v>150</v>
      </c>
      <c r="BG59" s="52">
        <v>300</v>
      </c>
      <c r="BH59" s="52">
        <v>60000</v>
      </c>
      <c r="BI59" s="52">
        <v>200</v>
      </c>
      <c r="BJ59" s="52">
        <v>11500</v>
      </c>
    </row>
    <row r="60" spans="1:62">
      <c r="A60">
        <v>2000</v>
      </c>
      <c r="B60" s="48">
        <f ca="1">ROUND(((U60-$U$29)+($V$29-V60)),0)</f>
        <v>12</v>
      </c>
      <c r="C60" s="49">
        <f ca="1">C36</f>
        <v>13</v>
      </c>
      <c r="D60" s="9">
        <v>7</v>
      </c>
      <c r="E60">
        <f>ROUND(POWER(A60*D60/100,AM60),0)</f>
        <v>12</v>
      </c>
      <c r="F60" s="50">
        <f>ROUND(G60*0.35+H60*0.65,0)</f>
        <v>6225</v>
      </c>
      <c r="G60">
        <f>ROUND((E60+(30+30)/2)*AN60*兵攻防!A60/基本公式!$B$53,0)</f>
        <v>2520</v>
      </c>
      <c r="H60" s="51">
        <f>ROUND((E60+(基本公式!$B$181+基本公式!$B$31)/2)*AN60*兵攻防!A60/基本公式!$B$53,0)</f>
        <v>8220</v>
      </c>
      <c r="I60" s="9">
        <v>5</v>
      </c>
      <c r="J60">
        <f>ROUND(POWER($A$28*I60/100,$AM$28),0)</f>
        <v>10</v>
      </c>
      <c r="K60" s="2">
        <v>3</v>
      </c>
      <c r="L60">
        <f ca="1">ROUND(30/K60*P60*N60,2)</f>
        <v>11.55</v>
      </c>
      <c r="M60" s="9">
        <v>280</v>
      </c>
      <c r="N60" s="12">
        <f ca="1">OFFSET(其他表格!$G$2,M60/100,0)</f>
        <v>1.05</v>
      </c>
      <c r="O60" s="9">
        <v>2</v>
      </c>
      <c r="P60" s="12">
        <f ca="1">OFFSET(其他表格!$B$1,O60,0)</f>
        <v>1.1000000000000001</v>
      </c>
      <c r="Q60">
        <f>ROUND((E60+200)*AN60,2)</f>
        <v>31.8</v>
      </c>
      <c r="R60">
        <f>ROUND(($E$28+200)*$AN$28,2)</f>
        <v>30</v>
      </c>
      <c r="S60">
        <f>ROUND(POWER((E60+200-$J$28-200+AP60),2)/AO60,2)</f>
        <v>43.69</v>
      </c>
      <c r="T60">
        <f>ROUND(POWER(($E$28+200-J60-200+AP60),2)/AO60,2)</f>
        <v>40.020000000000003</v>
      </c>
      <c r="U60">
        <f ca="1">ROUND((Q60+S60)*(A60+A60)/AQ60*L60,0)</f>
        <v>174</v>
      </c>
      <c r="V60">
        <f ca="1">ROUND((R60+T60)*(A60+A60)/AQ60*L60,0)</f>
        <v>162</v>
      </c>
      <c r="W60" s="65">
        <f ca="1">MIN(ROUND(U60/A60,4),1)</f>
        <v>8.6999999999999994E-2</v>
      </c>
      <c r="X60" s="65">
        <f ca="1">MIN(ROUND(V60/A60,4),1)</f>
        <v>8.1000000000000003E-2</v>
      </c>
      <c r="Y60"/>
      <c r="Z60"/>
      <c r="AA60"/>
      <c r="AB60" s="65"/>
      <c r="AC60"/>
      <c r="AD60" s="66"/>
      <c r="AE60" s="66"/>
      <c r="AF60" s="65"/>
      <c r="AG60" s="66"/>
      <c r="AH60" s="66"/>
      <c r="AI60" s="65"/>
      <c r="AJ60" s="66"/>
      <c r="AK60" s="66"/>
      <c r="AL60" s="65"/>
      <c r="AM60" s="52">
        <v>0.5</v>
      </c>
      <c r="AN60" s="52">
        <v>0.15</v>
      </c>
      <c r="AO60" s="52">
        <v>6000</v>
      </c>
      <c r="AP60" s="52">
        <v>500</v>
      </c>
      <c r="AQ60" s="52">
        <v>20000</v>
      </c>
      <c r="AS60">
        <f ca="1">ROUND(AT60*AV60,0)</f>
        <v>58</v>
      </c>
      <c r="AT60">
        <f>ROUND(AY60*0.35+AZ60*0.65,0)</f>
        <v>538</v>
      </c>
      <c r="AU60" s="65">
        <f ca="1">ROUND(AS60/A60,4)</f>
        <v>2.9000000000000001E-2</v>
      </c>
      <c r="AV60" s="8">
        <f ca="1">ROUND((AW60+其他表格!K8+基本公式!$B$87)*OFFSET(其他表格!$N$1,兵攻防!O60,0)+OFFSET(其他表格!$P$1,M60/100,0),4)</f>
        <v>0.108</v>
      </c>
      <c r="AW60" s="54">
        <v>0.1</v>
      </c>
      <c r="AX60" s="9">
        <v>131</v>
      </c>
      <c r="AY60">
        <f t="shared" si="81"/>
        <v>81</v>
      </c>
      <c r="AZ60">
        <f t="shared" si="81"/>
        <v>784</v>
      </c>
      <c r="BA60">
        <f>ROUND(POWER(AX60/10*(BE60+BG60),2)/BH60*(A60+A60)/AQ60,0)</f>
        <v>62</v>
      </c>
      <c r="BB60" s="17">
        <f>ROUND(POWER(AX60/10*(BF60*2+BG60),2)/BH60*(A60+A60)/AQ60,0)</f>
        <v>206</v>
      </c>
      <c r="BC60">
        <f>ROUND(POWER(AX60/10*(BE60-BF60+BI60),2)/BJ60*(A60+A60)/AQ60,0)</f>
        <v>19</v>
      </c>
      <c r="BD60" s="17">
        <f>ROUND(POWER(AX60/10*(BF60*2-BE60*2+BI60),2)/BJ60*(A60+A60)/AQ60,0)</f>
        <v>578</v>
      </c>
      <c r="BE60">
        <f>基本公式!$B$184</f>
        <v>30</v>
      </c>
      <c r="BF60">
        <f>基本公式!$B$183</f>
        <v>150</v>
      </c>
      <c r="BG60" s="52">
        <v>300</v>
      </c>
      <c r="BH60" s="52">
        <v>60000</v>
      </c>
      <c r="BI60" s="52">
        <v>200</v>
      </c>
      <c r="BJ60" s="52">
        <v>11500</v>
      </c>
    </row>
    <row r="61" spans="1:62">
      <c r="A61">
        <v>5000</v>
      </c>
      <c r="B61" s="48">
        <f ca="1">ROUND(((U61-$U$29)+($V$29-V61)),0)</f>
        <v>50</v>
      </c>
      <c r="C61" s="49">
        <f ca="1">C37</f>
        <v>50</v>
      </c>
      <c r="D61" s="9">
        <v>7</v>
      </c>
      <c r="E61">
        <f>ROUND(POWER(A61*D61/100,AM61),0)</f>
        <v>19</v>
      </c>
      <c r="F61" s="50">
        <f>ROUND(G61*0.35+H61*0.65,0)</f>
        <v>16613</v>
      </c>
      <c r="G61">
        <f>ROUND((E61+(30+30)/2)*AN61*兵攻防!A61/基本公式!$B$53,0)</f>
        <v>7350</v>
      </c>
      <c r="H61" s="51">
        <f>ROUND((E61+(基本公式!$B$181+基本公式!$B$31)/2)*AN61*兵攻防!A61/基本公式!$B$53,0)</f>
        <v>21600</v>
      </c>
      <c r="I61" s="9">
        <v>5</v>
      </c>
      <c r="J61">
        <f>ROUND(POWER($A$29*I61/100,$AM$29),0)</f>
        <v>16</v>
      </c>
      <c r="K61" s="2">
        <v>3</v>
      </c>
      <c r="L61">
        <f ca="1">ROUND(30/K61*P61*N61,2)</f>
        <v>11.55</v>
      </c>
      <c r="M61" s="9">
        <v>280</v>
      </c>
      <c r="N61" s="12">
        <f ca="1">OFFSET(其他表格!$G$2,M61/100,0)</f>
        <v>1.05</v>
      </c>
      <c r="O61" s="9">
        <v>2</v>
      </c>
      <c r="P61" s="12">
        <f ca="1">OFFSET(其他表格!$B$1,O61,0)</f>
        <v>1.1000000000000001</v>
      </c>
      <c r="Q61">
        <f>ROUND((E61+200)*AN61,2)</f>
        <v>32.85</v>
      </c>
      <c r="R61">
        <f>ROUND(($E$29+200)*$AN$29,2)</f>
        <v>30</v>
      </c>
      <c r="S61">
        <f>ROUND(POWER((E61+200-$J$29-200+AP61),2)/AO61,2)</f>
        <v>44.89</v>
      </c>
      <c r="T61">
        <f>ROUND(POWER(($E$29+200-J61-200+AP61),2)/AO61,2)</f>
        <v>39.04</v>
      </c>
      <c r="U61">
        <f ca="1">ROUND((Q61+S61)*(A61+A61)/AQ61*L61,0)</f>
        <v>449</v>
      </c>
      <c r="V61">
        <f ca="1">ROUND((R61+T61)*(A61+A61)/AQ61*L61,0)</f>
        <v>399</v>
      </c>
      <c r="W61" s="65">
        <f ca="1">MIN(ROUND(U61/A61,4),1)</f>
        <v>8.9800000000000005E-2</v>
      </c>
      <c r="X61" s="65">
        <f ca="1">MIN(ROUND(V61/A61,4),1)</f>
        <v>7.9799999999999996E-2</v>
      </c>
      <c r="Y61"/>
      <c r="Z61"/>
      <c r="AA61"/>
      <c r="AB61" s="65"/>
      <c r="AC61"/>
      <c r="AD61" s="66"/>
      <c r="AE61" s="66"/>
      <c r="AF61" s="65"/>
      <c r="AG61" s="66"/>
      <c r="AH61" s="66"/>
      <c r="AI61" s="65"/>
      <c r="AJ61" s="66"/>
      <c r="AK61" s="66"/>
      <c r="AL61" s="65"/>
      <c r="AM61" s="52">
        <v>0.5</v>
      </c>
      <c r="AN61" s="52">
        <v>0.15</v>
      </c>
      <c r="AO61" s="52">
        <v>6000</v>
      </c>
      <c r="AP61" s="52">
        <v>500</v>
      </c>
      <c r="AQ61" s="52">
        <v>20000</v>
      </c>
      <c r="AS61">
        <f ca="1">ROUND(AT61*AV61,0)</f>
        <v>165</v>
      </c>
      <c r="AT61">
        <f>ROUND(AY61*0.35+AZ61*0.65,0)</f>
        <v>1345</v>
      </c>
      <c r="AU61" s="65">
        <f ca="1">ROUND(AS61/A61,4)</f>
        <v>3.3000000000000002E-2</v>
      </c>
      <c r="AV61" s="8">
        <f ca="1">ROUND((AW61+其他表格!K9+基本公式!$B$87)*OFFSET(其他表格!$N$1,兵攻防!O61,0)+OFFSET(其他表格!$P$1,M61/100,0),4)</f>
        <v>0.12280000000000001</v>
      </c>
      <c r="AW61" s="54">
        <v>0.1</v>
      </c>
      <c r="AX61" s="9">
        <v>131</v>
      </c>
      <c r="AY61">
        <f t="shared" si="81"/>
        <v>204</v>
      </c>
      <c r="AZ61">
        <f t="shared" si="81"/>
        <v>1960</v>
      </c>
      <c r="BA61">
        <f>ROUND(POWER(AX61/10*(BE61+BG61),2)/BH61*(A61+A61)/AQ61,0)</f>
        <v>156</v>
      </c>
      <c r="BB61" s="17">
        <f>ROUND(POWER(AX61/10*(BF61*2+BG61),2)/BH61*(A61+A61)/AQ61,0)</f>
        <v>515</v>
      </c>
      <c r="BC61">
        <f>ROUND(POWER(AX61/10*(BE61-BF61+BI61),2)/BJ61*(A61+A61)/AQ61,0)</f>
        <v>48</v>
      </c>
      <c r="BD61" s="17">
        <f>ROUND(POWER(AX61/10*(BF61*2-BE61*2+BI61),2)/BJ61*(A61+A61)/AQ61,0)</f>
        <v>1445</v>
      </c>
      <c r="BE61">
        <f>基本公式!$B$184</f>
        <v>30</v>
      </c>
      <c r="BF61">
        <f>基本公式!$B$183</f>
        <v>150</v>
      </c>
      <c r="BG61" s="52">
        <v>300</v>
      </c>
      <c r="BH61" s="52">
        <v>60000</v>
      </c>
      <c r="BI61" s="52">
        <v>200</v>
      </c>
      <c r="BJ61" s="52">
        <v>11500</v>
      </c>
    </row>
    <row r="63" spans="1:62" s="47" customFormat="1">
      <c r="A63" s="47" t="s">
        <v>171</v>
      </c>
      <c r="B63" s="61" t="s">
        <v>163</v>
      </c>
      <c r="C63" s="61" t="s">
        <v>172</v>
      </c>
      <c r="F63" s="62"/>
      <c r="H63" s="63"/>
      <c r="K63" s="64"/>
      <c r="AR63" s="69"/>
      <c r="AV63" s="49"/>
      <c r="AW63" s="72"/>
      <c r="AX63" s="73"/>
      <c r="BB63" s="74"/>
      <c r="BD63" s="74"/>
      <c r="BG63" s="52"/>
      <c r="BH63" s="52"/>
    </row>
    <row r="64" spans="1:62">
      <c r="A64">
        <v>100</v>
      </c>
      <c r="B64" s="48">
        <f t="shared" ref="B64" ca="1" si="82">ROUND(((U64-$U$29)+($V$29-V64)),0)</f>
        <v>0</v>
      </c>
      <c r="C64" s="49">
        <f t="shared" ref="C64" si="83">C40</f>
        <v>13</v>
      </c>
      <c r="D64" s="9">
        <v>15</v>
      </c>
      <c r="E64">
        <f t="shared" ref="E64" si="84">ROUND(POWER(A64*D64/100,AM64),0)</f>
        <v>4</v>
      </c>
      <c r="F64" s="50">
        <f>ROUND(G64*0.35+H64*0.65,0)</f>
        <v>287</v>
      </c>
      <c r="G64">
        <f>ROUND((E64+(30+30)/2)*AN64*兵攻防!A64/基本公式!$B$53,0)</f>
        <v>102</v>
      </c>
      <c r="H64" s="51">
        <f>ROUND((E64+(基本公式!$B$181+基本公式!$B$31)/2)*AN64*兵攻防!A64/基本公式!$B$53,0)</f>
        <v>387</v>
      </c>
      <c r="I64" s="9">
        <v>12</v>
      </c>
      <c r="J64">
        <f>ROUND(POWER($A$24*I64/100,$AM$24),0)</f>
        <v>3</v>
      </c>
      <c r="K64" s="2">
        <v>3</v>
      </c>
      <c r="L64">
        <f t="shared" ref="L64" ca="1" si="85">ROUND(30/K64*P64*N64,2)</f>
        <v>13.75</v>
      </c>
      <c r="M64" s="9">
        <v>320</v>
      </c>
      <c r="N64" s="12">
        <f ca="1">OFFSET(其他表格!$G$2,M64/100,0)</f>
        <v>1.1000000000000001</v>
      </c>
      <c r="O64" s="9">
        <v>3</v>
      </c>
      <c r="P64" s="12">
        <f ca="1">OFFSET(其他表格!$B$1,O64,0)</f>
        <v>1.25</v>
      </c>
      <c r="Q64">
        <f t="shared" ref="Q64" si="86">ROUND((E64+200)*AN64,2)</f>
        <v>30.6</v>
      </c>
      <c r="R64">
        <f>ROUND(($E$24+200)*$AN$24,2)</f>
        <v>30</v>
      </c>
      <c r="S64">
        <f>ROUND(POWER((E64+200-$J$24-200+AP64),2)/AO64,2)</f>
        <v>42.34</v>
      </c>
      <c r="T64">
        <f>ROUND(POWER(($E$24+200-J64-200+AP64),2)/AO64,2)</f>
        <v>41.17</v>
      </c>
      <c r="U64">
        <f t="shared" ref="U64" ca="1" si="87">ROUND((Q64+S64)*(A64+A64)/AQ64*L64,0)</f>
        <v>10</v>
      </c>
      <c r="V64">
        <f t="shared" ref="V64" ca="1" si="88">ROUND((R64+T64)*(A64+A64)/AQ64*L64,0)</f>
        <v>10</v>
      </c>
      <c r="W64" s="65">
        <f t="shared" ref="W64" ca="1" si="89">MIN(ROUND(U64/A64,4),1)</f>
        <v>0.1</v>
      </c>
      <c r="X64" s="65">
        <f t="shared" ref="X64" ca="1" si="90">MIN(ROUND(V64/A64,4),1)</f>
        <v>0.1</v>
      </c>
      <c r="Y64"/>
      <c r="Z64"/>
      <c r="AA64"/>
      <c r="AB64" s="65"/>
      <c r="AC64"/>
      <c r="AD64" s="66"/>
      <c r="AE64" s="66"/>
      <c r="AF64" s="65"/>
      <c r="AG64" s="66"/>
      <c r="AH64" s="66"/>
      <c r="AI64" s="65"/>
      <c r="AJ64" s="66"/>
      <c r="AK64" s="66"/>
      <c r="AL64" s="65"/>
      <c r="AM64" s="52">
        <v>0.5</v>
      </c>
      <c r="AN64" s="52">
        <v>0.15</v>
      </c>
      <c r="AO64" s="52">
        <v>6000</v>
      </c>
      <c r="AP64" s="52">
        <v>500</v>
      </c>
      <c r="AQ64" s="52">
        <v>20000</v>
      </c>
      <c r="AS64">
        <f t="shared" ref="AS64" ca="1" si="91">ROUND(AT64*AV64,0)</f>
        <v>4</v>
      </c>
      <c r="AT64">
        <f t="shared" ref="AT64" si="92">ROUND(AY64*0.35+AZ64*0.65,0)</f>
        <v>37</v>
      </c>
      <c r="AU64" s="65">
        <f t="shared" ref="AU64" ca="1" si="93">ROUND(AS64/A64,4)</f>
        <v>0.04</v>
      </c>
      <c r="AV64" s="8">
        <f ca="1">ROUND((AW64+其他表格!K4+基本公式!$B$87)*OFFSET(其他表格!$N$1,兵攻防!O64,0)+OFFSET(其他表格!$P$1,M64/100,0),4)</f>
        <v>0.10639999999999999</v>
      </c>
      <c r="AW64" s="54">
        <v>0.1</v>
      </c>
      <c r="AX64" s="9">
        <v>154</v>
      </c>
      <c r="AY64">
        <f t="shared" ref="AY64" si="94">BA64+BC64</f>
        <v>5</v>
      </c>
      <c r="AZ64">
        <f t="shared" ref="AZ64" si="95">BB64+BD64</f>
        <v>54</v>
      </c>
      <c r="BA64">
        <f t="shared" ref="BA64" si="96">ROUND(POWER(AX64/10*(BE64+BG64),2)/BH64*(A64+A64)/AQ64,0)</f>
        <v>4</v>
      </c>
      <c r="BB64" s="17">
        <f t="shared" ref="BB64" si="97">ROUND(POWER(AX64/10*(BF64*2+BG64),2)/BH64*(A64+A64)/AQ64,0)</f>
        <v>14</v>
      </c>
      <c r="BC64">
        <f t="shared" ref="BC64" si="98">ROUND(POWER(AX64/10*(BE64-BF64+BI64),2)/BJ64*(A64+A64)/AQ64,0)</f>
        <v>1</v>
      </c>
      <c r="BD64" s="17">
        <f t="shared" ref="BD64" si="99">ROUND(POWER(AX64/10*(BF64*2-BE64*2+BI64),2)/BJ64*(A64+A64)/AQ64,0)</f>
        <v>40</v>
      </c>
      <c r="BE64">
        <f>基本公式!$B$184</f>
        <v>30</v>
      </c>
      <c r="BF64">
        <f>基本公式!$B$183</f>
        <v>150</v>
      </c>
      <c r="BG64" s="52">
        <v>300</v>
      </c>
      <c r="BH64" s="52">
        <v>60000</v>
      </c>
      <c r="BI64" s="52">
        <v>200</v>
      </c>
      <c r="BJ64" s="52">
        <v>11500</v>
      </c>
    </row>
    <row r="65" spans="1:62">
      <c r="A65">
        <v>200</v>
      </c>
      <c r="B65" s="48">
        <f ca="1">ROUND(((U65-$U$29)+($V$29-V65)),0)</f>
        <v>1</v>
      </c>
      <c r="C65" s="49">
        <f ca="1">C41</f>
        <v>2</v>
      </c>
      <c r="D65" s="9">
        <v>15</v>
      </c>
      <c r="E65">
        <f>ROUND(POWER(A65*D65/100,AM65),0)</f>
        <v>5</v>
      </c>
      <c r="F65" s="50">
        <f t="shared" ref="F65" si="100">ROUND(G65*0.35+H65*0.65,0)</f>
        <v>581</v>
      </c>
      <c r="G65">
        <f>ROUND((E65+(30+30)/2)*AN65*兵攻防!A65/基本公式!$B$53,0)</f>
        <v>210</v>
      </c>
      <c r="H65" s="51">
        <f>ROUND((E65+(基本公式!$B$181+基本公式!$B$31)/2)*AN65*兵攻防!A65/基本公式!$B$53,0)</f>
        <v>780</v>
      </c>
      <c r="I65" s="9">
        <v>12</v>
      </c>
      <c r="J65">
        <f>ROUND(POWER($A$25*I65/100,$AM$25),0)</f>
        <v>5</v>
      </c>
      <c r="K65" s="2">
        <v>3</v>
      </c>
      <c r="L65">
        <f ca="1">ROUND(30/K65*P65*N65,2)</f>
        <v>13.75</v>
      </c>
      <c r="M65" s="9">
        <v>320</v>
      </c>
      <c r="N65" s="12">
        <f ca="1">OFFSET(其他表格!$G$2,M65/100,0)</f>
        <v>1.1000000000000001</v>
      </c>
      <c r="O65" s="9">
        <v>3</v>
      </c>
      <c r="P65" s="12">
        <f ca="1">OFFSET(其他表格!$B$1,O65,0)</f>
        <v>1.25</v>
      </c>
      <c r="Q65">
        <f>ROUND((E65+200)*AN65,2)</f>
        <v>30.75</v>
      </c>
      <c r="R65">
        <f>ROUND(($E$25+200)*$AN$25,2)</f>
        <v>30</v>
      </c>
      <c r="S65">
        <f>ROUND(POWER((E65+200-$J$25-200+AP65),2)/AO65,2)</f>
        <v>42.5</v>
      </c>
      <c r="T65">
        <f>ROUND(POWER(($E$25+200-J65-200+AP65),2)/AO65,2)</f>
        <v>40.840000000000003</v>
      </c>
      <c r="U65">
        <f ca="1">ROUND((Q65+S65)*(A65+A65)/AQ65*L65,0)</f>
        <v>20</v>
      </c>
      <c r="V65">
        <f ca="1">ROUND((R65+T65)*(A65+A65)/AQ65*L65,0)</f>
        <v>19</v>
      </c>
      <c r="W65" s="65">
        <f ca="1">MIN(ROUND(U65/A65,4),1)</f>
        <v>0.1</v>
      </c>
      <c r="X65" s="65">
        <f ca="1">MIN(ROUND(V65/A65,4),1)</f>
        <v>9.5000000000000001E-2</v>
      </c>
      <c r="Y65"/>
      <c r="Z65"/>
      <c r="AA65"/>
      <c r="AB65" s="65"/>
      <c r="AC65"/>
      <c r="AD65" s="66"/>
      <c r="AE65" s="66"/>
      <c r="AF65" s="65"/>
      <c r="AG65" s="66"/>
      <c r="AH65" s="66"/>
      <c r="AI65" s="65"/>
      <c r="AJ65" s="66"/>
      <c r="AK65" s="66"/>
      <c r="AL65" s="65"/>
      <c r="AM65" s="52">
        <v>0.5</v>
      </c>
      <c r="AN65" s="52">
        <v>0.15</v>
      </c>
      <c r="AO65" s="52">
        <v>6000</v>
      </c>
      <c r="AP65" s="52">
        <v>500</v>
      </c>
      <c r="AQ65" s="52">
        <v>20000</v>
      </c>
      <c r="AS65">
        <f ca="1">ROUND(AT65*AV65,0)</f>
        <v>9</v>
      </c>
      <c r="AT65">
        <f>ROUND(AY65*0.35+AZ65*0.65,0)</f>
        <v>74</v>
      </c>
      <c r="AU65" s="65">
        <f ca="1">ROUND(AS65/A65,4)</f>
        <v>4.4999999999999998E-2</v>
      </c>
      <c r="AV65" s="8">
        <f ca="1">ROUND((AW65+其他表格!K5+基本公式!$B$87)*OFFSET(其他表格!$N$1,兵攻防!O65,0)+OFFSET(其他表格!$P$1,M65/100,0),4)</f>
        <v>0.1227</v>
      </c>
      <c r="AW65" s="54">
        <v>0.1</v>
      </c>
      <c r="AX65" s="9">
        <v>154</v>
      </c>
      <c r="AY65">
        <f t="shared" ref="AY65:AZ69" si="101">BA65+BC65</f>
        <v>12</v>
      </c>
      <c r="AZ65">
        <f t="shared" si="101"/>
        <v>108</v>
      </c>
      <c r="BA65">
        <f>ROUND(POWER(AX65/10*(BE65+BG65),2)/BH65*(A65+A65)/AQ65,0)</f>
        <v>9</v>
      </c>
      <c r="BB65" s="17">
        <f>ROUND(POWER(AX65/10*(BF65*2+BG65),2)/BH65*(A65+A65)/AQ65,0)</f>
        <v>28</v>
      </c>
      <c r="BC65">
        <f>ROUND(POWER(AX65/10*(BE65-BF65+BI65),2)/BJ65*(A65+A65)/AQ65,0)</f>
        <v>3</v>
      </c>
      <c r="BD65" s="17">
        <f>ROUND(POWER(AX65/10*(BF65*2-BE65*2+BI65),2)/BJ65*(A65+A65)/AQ65,0)</f>
        <v>80</v>
      </c>
      <c r="BE65">
        <f>基本公式!$B$184</f>
        <v>30</v>
      </c>
      <c r="BF65">
        <f>基本公式!$B$183</f>
        <v>150</v>
      </c>
      <c r="BG65" s="52">
        <v>300</v>
      </c>
      <c r="BH65" s="52">
        <v>60000</v>
      </c>
      <c r="BI65" s="52">
        <v>200</v>
      </c>
      <c r="BJ65" s="52">
        <v>11500</v>
      </c>
    </row>
    <row r="66" spans="1:62">
      <c r="A66">
        <v>500</v>
      </c>
      <c r="B66" s="48">
        <f ca="1">ROUND(((U66-$U$29)+($V$29-V66)),0)</f>
        <v>3</v>
      </c>
      <c r="C66" s="49">
        <f ca="1">C42</f>
        <v>3</v>
      </c>
      <c r="D66" s="9">
        <v>15</v>
      </c>
      <c r="E66">
        <f>ROUND(POWER(A66*D66/100,AM66),0)</f>
        <v>9</v>
      </c>
      <c r="F66" s="50">
        <f>ROUND(G66*0.35+H66*0.65,0)</f>
        <v>1511</v>
      </c>
      <c r="G66">
        <f>ROUND((E66+(30+30)/2)*AN66*兵攻防!A66/基本公式!$B$53,0)</f>
        <v>585</v>
      </c>
      <c r="H66" s="51">
        <f>ROUND((E66+(基本公式!$B$181+基本公式!$B$31)/2)*AN66*兵攻防!A66/基本公式!$B$53,0)</f>
        <v>2010</v>
      </c>
      <c r="I66" s="9">
        <v>12</v>
      </c>
      <c r="J66">
        <f>ROUND(POWER($A$26*I66/100,$AM$26),0)</f>
        <v>8</v>
      </c>
      <c r="K66" s="2">
        <v>3</v>
      </c>
      <c r="L66">
        <f ca="1">ROUND(30/K66*P66*N66,2)</f>
        <v>13.75</v>
      </c>
      <c r="M66" s="9">
        <v>320</v>
      </c>
      <c r="N66" s="12">
        <f ca="1">OFFSET(其他表格!$G$2,M66/100,0)</f>
        <v>1.1000000000000001</v>
      </c>
      <c r="O66" s="9">
        <v>3</v>
      </c>
      <c r="P66" s="12">
        <f ca="1">OFFSET(其他表格!$B$1,O66,0)</f>
        <v>1.25</v>
      </c>
      <c r="Q66">
        <f>ROUND((E66+200)*AN66,2)</f>
        <v>31.35</v>
      </c>
      <c r="R66">
        <f>ROUND(($E$26+200)*$AN$26,2)</f>
        <v>30</v>
      </c>
      <c r="S66">
        <f>ROUND(POWER((E66+200-$J$26-200+AP66),2)/AO66,2)</f>
        <v>43.18</v>
      </c>
      <c r="T66">
        <f>ROUND(POWER(($E$26+200-J66-200+AP66),2)/AO66,2)</f>
        <v>40.340000000000003</v>
      </c>
      <c r="U66">
        <f ca="1">ROUND((Q66+S66)*(A66+A66)/AQ66*L66,0)</f>
        <v>51</v>
      </c>
      <c r="V66">
        <f ca="1">ROUND((R66+T66)*(A66+A66)/AQ66*L66,0)</f>
        <v>48</v>
      </c>
      <c r="W66" s="65">
        <f ca="1">MIN(ROUND(U66/A66,4),1)</f>
        <v>0.10199999999999999</v>
      </c>
      <c r="X66" s="65">
        <f ca="1">MIN(ROUND(V66/A66,4),1)</f>
        <v>9.6000000000000002E-2</v>
      </c>
      <c r="Y66"/>
      <c r="Z66"/>
      <c r="AA66"/>
      <c r="AB66" s="65"/>
      <c r="AC66"/>
      <c r="AD66" s="66"/>
      <c r="AE66" s="66"/>
      <c r="AF66" s="65"/>
      <c r="AG66" s="66"/>
      <c r="AH66" s="66"/>
      <c r="AI66" s="65"/>
      <c r="AJ66" s="66"/>
      <c r="AK66" s="66"/>
      <c r="AL66" s="65"/>
      <c r="AM66" s="52">
        <v>0.5</v>
      </c>
      <c r="AN66" s="52">
        <v>0.15</v>
      </c>
      <c r="AO66" s="52">
        <v>6000</v>
      </c>
      <c r="AP66" s="52">
        <v>500</v>
      </c>
      <c r="AQ66" s="52">
        <v>20000</v>
      </c>
      <c r="AS66">
        <f ca="1">ROUND(AT66*AV66,0)</f>
        <v>26</v>
      </c>
      <c r="AT66">
        <f>ROUND(AY66*0.35+AZ66*0.65,0)</f>
        <v>186</v>
      </c>
      <c r="AU66" s="65">
        <f ca="1">ROUND(AS66/A66,4)</f>
        <v>5.1999999999999998E-2</v>
      </c>
      <c r="AV66" s="8">
        <f ca="1">ROUND((AW66+其他表格!K6+基本公式!$B$87)*OFFSET(其他表格!$N$1,兵攻防!O66,0)+OFFSET(其他表格!$P$1,M66/100,0),4)</f>
        <v>0.1391</v>
      </c>
      <c r="AW66" s="54">
        <v>0.1</v>
      </c>
      <c r="AX66" s="9">
        <v>154</v>
      </c>
      <c r="AY66">
        <f t="shared" si="101"/>
        <v>29</v>
      </c>
      <c r="AZ66">
        <f t="shared" si="101"/>
        <v>271</v>
      </c>
      <c r="BA66">
        <f>ROUND(POWER(AX66/10*(BE66+BG66),2)/BH66*(A66+A66)/AQ66,0)</f>
        <v>22</v>
      </c>
      <c r="BB66" s="17">
        <f>ROUND(POWER(AX66/10*(BF66*2+BG66),2)/BH66*(A66+A66)/AQ66,0)</f>
        <v>71</v>
      </c>
      <c r="BC66">
        <f>ROUND(POWER(AX66/10*(BE66-BF66+BI66),2)/BJ66*(A66+A66)/AQ66,0)</f>
        <v>7</v>
      </c>
      <c r="BD66" s="17">
        <f>ROUND(POWER(AX66/10*(BF66*2-BE66*2+BI66),2)/BJ66*(A66+A66)/AQ66,0)</f>
        <v>200</v>
      </c>
      <c r="BE66">
        <f>基本公式!$B$184</f>
        <v>30</v>
      </c>
      <c r="BF66">
        <f>基本公式!$B$183</f>
        <v>150</v>
      </c>
      <c r="BG66" s="52">
        <v>300</v>
      </c>
      <c r="BH66" s="52">
        <v>60000</v>
      </c>
      <c r="BI66" s="52">
        <v>200</v>
      </c>
      <c r="BJ66" s="52">
        <v>11500</v>
      </c>
    </row>
    <row r="67" spans="1:62">
      <c r="A67">
        <v>1000</v>
      </c>
      <c r="B67" s="48">
        <f ca="1">ROUND(((U67-$U$29)+($V$29-V67)),0)</f>
        <v>8</v>
      </c>
      <c r="C67" s="49">
        <f ca="1">C43</f>
        <v>9</v>
      </c>
      <c r="D67" s="9">
        <v>15</v>
      </c>
      <c r="E67">
        <f>ROUND(POWER(A67*D67/100,AM67),0)</f>
        <v>12</v>
      </c>
      <c r="F67" s="50">
        <f>ROUND(G67*0.35+H67*0.65,0)</f>
        <v>3113</v>
      </c>
      <c r="G67">
        <f>ROUND((E67+(30+30)/2)*AN67*兵攻防!A67/基本公式!$B$53,0)</f>
        <v>1260</v>
      </c>
      <c r="H67" s="51">
        <f>ROUND((E67+(基本公式!$B$181+基本公式!$B$31)/2)*AN67*兵攻防!A67/基本公式!$B$53,0)</f>
        <v>4110</v>
      </c>
      <c r="I67" s="9">
        <v>12</v>
      </c>
      <c r="J67">
        <f>ROUND(POWER($A$27*I67/100,$AM$27),0)</f>
        <v>11</v>
      </c>
      <c r="K67" s="2">
        <v>3</v>
      </c>
      <c r="L67">
        <f ca="1">ROUND(30/K67*P67*N67,2)</f>
        <v>13.75</v>
      </c>
      <c r="M67" s="9">
        <v>320</v>
      </c>
      <c r="N67" s="12">
        <f ca="1">OFFSET(其他表格!$G$2,M67/100,0)</f>
        <v>1.1000000000000001</v>
      </c>
      <c r="O67" s="9">
        <v>3</v>
      </c>
      <c r="P67" s="12">
        <f ca="1">OFFSET(其他表格!$B$1,O67,0)</f>
        <v>1.25</v>
      </c>
      <c r="Q67">
        <f>ROUND((E67+200)*AN67,2)</f>
        <v>31.8</v>
      </c>
      <c r="R67">
        <f>ROUND(($E$27+200)*$AN$27,2)</f>
        <v>30</v>
      </c>
      <c r="S67">
        <f>ROUND(POWER((E67+200-$J$27-200+AP67),2)/AO67,2)</f>
        <v>43.69</v>
      </c>
      <c r="T67">
        <f>ROUND(POWER(($E$27+200-J67-200+AP67),2)/AO67,2)</f>
        <v>39.85</v>
      </c>
      <c r="U67">
        <f ca="1">ROUND((Q67+S67)*(A67+A67)/AQ67*L67,0)</f>
        <v>104</v>
      </c>
      <c r="V67">
        <f ca="1">ROUND((R67+T67)*(A67+A67)/AQ67*L67,0)</f>
        <v>96</v>
      </c>
      <c r="W67" s="65">
        <f ca="1">MIN(ROUND(U67/A67,4),1)</f>
        <v>0.104</v>
      </c>
      <c r="X67" s="65">
        <f ca="1">MIN(ROUND(V67/A67,4),1)</f>
        <v>9.6000000000000002E-2</v>
      </c>
      <c r="Y67"/>
      <c r="Z67"/>
      <c r="AA67"/>
      <c r="AB67" s="65"/>
      <c r="AC67"/>
      <c r="AD67" s="66"/>
      <c r="AE67" s="66"/>
      <c r="AF67" s="65"/>
      <c r="AG67" s="66"/>
      <c r="AH67" s="66"/>
      <c r="AI67" s="65"/>
      <c r="AJ67" s="66"/>
      <c r="AK67" s="66"/>
      <c r="AL67" s="65"/>
      <c r="AM67" s="52">
        <v>0.5</v>
      </c>
      <c r="AN67" s="52">
        <v>0.15</v>
      </c>
      <c r="AO67" s="52">
        <v>6000</v>
      </c>
      <c r="AP67" s="52">
        <v>500</v>
      </c>
      <c r="AQ67" s="52">
        <v>20000</v>
      </c>
      <c r="AS67">
        <f ca="1">ROUND(AT67*AV67,0)</f>
        <v>58</v>
      </c>
      <c r="AT67">
        <f>ROUND(AY67*0.35+AZ67*0.65,0)</f>
        <v>371</v>
      </c>
      <c r="AU67" s="65">
        <f ca="1">ROUND(AS67/A67,4)</f>
        <v>5.8000000000000003E-2</v>
      </c>
      <c r="AV67" s="8">
        <f ca="1">ROUND((AW67+其他表格!K7+基本公式!$B$87)*OFFSET(其他表格!$N$1,兵攻防!O67,0)+OFFSET(其他表格!$P$1,M67/100,0),4)</f>
        <v>0.1555</v>
      </c>
      <c r="AW67" s="54">
        <v>0.1</v>
      </c>
      <c r="AX67" s="9">
        <v>154</v>
      </c>
      <c r="AY67">
        <f t="shared" si="101"/>
        <v>56</v>
      </c>
      <c r="AZ67">
        <f t="shared" si="101"/>
        <v>541</v>
      </c>
      <c r="BA67">
        <f>ROUND(POWER(AX67/10*(BE67+BG67),2)/BH67*(A67+A67)/AQ67,0)</f>
        <v>43</v>
      </c>
      <c r="BB67" s="17">
        <f>ROUND(POWER(AX67/10*(BF67*2+BG67),2)/BH67*(A67+A67)/AQ67,0)</f>
        <v>142</v>
      </c>
      <c r="BC67">
        <f>ROUND(POWER(AX67/10*(BE67-BF67+BI67),2)/BJ67*(A67+A67)/AQ67,0)</f>
        <v>13</v>
      </c>
      <c r="BD67" s="17">
        <f>ROUND(POWER(AX67/10*(BF67*2-BE67*2+BI67),2)/BJ67*(A67+A67)/AQ67,0)</f>
        <v>399</v>
      </c>
      <c r="BE67">
        <f>基本公式!$B$184</f>
        <v>30</v>
      </c>
      <c r="BF67">
        <f>基本公式!$B$183</f>
        <v>150</v>
      </c>
      <c r="BG67" s="52">
        <v>300</v>
      </c>
      <c r="BH67" s="52">
        <v>60000</v>
      </c>
      <c r="BI67" s="52">
        <v>200</v>
      </c>
      <c r="BJ67" s="52">
        <v>11500</v>
      </c>
    </row>
    <row r="68" spans="1:62">
      <c r="A68">
        <v>2000</v>
      </c>
      <c r="B68" s="48">
        <f ca="1">ROUND(((U68-$U$29)+($V$29-V68)),0)</f>
        <v>22</v>
      </c>
      <c r="C68" s="49">
        <f ca="1">C44</f>
        <v>22</v>
      </c>
      <c r="D68" s="9">
        <v>15</v>
      </c>
      <c r="E68">
        <f>ROUND(POWER(A68*D68/100,AM68),0)</f>
        <v>17</v>
      </c>
      <c r="F68" s="50">
        <f>ROUND(G68*0.35+H68*0.65,0)</f>
        <v>6525</v>
      </c>
      <c r="G68">
        <f>ROUND((E68+(30+30)/2)*AN68*兵攻防!A68/基本公式!$B$53,0)</f>
        <v>2820</v>
      </c>
      <c r="H68" s="51">
        <f>ROUND((E68+(基本公式!$B$181+基本公式!$B$31)/2)*AN68*兵攻防!A68/基本公式!$B$53,0)</f>
        <v>8520</v>
      </c>
      <c r="I68" s="9">
        <v>12</v>
      </c>
      <c r="J68">
        <f>ROUND(POWER($A$28*I68/100,$AM$28),0)</f>
        <v>15</v>
      </c>
      <c r="K68" s="2">
        <v>3</v>
      </c>
      <c r="L68">
        <f ca="1">ROUND(30/K68*P68*N68,2)</f>
        <v>13.75</v>
      </c>
      <c r="M68" s="9">
        <v>320</v>
      </c>
      <c r="N68" s="12">
        <f ca="1">OFFSET(其他表格!$G$2,M68/100,0)</f>
        <v>1.1000000000000001</v>
      </c>
      <c r="O68" s="9">
        <v>3</v>
      </c>
      <c r="P68" s="12">
        <f ca="1">OFFSET(其他表格!$B$1,O68,0)</f>
        <v>1.25</v>
      </c>
      <c r="Q68">
        <f>ROUND((E68+200)*AN68,2)</f>
        <v>32.549999999999997</v>
      </c>
      <c r="R68">
        <f>ROUND(($E$28+200)*$AN$28,2)</f>
        <v>30</v>
      </c>
      <c r="S68">
        <f>ROUND(POWER((E68+200-$J$28-200+AP68),2)/AO68,2)</f>
        <v>44.55</v>
      </c>
      <c r="T68">
        <f>ROUND(POWER(($E$28+200-J68-200+AP68),2)/AO68,2)</f>
        <v>39.200000000000003</v>
      </c>
      <c r="U68">
        <f ca="1">ROUND((Q68+S68)*(A68+A68)/AQ68*L68,0)</f>
        <v>212</v>
      </c>
      <c r="V68">
        <f ca="1">ROUND((R68+T68)*(A68+A68)/AQ68*L68,0)</f>
        <v>190</v>
      </c>
      <c r="W68" s="65">
        <f ca="1">MIN(ROUND(U68/A68,4),1)</f>
        <v>0.106</v>
      </c>
      <c r="X68" s="65">
        <f ca="1">MIN(ROUND(V68/A68,4),1)</f>
        <v>9.5000000000000001E-2</v>
      </c>
      <c r="Y68"/>
      <c r="Z68"/>
      <c r="AA68"/>
      <c r="AB68" s="65"/>
      <c r="AC68"/>
      <c r="AD68" s="66"/>
      <c r="AE68" s="66"/>
      <c r="AF68" s="65"/>
      <c r="AG68" s="66"/>
      <c r="AH68" s="66"/>
      <c r="AI68" s="65"/>
      <c r="AJ68" s="66"/>
      <c r="AK68" s="66"/>
      <c r="AL68" s="65"/>
      <c r="AM68" s="52">
        <v>0.5</v>
      </c>
      <c r="AN68" s="52">
        <v>0.15</v>
      </c>
      <c r="AO68" s="52">
        <v>6000</v>
      </c>
      <c r="AP68" s="52">
        <v>500</v>
      </c>
      <c r="AQ68" s="52">
        <v>20000</v>
      </c>
      <c r="AS68">
        <f ca="1">ROUND(AT68*AV68,0)</f>
        <v>130</v>
      </c>
      <c r="AT68">
        <f>ROUND(AY68*0.35+AZ68*0.65,0)</f>
        <v>744</v>
      </c>
      <c r="AU68" s="65">
        <f ca="1">ROUND(AS68/A68,4)</f>
        <v>6.5000000000000002E-2</v>
      </c>
      <c r="AV68" s="8">
        <f ca="1">ROUND((AW68+其他表格!K8+基本公式!$B$87)*OFFSET(其他表格!$N$1,兵攻防!O68,0)+OFFSET(其他表格!$P$1,M68/100,0),4)</f>
        <v>0.17449999999999999</v>
      </c>
      <c r="AW68" s="54">
        <v>0.1</v>
      </c>
      <c r="AX68" s="9">
        <v>154</v>
      </c>
      <c r="AY68">
        <f t="shared" si="101"/>
        <v>112</v>
      </c>
      <c r="AZ68">
        <f t="shared" si="101"/>
        <v>1084</v>
      </c>
      <c r="BA68">
        <f>ROUND(POWER(AX68/10*(BE68+BG68),2)/BH68*(A68+A68)/AQ68,0)</f>
        <v>86</v>
      </c>
      <c r="BB68" s="17">
        <f>ROUND(POWER(AX68/10*(BF68*2+BG68),2)/BH68*(A68+A68)/AQ68,0)</f>
        <v>285</v>
      </c>
      <c r="BC68">
        <f>ROUND(POWER(AX68/10*(BE68-BF68+BI68),2)/BJ68*(A68+A68)/AQ68,0)</f>
        <v>26</v>
      </c>
      <c r="BD68" s="17">
        <f>ROUND(POWER(AX68/10*(BF68*2-BE68*2+BI68),2)/BJ68*(A68+A68)/AQ68,0)</f>
        <v>799</v>
      </c>
      <c r="BE68">
        <f>基本公式!$B$184</f>
        <v>30</v>
      </c>
      <c r="BF68">
        <f>基本公式!$B$183</f>
        <v>150</v>
      </c>
      <c r="BG68" s="52">
        <v>300</v>
      </c>
      <c r="BH68" s="52">
        <v>60000</v>
      </c>
      <c r="BI68" s="52">
        <v>200</v>
      </c>
      <c r="BJ68" s="52">
        <v>11500</v>
      </c>
    </row>
    <row r="69" spans="1:62">
      <c r="A69">
        <v>5000</v>
      </c>
      <c r="B69" s="48">
        <f ca="1">ROUND(((U69-$U$29)+($V$29-V69)),0)</f>
        <v>86</v>
      </c>
      <c r="C69" s="49">
        <f ca="1">C45</f>
        <v>85</v>
      </c>
      <c r="D69" s="9">
        <v>15</v>
      </c>
      <c r="E69">
        <f>ROUND(POWER(A69*D69/100,AM69),0)</f>
        <v>27</v>
      </c>
      <c r="F69" s="50">
        <f>ROUND(G69*0.35+H69*0.65,0)</f>
        <v>17813</v>
      </c>
      <c r="G69">
        <f>ROUND((E69+(30+30)/2)*AN69*兵攻防!A69/基本公式!$B$53,0)</f>
        <v>8550</v>
      </c>
      <c r="H69" s="51">
        <f>ROUND((E69+(基本公式!$B$181+基本公式!$B$31)/2)*AN69*兵攻防!A69/基本公式!$B$53,0)</f>
        <v>22800</v>
      </c>
      <c r="I69" s="9">
        <v>12</v>
      </c>
      <c r="J69">
        <f>ROUND(POWER($A$29*I69/100,$AM$29),0)</f>
        <v>24</v>
      </c>
      <c r="K69" s="2">
        <v>3</v>
      </c>
      <c r="L69">
        <f ca="1">ROUND(30/K69*P69*N69,2)</f>
        <v>13.75</v>
      </c>
      <c r="M69" s="9">
        <v>320</v>
      </c>
      <c r="N69" s="12">
        <f ca="1">OFFSET(其他表格!$G$2,M69/100,0)</f>
        <v>1.1000000000000001</v>
      </c>
      <c r="O69" s="9">
        <v>3</v>
      </c>
      <c r="P69" s="12">
        <f ca="1">OFFSET(其他表格!$B$1,O69,0)</f>
        <v>1.25</v>
      </c>
      <c r="Q69">
        <f>ROUND((E69+200)*AN69,2)</f>
        <v>34.049999999999997</v>
      </c>
      <c r="R69">
        <f>ROUND(($E$29+200)*$AN$29,2)</f>
        <v>30</v>
      </c>
      <c r="S69">
        <f>ROUND(POWER((E69+200-$J$29-200+AP69),2)/AO69,2)</f>
        <v>46.29</v>
      </c>
      <c r="T69">
        <f>ROUND(POWER(($E$29+200-J69-200+AP69),2)/AO69,2)</f>
        <v>37.76</v>
      </c>
      <c r="U69">
        <f ca="1">ROUND((Q69+S69)*(A69+A69)/AQ69*L69,0)</f>
        <v>552</v>
      </c>
      <c r="V69">
        <f ca="1">ROUND((R69+T69)*(A69+A69)/AQ69*L69,0)</f>
        <v>466</v>
      </c>
      <c r="W69" s="65">
        <f ca="1">MIN(ROUND(U69/A69,4),1)</f>
        <v>0.1104</v>
      </c>
      <c r="X69" s="65">
        <f ca="1">MIN(ROUND(V69/A69,4),1)</f>
        <v>9.3200000000000005E-2</v>
      </c>
      <c r="Y69"/>
      <c r="Z69"/>
      <c r="AA69"/>
      <c r="AB69" s="65"/>
      <c r="AC69"/>
      <c r="AD69" s="66"/>
      <c r="AE69" s="66"/>
      <c r="AF69" s="65"/>
      <c r="AG69" s="66"/>
      <c r="AH69" s="66"/>
      <c r="AI69" s="65"/>
      <c r="AJ69" s="66"/>
      <c r="AK69" s="66"/>
      <c r="AL69" s="65"/>
      <c r="AM69" s="52">
        <v>0.5</v>
      </c>
      <c r="AN69" s="52">
        <v>0.15</v>
      </c>
      <c r="AO69" s="52">
        <v>6000</v>
      </c>
      <c r="AP69" s="52">
        <v>500</v>
      </c>
      <c r="AQ69" s="52">
        <v>20000</v>
      </c>
      <c r="AS69">
        <f ca="1">ROUND(AT69*AV69,0)</f>
        <v>365</v>
      </c>
      <c r="AT69">
        <f>ROUND(AY69*0.35+AZ69*0.65,0)</f>
        <v>1858</v>
      </c>
      <c r="AU69" s="65">
        <f ca="1">ROUND(AS69/A69,4)</f>
        <v>7.2999999999999995E-2</v>
      </c>
      <c r="AV69" s="8">
        <f ca="1">ROUND((AW69+其他表格!K9+基本公式!$B$87)*OFFSET(其他表格!$N$1,兵攻防!O69,0)+OFFSET(其他表格!$P$1,M69/100,0),4)</f>
        <v>0.19639999999999999</v>
      </c>
      <c r="AW69" s="54">
        <v>0.1</v>
      </c>
      <c r="AX69" s="9">
        <v>154</v>
      </c>
      <c r="AY69">
        <f t="shared" si="101"/>
        <v>281</v>
      </c>
      <c r="AZ69">
        <f t="shared" si="101"/>
        <v>2707</v>
      </c>
      <c r="BA69">
        <f>ROUND(POWER(AX69/10*(BE69+BG69),2)/BH69*(A69+A69)/AQ69,0)</f>
        <v>215</v>
      </c>
      <c r="BB69" s="17">
        <f>ROUND(POWER(AX69/10*(BF69*2+BG69),2)/BH69*(A69+A69)/AQ69,0)</f>
        <v>711</v>
      </c>
      <c r="BC69">
        <f>ROUND(POWER(AX69/10*(BE69-BF69+BI69),2)/BJ69*(A69+A69)/AQ69,0)</f>
        <v>66</v>
      </c>
      <c r="BD69" s="17">
        <f>ROUND(POWER(AX69/10*(BF69*2-BE69*2+BI69),2)/BJ69*(A69+A69)/AQ69,0)</f>
        <v>1996</v>
      </c>
      <c r="BE69">
        <f>基本公式!$B$184</f>
        <v>30</v>
      </c>
      <c r="BF69">
        <f>基本公式!$B$183</f>
        <v>150</v>
      </c>
      <c r="BG69" s="52">
        <v>300</v>
      </c>
      <c r="BH69" s="52">
        <v>60000</v>
      </c>
      <c r="BI69" s="52">
        <v>200</v>
      </c>
      <c r="BJ69" s="52">
        <v>11500</v>
      </c>
    </row>
    <row r="71" spans="1:62" s="47" customFormat="1">
      <c r="A71" s="47" t="s">
        <v>173</v>
      </c>
      <c r="B71" s="61" t="s">
        <v>163</v>
      </c>
      <c r="C71" s="61" t="s">
        <v>174</v>
      </c>
      <c r="F71" s="62"/>
      <c r="H71" s="63"/>
      <c r="K71" s="64"/>
      <c r="AR71" s="69"/>
      <c r="AV71" s="49"/>
      <c r="AW71" s="72"/>
      <c r="AX71" s="73"/>
      <c r="BB71" s="74"/>
      <c r="BD71" s="74"/>
      <c r="BG71" s="52"/>
      <c r="BH71" s="52"/>
    </row>
    <row r="72" spans="1:62">
      <c r="A72">
        <v>100</v>
      </c>
      <c r="B72" s="48">
        <f t="shared" ref="B72" ca="1" si="102">ROUND(((U72-$U$29)+($V$29-V72)),0)</f>
        <v>0</v>
      </c>
      <c r="C72" s="49">
        <f t="shared" ref="C72" si="103">C48</f>
        <v>22</v>
      </c>
      <c r="D72" s="9">
        <v>108</v>
      </c>
      <c r="E72">
        <f t="shared" ref="E72" si="104">ROUND(POWER(A72*D72/100,AM72),0)</f>
        <v>10</v>
      </c>
      <c r="F72" s="50">
        <f>ROUND(G72*0.35+H72*0.65,0)</f>
        <v>305</v>
      </c>
      <c r="G72">
        <f>ROUND((E72+(30+30)/2)*AN72*兵攻防!A72/基本公式!$B$53,0)</f>
        <v>120</v>
      </c>
      <c r="H72" s="51">
        <f>ROUND((E72+(基本公式!$B$181+基本公式!$B$31)/2)*AN72*兵攻防!A72/基本公式!$B$53,0)</f>
        <v>405</v>
      </c>
      <c r="I72" s="9">
        <v>90</v>
      </c>
      <c r="J72">
        <f>ROUND(POWER($A$24*I72/100,$AM$24),0)</f>
        <v>9</v>
      </c>
      <c r="K72" s="2">
        <v>3</v>
      </c>
      <c r="L72">
        <f t="shared" ref="L72" ca="1" si="105">ROUND(30/K72*P72*N72,2)</f>
        <v>8.4</v>
      </c>
      <c r="M72" s="9">
        <v>500</v>
      </c>
      <c r="N72" s="12">
        <f ca="1">OFFSET(其他表格!$G$2,M72/100,0)</f>
        <v>1.2000000000000002</v>
      </c>
      <c r="O72" s="9">
        <v>1</v>
      </c>
      <c r="P72" s="12">
        <f ca="1">OFFSET(其他表格!$B$1,O72,0)</f>
        <v>0.7</v>
      </c>
      <c r="Q72">
        <f t="shared" ref="Q72" si="106">ROUND((E72+200)*AN72,2)</f>
        <v>31.5</v>
      </c>
      <c r="R72">
        <f>ROUND(($E$24+200)*$AN$24,2)</f>
        <v>30</v>
      </c>
      <c r="S72">
        <f>ROUND(POWER((E72+200-$J$24-200+AP72),2)/AO72,2)</f>
        <v>43.35</v>
      </c>
      <c r="T72">
        <f>ROUND(POWER(($E$24+200-J72-200+AP72),2)/AO72,2)</f>
        <v>40.18</v>
      </c>
      <c r="U72">
        <f t="shared" ref="U72" ca="1" si="107">ROUND((Q72+S72)*(A72+A72)/AQ72*L72,0)</f>
        <v>6</v>
      </c>
      <c r="V72">
        <f t="shared" ref="V72" ca="1" si="108">ROUND((R72+T72)*(A72+A72)/AQ72*L72,0)</f>
        <v>6</v>
      </c>
      <c r="W72" s="65">
        <f t="shared" ref="W72" ca="1" si="109">MIN(ROUND(U72/A72,4),1)</f>
        <v>0.06</v>
      </c>
      <c r="X72" s="65">
        <f t="shared" ref="X72" ca="1" si="110">MIN(ROUND(V72/A72,4),1)</f>
        <v>0.06</v>
      </c>
      <c r="Y72"/>
      <c r="Z72"/>
      <c r="AA72"/>
      <c r="AB72" s="65"/>
      <c r="AC72"/>
      <c r="AD72" s="66"/>
      <c r="AE72" s="66"/>
      <c r="AF72" s="65"/>
      <c r="AG72" s="66"/>
      <c r="AH72" s="66"/>
      <c r="AI72" s="65"/>
      <c r="AJ72" s="66"/>
      <c r="AK72" s="66"/>
      <c r="AL72" s="65"/>
      <c r="AM72" s="52">
        <v>0.5</v>
      </c>
      <c r="AN72" s="52">
        <v>0.15</v>
      </c>
      <c r="AO72" s="52">
        <v>6000</v>
      </c>
      <c r="AP72" s="52">
        <v>500</v>
      </c>
      <c r="AQ72" s="52">
        <v>20000</v>
      </c>
      <c r="AS72">
        <f t="shared" ref="AS72" ca="1" si="111">ROUND(AT72*AV72,0)</f>
        <v>9</v>
      </c>
      <c r="AT72">
        <f t="shared" ref="AT72" si="112">ROUND(AY72*0.35+AZ72*0.65,0)</f>
        <v>78</v>
      </c>
      <c r="AU72" s="65">
        <f t="shared" ref="AU72" ca="1" si="113">ROUND(AS72/A72,4)</f>
        <v>0.09</v>
      </c>
      <c r="AV72" s="8">
        <f ca="1">ROUND((AW72+其他表格!K4+基本公式!$B$87)*OFFSET(其他表格!$N$1,兵攻防!O72,0)+OFFSET(其他表格!$P$1,M72/100,0),4)</f>
        <v>0.1139</v>
      </c>
      <c r="AW72" s="54">
        <v>0.1</v>
      </c>
      <c r="AX72" s="9">
        <v>223</v>
      </c>
      <c r="AY72">
        <f t="shared" ref="AY72" si="114">BA72+BC72</f>
        <v>12</v>
      </c>
      <c r="AZ72">
        <f t="shared" ref="AZ72" si="115">BB72+BD72</f>
        <v>114</v>
      </c>
      <c r="BA72">
        <f t="shared" ref="BA72" si="116">ROUND(POWER(AX72/10*(BE72+BG72),2)/BH72*(A72+A72)/AQ72,0)</f>
        <v>9</v>
      </c>
      <c r="BB72" s="17">
        <f t="shared" ref="BB72" si="117">ROUND(POWER(AX72/10*(BF72*2+BG72),2)/BH72*(A72+A72)/AQ72,0)</f>
        <v>30</v>
      </c>
      <c r="BC72">
        <f t="shared" ref="BC72" si="118">ROUND(POWER(AX72/10*(BE72-BF72+BI72),2)/BJ72*(A72+A72)/AQ72,0)</f>
        <v>3</v>
      </c>
      <c r="BD72" s="17">
        <f t="shared" ref="BD72" si="119">ROUND(POWER(AX72/10*(BF72*2-BE72*2+BI72),2)/BJ72*(A72+A72)/AQ72,0)</f>
        <v>84</v>
      </c>
      <c r="BE72">
        <f>基本公式!$B$184</f>
        <v>30</v>
      </c>
      <c r="BF72">
        <f>基本公式!$B$183</f>
        <v>150</v>
      </c>
      <c r="BG72" s="52">
        <v>300</v>
      </c>
      <c r="BH72" s="52">
        <v>60000</v>
      </c>
      <c r="BI72" s="52">
        <v>200</v>
      </c>
      <c r="BJ72" s="52">
        <v>11500</v>
      </c>
    </row>
    <row r="73" spans="1:62">
      <c r="A73">
        <v>200</v>
      </c>
      <c r="B73" s="48">
        <f ca="1">ROUND(((U73-$U$29)+($V$29-V73)),0)</f>
        <v>1</v>
      </c>
      <c r="C73" s="49">
        <f ca="1">C49</f>
        <v>3</v>
      </c>
      <c r="D73" s="9">
        <v>108</v>
      </c>
      <c r="E73">
        <f>ROUND(POWER(A73*D73/100,AM73),0)</f>
        <v>15</v>
      </c>
      <c r="F73" s="50">
        <f t="shared" ref="F73" si="120">ROUND(G73*0.35+H73*0.65,0)</f>
        <v>641</v>
      </c>
      <c r="G73">
        <f>ROUND((E73+(30+30)/2)*AN73*兵攻防!A73/基本公式!$B$53,0)</f>
        <v>270</v>
      </c>
      <c r="H73" s="51">
        <f>ROUND((E73+(基本公式!$B$181+基本公式!$B$31)/2)*AN73*兵攻防!A73/基本公式!$B$53,0)</f>
        <v>840</v>
      </c>
      <c r="I73" s="9">
        <v>90</v>
      </c>
      <c r="J73">
        <f>ROUND(POWER($A$25*I73/100,$AM$25),0)</f>
        <v>13</v>
      </c>
      <c r="K73" s="2">
        <v>3</v>
      </c>
      <c r="L73">
        <f ca="1">ROUND(30/K73*P73*N73,2)</f>
        <v>8.4</v>
      </c>
      <c r="M73" s="9">
        <v>500</v>
      </c>
      <c r="N73" s="12">
        <f ca="1">OFFSET(其他表格!$G$2,M73/100,0)</f>
        <v>1.2000000000000002</v>
      </c>
      <c r="O73" s="9">
        <v>1</v>
      </c>
      <c r="P73" s="12">
        <f ca="1">OFFSET(其他表格!$B$1,O73,0)</f>
        <v>0.7</v>
      </c>
      <c r="Q73">
        <f>ROUND((E73+200)*AN73,2)</f>
        <v>32.25</v>
      </c>
      <c r="R73">
        <f>ROUND(($E$25+200)*$AN$25,2)</f>
        <v>30</v>
      </c>
      <c r="S73">
        <f>ROUND(POWER((E73+200-$J$25-200+AP73),2)/AO73,2)</f>
        <v>44.2</v>
      </c>
      <c r="T73">
        <f>ROUND(POWER(($E$25+200-J73-200+AP73),2)/AO73,2)</f>
        <v>39.53</v>
      </c>
      <c r="U73">
        <f ca="1">ROUND((Q73+S73)*(A73+A73)/AQ73*L73,0)</f>
        <v>13</v>
      </c>
      <c r="V73">
        <f ca="1">ROUND((R73+T73)*(A73+A73)/AQ73*L73,0)</f>
        <v>12</v>
      </c>
      <c r="W73" s="65">
        <f ca="1">MIN(ROUND(U73/A73,4),1)</f>
        <v>6.5000000000000002E-2</v>
      </c>
      <c r="X73" s="65">
        <f ca="1">MIN(ROUND(V73/A73,4),1)</f>
        <v>0.06</v>
      </c>
      <c r="Y73"/>
      <c r="Z73"/>
      <c r="AA73"/>
      <c r="AB73" s="65"/>
      <c r="AC73"/>
      <c r="AD73" s="66"/>
      <c r="AE73" s="66"/>
      <c r="AF73" s="65"/>
      <c r="AG73" s="66"/>
      <c r="AH73" s="66"/>
      <c r="AI73" s="65"/>
      <c r="AJ73" s="66"/>
      <c r="AK73" s="66"/>
      <c r="AL73" s="65"/>
      <c r="AM73" s="52">
        <v>0.5</v>
      </c>
      <c r="AN73" s="52">
        <v>0.15</v>
      </c>
      <c r="AO73" s="52">
        <v>6000</v>
      </c>
      <c r="AP73" s="52">
        <v>500</v>
      </c>
      <c r="AQ73" s="52">
        <v>20000</v>
      </c>
      <c r="AS73">
        <f ca="1">ROUND(AT73*AV73,0)</f>
        <v>19</v>
      </c>
      <c r="AT73">
        <f>ROUND(AY73*0.35+AZ73*0.65,0)</f>
        <v>156</v>
      </c>
      <c r="AU73" s="65">
        <f ca="1">ROUND(AS73/A73,4)</f>
        <v>9.5000000000000001E-2</v>
      </c>
      <c r="AV73" s="8">
        <f ca="1">ROUND((AW73+其他表格!K5+基本公式!$B$87)*OFFSET(其他表格!$N$1,兵攻防!O73,0)+OFFSET(其他表格!$P$1,M73/100,0),4)</f>
        <v>0.1191</v>
      </c>
      <c r="AW73" s="54">
        <v>0.1</v>
      </c>
      <c r="AX73" s="9">
        <v>223</v>
      </c>
      <c r="AY73">
        <f t="shared" ref="AY73:AZ77" si="121">BA73+BC73</f>
        <v>24</v>
      </c>
      <c r="AZ73">
        <f t="shared" si="121"/>
        <v>227</v>
      </c>
      <c r="BA73">
        <f>ROUND(POWER(AX73/10*(BE73+BG73),2)/BH73*(A73+A73)/AQ73,0)</f>
        <v>18</v>
      </c>
      <c r="BB73" s="17">
        <f>ROUND(POWER(AX73/10*(BF73*2+BG73),2)/BH73*(A73+A73)/AQ73,0)</f>
        <v>60</v>
      </c>
      <c r="BC73">
        <f>ROUND(POWER(AX73/10*(BE73-BF73+BI73),2)/BJ73*(A73+A73)/AQ73,0)</f>
        <v>6</v>
      </c>
      <c r="BD73" s="17">
        <f>ROUND(POWER(AX73/10*(BF73*2-BE73*2+BI73),2)/BJ73*(A73+A73)/AQ73,0)</f>
        <v>167</v>
      </c>
      <c r="BE73">
        <f>基本公式!$B$184</f>
        <v>30</v>
      </c>
      <c r="BF73">
        <f>基本公式!$B$183</f>
        <v>150</v>
      </c>
      <c r="BG73" s="52">
        <v>300</v>
      </c>
      <c r="BH73" s="52">
        <v>60000</v>
      </c>
      <c r="BI73" s="52">
        <v>200</v>
      </c>
      <c r="BJ73" s="52">
        <v>11500</v>
      </c>
    </row>
    <row r="74" spans="1:62">
      <c r="A74">
        <v>500</v>
      </c>
      <c r="B74" s="48">
        <f ca="1">ROUND(((U74-$U$29)+($V$29-V74)),0)</f>
        <v>4</v>
      </c>
      <c r="C74" s="49">
        <f ca="1">C50</f>
        <v>5</v>
      </c>
      <c r="D74" s="9">
        <v>108</v>
      </c>
      <c r="E74">
        <f>ROUND(POWER(A74*D74/100,AM74),0)</f>
        <v>23</v>
      </c>
      <c r="F74" s="50">
        <f>ROUND(G74*0.35+H74*0.65,0)</f>
        <v>1721</v>
      </c>
      <c r="G74">
        <f>ROUND((E74+(30+30)/2)*AN74*兵攻防!A74/基本公式!$B$53,0)</f>
        <v>795</v>
      </c>
      <c r="H74" s="51">
        <f>ROUND((E74+(基本公式!$B$181+基本公式!$B$31)/2)*AN74*兵攻防!A74/基本公式!$B$53,0)</f>
        <v>2220</v>
      </c>
      <c r="I74" s="9">
        <v>90</v>
      </c>
      <c r="J74">
        <f>ROUND(POWER($A$26*I74/100,$AM$26),0)</f>
        <v>21</v>
      </c>
      <c r="K74" s="2">
        <v>3</v>
      </c>
      <c r="L74">
        <f ca="1">ROUND(30/K74*P74*N74,2)</f>
        <v>8.4</v>
      </c>
      <c r="M74" s="9">
        <v>500</v>
      </c>
      <c r="N74" s="12">
        <f ca="1">OFFSET(其他表格!$G$2,M74/100,0)</f>
        <v>1.2000000000000002</v>
      </c>
      <c r="O74" s="9">
        <v>1</v>
      </c>
      <c r="P74" s="12">
        <f ca="1">OFFSET(其他表格!$B$1,O74,0)</f>
        <v>0.7</v>
      </c>
      <c r="Q74">
        <f>ROUND((E74+200)*AN74,2)</f>
        <v>33.450000000000003</v>
      </c>
      <c r="R74">
        <f>ROUND(($E$26+200)*$AN$26,2)</f>
        <v>30</v>
      </c>
      <c r="S74">
        <f>ROUND(POWER((E74+200-$J$26-200+AP74),2)/AO74,2)</f>
        <v>45.59</v>
      </c>
      <c r="T74">
        <f>ROUND(POWER(($E$26+200-J74-200+AP74),2)/AO74,2)</f>
        <v>38.24</v>
      </c>
      <c r="U74">
        <f ca="1">ROUND((Q74+S74)*(A74+A74)/AQ74*L74,0)</f>
        <v>33</v>
      </c>
      <c r="V74">
        <f ca="1">ROUND((R74+T74)*(A74+A74)/AQ74*L74,0)</f>
        <v>29</v>
      </c>
      <c r="W74" s="65">
        <f ca="1">MIN(ROUND(U74/A74,4),1)</f>
        <v>6.6000000000000003E-2</v>
      </c>
      <c r="X74" s="65">
        <f ca="1">MIN(ROUND(V74/A74,4),1)</f>
        <v>5.8000000000000003E-2</v>
      </c>
      <c r="Y74"/>
      <c r="Z74"/>
      <c r="AA74"/>
      <c r="AB74" s="65"/>
      <c r="AC74"/>
      <c r="AD74" s="66"/>
      <c r="AE74" s="66"/>
      <c r="AF74" s="65"/>
      <c r="AG74" s="66"/>
      <c r="AH74" s="66"/>
      <c r="AI74" s="65"/>
      <c r="AJ74" s="66"/>
      <c r="AK74" s="66"/>
      <c r="AL74" s="65"/>
      <c r="AM74" s="52">
        <v>0.5</v>
      </c>
      <c r="AN74" s="52">
        <v>0.15</v>
      </c>
      <c r="AO74" s="52">
        <v>6000</v>
      </c>
      <c r="AP74" s="52">
        <v>500</v>
      </c>
      <c r="AQ74" s="52">
        <v>20000</v>
      </c>
      <c r="AS74">
        <f ca="1">ROUND(AT74*AV74,0)</f>
        <v>48</v>
      </c>
      <c r="AT74">
        <f>ROUND(AY74*0.35+AZ74*0.65,0)</f>
        <v>390</v>
      </c>
      <c r="AU74" s="65">
        <f ca="1">ROUND(AS74/A74,4)</f>
        <v>9.6000000000000002E-2</v>
      </c>
      <c r="AV74" s="8">
        <f ca="1">ROUND((AW74+其他表格!K6+基本公式!$B$87)*OFFSET(其他表格!$N$1,兵攻防!O74,0)+OFFSET(其他表格!$P$1,M74/100,0),4)</f>
        <v>0.1242</v>
      </c>
      <c r="AW74" s="54">
        <v>0.1</v>
      </c>
      <c r="AX74" s="9">
        <v>223</v>
      </c>
      <c r="AY74">
        <f t="shared" si="121"/>
        <v>59</v>
      </c>
      <c r="AZ74">
        <f t="shared" si="121"/>
        <v>568</v>
      </c>
      <c r="BA74">
        <f>ROUND(POWER(AX74/10*(BE74+BG74),2)/BH74*(A74+A74)/AQ74,0)</f>
        <v>45</v>
      </c>
      <c r="BB74" s="17">
        <f>ROUND(POWER(AX74/10*(BF74*2+BG74),2)/BH74*(A74+A74)/AQ74,0)</f>
        <v>149</v>
      </c>
      <c r="BC74">
        <f>ROUND(POWER(AX74/10*(BE74-BF74+BI74),2)/BJ74*(A74+A74)/AQ74,0)</f>
        <v>14</v>
      </c>
      <c r="BD74" s="17">
        <f>ROUND(POWER(AX74/10*(BF74*2-BE74*2+BI74),2)/BJ74*(A74+A74)/AQ74,0)</f>
        <v>419</v>
      </c>
      <c r="BE74">
        <f>基本公式!$B$184</f>
        <v>30</v>
      </c>
      <c r="BF74">
        <f>基本公式!$B$183</f>
        <v>150</v>
      </c>
      <c r="BG74" s="52">
        <v>300</v>
      </c>
      <c r="BH74" s="52">
        <v>60000</v>
      </c>
      <c r="BI74" s="52">
        <v>200</v>
      </c>
      <c r="BJ74" s="52">
        <v>11500</v>
      </c>
    </row>
    <row r="75" spans="1:62">
      <c r="A75">
        <v>1000</v>
      </c>
      <c r="B75" s="48">
        <f ca="1">ROUND(((U75-$U$29)+($V$29-V75)),0)</f>
        <v>13</v>
      </c>
      <c r="C75" s="49">
        <f ca="1">C51</f>
        <v>15</v>
      </c>
      <c r="D75" s="9">
        <v>108</v>
      </c>
      <c r="E75">
        <f>ROUND(POWER(A75*D75/100,AM75),0)</f>
        <v>33</v>
      </c>
      <c r="F75" s="50">
        <f>ROUND(G75*0.35+H75*0.65,0)</f>
        <v>3743</v>
      </c>
      <c r="G75">
        <f>ROUND((E75+(30+30)/2)*AN75*兵攻防!A75/基本公式!$B$53,0)</f>
        <v>1890</v>
      </c>
      <c r="H75" s="51">
        <f>ROUND((E75+(基本公式!$B$181+基本公式!$B$31)/2)*AN75*兵攻防!A75/基本公式!$B$53,0)</f>
        <v>4740</v>
      </c>
      <c r="I75" s="9">
        <v>90</v>
      </c>
      <c r="J75">
        <f>ROUND(POWER($A$27*I75/100,$AM$27),0)</f>
        <v>30</v>
      </c>
      <c r="K75" s="2">
        <v>3</v>
      </c>
      <c r="L75">
        <f ca="1">ROUND(30/K75*P75*N75,2)</f>
        <v>8.4</v>
      </c>
      <c r="M75" s="9">
        <v>500</v>
      </c>
      <c r="N75" s="12">
        <f ca="1">OFFSET(其他表格!$G$2,M75/100,0)</f>
        <v>1.2000000000000002</v>
      </c>
      <c r="O75" s="9">
        <v>1</v>
      </c>
      <c r="P75" s="12">
        <f ca="1">OFFSET(其他表格!$B$1,O75,0)</f>
        <v>0.7</v>
      </c>
      <c r="Q75">
        <f>ROUND((E75+200)*AN75,2)</f>
        <v>34.950000000000003</v>
      </c>
      <c r="R75">
        <f>ROUND(($E$27+200)*$AN$27,2)</f>
        <v>30</v>
      </c>
      <c r="S75">
        <f>ROUND(POWER((E75+200-$J$27-200+AP75),2)/AO75,2)</f>
        <v>47.35</v>
      </c>
      <c r="T75">
        <f>ROUND(POWER(($E$27+200-J75-200+AP75),2)/AO75,2)</f>
        <v>36.82</v>
      </c>
      <c r="U75">
        <f ca="1">ROUND((Q75+S75)*(A75+A75)/AQ75*L75,0)</f>
        <v>69</v>
      </c>
      <c r="V75">
        <f ca="1">ROUND((R75+T75)*(A75+A75)/AQ75*L75,0)</f>
        <v>56</v>
      </c>
      <c r="W75" s="65">
        <f ca="1">MIN(ROUND(U75/A75,4),1)</f>
        <v>6.9000000000000006E-2</v>
      </c>
      <c r="X75" s="65">
        <f ca="1">MIN(ROUND(V75/A75,4),1)</f>
        <v>5.6000000000000001E-2</v>
      </c>
      <c r="Y75"/>
      <c r="Z75"/>
      <c r="AA75"/>
      <c r="AB75" s="65"/>
      <c r="AC75"/>
      <c r="AD75" s="66"/>
      <c r="AE75" s="66"/>
      <c r="AF75" s="65"/>
      <c r="AG75" s="66"/>
      <c r="AH75" s="66"/>
      <c r="AI75" s="65"/>
      <c r="AJ75" s="66"/>
      <c r="AK75" s="66"/>
      <c r="AL75" s="65"/>
      <c r="AM75" s="52">
        <v>0.5</v>
      </c>
      <c r="AN75" s="52">
        <v>0.15</v>
      </c>
      <c r="AO75" s="52">
        <v>6000</v>
      </c>
      <c r="AP75" s="52">
        <v>500</v>
      </c>
      <c r="AQ75" s="52">
        <v>20000</v>
      </c>
      <c r="AS75">
        <f ca="1">ROUND(AT75*AV75,0)</f>
        <v>101</v>
      </c>
      <c r="AT75">
        <f>ROUND(AY75*0.35+AZ75*0.65,0)</f>
        <v>779</v>
      </c>
      <c r="AU75" s="65">
        <f ca="1">ROUND(AS75/A75,4)</f>
        <v>0.10100000000000001</v>
      </c>
      <c r="AV75" s="8">
        <f ca="1">ROUND((AW75+其他表格!K7+基本公式!$B$87)*OFFSET(其他表格!$N$1,兵攻防!O75,0)+OFFSET(其他表格!$P$1,M75/100,0),4)</f>
        <v>0.1293</v>
      </c>
      <c r="AW75" s="54">
        <v>0.1</v>
      </c>
      <c r="AX75" s="9">
        <v>223</v>
      </c>
      <c r="AY75">
        <f t="shared" si="121"/>
        <v>118</v>
      </c>
      <c r="AZ75">
        <f t="shared" si="121"/>
        <v>1135</v>
      </c>
      <c r="BA75">
        <f>ROUND(POWER(AX75/10*(BE75+BG75),2)/BH75*(A75+A75)/AQ75,0)</f>
        <v>90</v>
      </c>
      <c r="BB75" s="17">
        <f>ROUND(POWER(AX75/10*(BF75*2+BG75),2)/BH75*(A75+A75)/AQ75,0)</f>
        <v>298</v>
      </c>
      <c r="BC75">
        <f>ROUND(POWER(AX75/10*(BE75-BF75+BI75),2)/BJ75*(A75+A75)/AQ75,0)</f>
        <v>28</v>
      </c>
      <c r="BD75" s="17">
        <f>ROUND(POWER(AX75/10*(BF75*2-BE75*2+BI75),2)/BJ75*(A75+A75)/AQ75,0)</f>
        <v>837</v>
      </c>
      <c r="BE75">
        <f>基本公式!$B$184</f>
        <v>30</v>
      </c>
      <c r="BF75">
        <f>基本公式!$B$183</f>
        <v>150</v>
      </c>
      <c r="BG75" s="52">
        <v>300</v>
      </c>
      <c r="BH75" s="52">
        <v>60000</v>
      </c>
      <c r="BI75" s="52">
        <v>200</v>
      </c>
      <c r="BJ75" s="52">
        <v>11500</v>
      </c>
    </row>
    <row r="76" spans="1:62">
      <c r="A76">
        <v>2000</v>
      </c>
      <c r="B76" s="48">
        <f ca="1">ROUND(((U76-$U$29)+($V$29-V76)),0)</f>
        <v>36</v>
      </c>
      <c r="C76" s="49">
        <f ca="1">C52</f>
        <v>37</v>
      </c>
      <c r="D76" s="9">
        <v>108</v>
      </c>
      <c r="E76">
        <f>ROUND(POWER(A76*D76/100,AM76),0)</f>
        <v>46</v>
      </c>
      <c r="F76" s="50">
        <f>ROUND(G76*0.35+H76*0.65,0)</f>
        <v>8265</v>
      </c>
      <c r="G76">
        <f>ROUND((E76+(30+30)/2)*AN76*兵攻防!A76/基本公式!$B$53,0)</f>
        <v>4560</v>
      </c>
      <c r="H76" s="51">
        <f>ROUND((E76+(基本公式!$B$181+基本公式!$B$31)/2)*AN76*兵攻防!A76/基本公式!$B$53,0)</f>
        <v>10260</v>
      </c>
      <c r="I76" s="9">
        <v>90</v>
      </c>
      <c r="J76">
        <f>ROUND(POWER($A$28*I76/100,$AM$28),0)</f>
        <v>42</v>
      </c>
      <c r="K76" s="2">
        <v>3</v>
      </c>
      <c r="L76">
        <f ca="1">ROUND(30/K76*P76*N76,2)</f>
        <v>8.4</v>
      </c>
      <c r="M76" s="9">
        <v>500</v>
      </c>
      <c r="N76" s="12">
        <f ca="1">OFFSET(其他表格!$G$2,M76/100,0)</f>
        <v>1.2000000000000002</v>
      </c>
      <c r="O76" s="9">
        <v>1</v>
      </c>
      <c r="P76" s="12">
        <f ca="1">OFFSET(其他表格!$B$1,O76,0)</f>
        <v>0.7</v>
      </c>
      <c r="Q76">
        <f>ROUND((E76+200)*AN76,2)</f>
        <v>36.9</v>
      </c>
      <c r="R76">
        <f>ROUND(($E$28+200)*$AN$28,2)</f>
        <v>30</v>
      </c>
      <c r="S76">
        <f>ROUND(POWER((E76+200-$J$28-200+AP76),2)/AO76,2)</f>
        <v>49.69</v>
      </c>
      <c r="T76">
        <f>ROUND(POWER(($E$28+200-J76-200+AP76),2)/AO76,2)</f>
        <v>34.96</v>
      </c>
      <c r="U76">
        <f ca="1">ROUND((Q76+S76)*(A76+A76)/AQ76*L76,0)</f>
        <v>145</v>
      </c>
      <c r="V76">
        <f ca="1">ROUND((R76+T76)*(A76+A76)/AQ76*L76,0)</f>
        <v>109</v>
      </c>
      <c r="W76" s="65">
        <f ca="1">MIN(ROUND(U76/A76,4),1)</f>
        <v>7.2499999999999995E-2</v>
      </c>
      <c r="X76" s="65">
        <f ca="1">MIN(ROUND(V76/A76,4),1)</f>
        <v>5.45E-2</v>
      </c>
      <c r="Y76"/>
      <c r="Z76"/>
      <c r="AA76"/>
      <c r="AB76" s="65"/>
      <c r="AC76"/>
      <c r="AD76" s="66"/>
      <c r="AE76" s="66"/>
      <c r="AF76" s="65"/>
      <c r="AG76" s="66"/>
      <c r="AH76" s="66"/>
      <c r="AI76" s="65"/>
      <c r="AJ76" s="66"/>
      <c r="AK76" s="66"/>
      <c r="AL76" s="65"/>
      <c r="AM76" s="52">
        <v>0.5</v>
      </c>
      <c r="AN76" s="52">
        <v>0.15</v>
      </c>
      <c r="AO76" s="52">
        <v>6000</v>
      </c>
      <c r="AP76" s="52">
        <v>500</v>
      </c>
      <c r="AQ76" s="52">
        <v>20000</v>
      </c>
      <c r="AS76">
        <f ca="1">ROUND(AT76*AV76,0)</f>
        <v>211</v>
      </c>
      <c r="AT76">
        <f>ROUND(AY76*0.35+AZ76*0.65,0)</f>
        <v>1559</v>
      </c>
      <c r="AU76" s="65">
        <f ca="1">ROUND(AS76/A76,4)</f>
        <v>0.1055</v>
      </c>
      <c r="AV76" s="8">
        <f ca="1">ROUND((AW76+其他表格!K8+基本公式!$B$87)*OFFSET(其他表格!$N$1,兵攻防!O76,0)+OFFSET(其他表格!$P$1,M76/100,0),4)</f>
        <v>0.1353</v>
      </c>
      <c r="AW76" s="54">
        <v>0.1</v>
      </c>
      <c r="AX76" s="9">
        <v>223</v>
      </c>
      <c r="AY76">
        <f t="shared" si="121"/>
        <v>236</v>
      </c>
      <c r="AZ76">
        <f t="shared" si="121"/>
        <v>2271</v>
      </c>
      <c r="BA76">
        <f>ROUND(POWER(AX76/10*(BE76+BG76),2)/BH76*(A76+A76)/AQ76,0)</f>
        <v>181</v>
      </c>
      <c r="BB76" s="17">
        <f>ROUND(POWER(AX76/10*(BF76*2+BG76),2)/BH76*(A76+A76)/AQ76,0)</f>
        <v>597</v>
      </c>
      <c r="BC76">
        <f>ROUND(POWER(AX76/10*(BE76-BF76+BI76),2)/BJ76*(A76+A76)/AQ76,0)</f>
        <v>55</v>
      </c>
      <c r="BD76" s="17">
        <f>ROUND(POWER(AX76/10*(BF76*2-BE76*2+BI76),2)/BJ76*(A76+A76)/AQ76,0)</f>
        <v>1674</v>
      </c>
      <c r="BE76">
        <f>基本公式!$B$184</f>
        <v>30</v>
      </c>
      <c r="BF76">
        <f>基本公式!$B$183</f>
        <v>150</v>
      </c>
      <c r="BG76" s="52">
        <v>300</v>
      </c>
      <c r="BH76" s="52">
        <v>60000</v>
      </c>
      <c r="BI76" s="52">
        <v>200</v>
      </c>
      <c r="BJ76" s="52">
        <v>11500</v>
      </c>
    </row>
    <row r="77" spans="1:62">
      <c r="A77">
        <v>5000</v>
      </c>
      <c r="B77" s="48">
        <f ca="1">ROUND(((U77-$U$29)+($V$29-V77)),0)</f>
        <v>145</v>
      </c>
      <c r="C77" s="49">
        <f ca="1">C53</f>
        <v>145</v>
      </c>
      <c r="D77" s="9">
        <v>108</v>
      </c>
      <c r="E77">
        <f>ROUND(POWER(A77*D77/100,AM77),0)</f>
        <v>73</v>
      </c>
      <c r="F77" s="50">
        <f>ROUND(G77*0.35+H77*0.65,0)</f>
        <v>24713</v>
      </c>
      <c r="G77">
        <f>ROUND((E77+(30+30)/2)*AN77*兵攻防!A77/基本公式!$B$53,0)</f>
        <v>15450</v>
      </c>
      <c r="H77" s="51">
        <f>ROUND((E77+(基本公式!$B$181+基本公式!$B$31)/2)*AN77*兵攻防!A77/基本公式!$B$53,0)</f>
        <v>29700</v>
      </c>
      <c r="I77" s="9">
        <v>90</v>
      </c>
      <c r="J77">
        <f>ROUND(POWER($A$29*I77/100,$AM$29),0)</f>
        <v>67</v>
      </c>
      <c r="K77" s="2">
        <v>3</v>
      </c>
      <c r="L77">
        <f ca="1">ROUND(30/K77*P77*N77,2)</f>
        <v>8.4</v>
      </c>
      <c r="M77" s="9">
        <v>500</v>
      </c>
      <c r="N77" s="12">
        <f ca="1">OFFSET(其他表格!$G$2,M77/100,0)</f>
        <v>1.2000000000000002</v>
      </c>
      <c r="O77" s="9">
        <v>1</v>
      </c>
      <c r="P77" s="12">
        <f ca="1">OFFSET(其他表格!$B$1,O77,0)</f>
        <v>0.7</v>
      </c>
      <c r="Q77">
        <f>ROUND((E77+200)*AN77,2)</f>
        <v>40.950000000000003</v>
      </c>
      <c r="R77">
        <f>ROUND(($E$29+200)*$AN$29,2)</f>
        <v>30</v>
      </c>
      <c r="S77">
        <f>ROUND(POWER((E77+200-$J$29-200+AP77),2)/AO77,2)</f>
        <v>54.72</v>
      </c>
      <c r="T77">
        <f>ROUND(POWER(($E$29+200-J77-200+AP77),2)/AO77,2)</f>
        <v>31.25</v>
      </c>
      <c r="U77">
        <f ca="1">ROUND((Q77+S77)*(A77+A77)/AQ77*L77,0)</f>
        <v>402</v>
      </c>
      <c r="V77">
        <f ca="1">ROUND((R77+T77)*(A77+A77)/AQ77*L77,0)</f>
        <v>257</v>
      </c>
      <c r="W77" s="65">
        <f ca="1">MIN(ROUND(U77/A77,4),1)</f>
        <v>8.0399999999999999E-2</v>
      </c>
      <c r="X77" s="65">
        <f ca="1">MIN(ROUND(V77/A77,4),1)</f>
        <v>5.1400000000000001E-2</v>
      </c>
      <c r="Y77"/>
      <c r="Z77"/>
      <c r="AA77"/>
      <c r="AB77" s="65"/>
      <c r="AC77"/>
      <c r="AD77" s="66"/>
      <c r="AE77" s="66"/>
      <c r="AF77" s="65"/>
      <c r="AG77" s="66"/>
      <c r="AH77" s="66"/>
      <c r="AI77" s="65"/>
      <c r="AJ77" s="66"/>
      <c r="AK77" s="66"/>
      <c r="AL77" s="65"/>
      <c r="AM77" s="52">
        <v>0.5</v>
      </c>
      <c r="AN77" s="52">
        <v>0.15</v>
      </c>
      <c r="AO77" s="52">
        <v>6000</v>
      </c>
      <c r="AP77" s="52">
        <v>500</v>
      </c>
      <c r="AQ77" s="52">
        <v>20000</v>
      </c>
      <c r="AS77">
        <f ca="1">ROUND(AT77*AV77,0)</f>
        <v>554</v>
      </c>
      <c r="AT77">
        <f>ROUND(AY77*0.35+AZ77*0.65,0)</f>
        <v>3897</v>
      </c>
      <c r="AU77" s="65">
        <f ca="1">ROUND(AS77/A77,4)</f>
        <v>0.1108</v>
      </c>
      <c r="AV77" s="8">
        <f ca="1">ROUND((AW77+其他表格!K9+基本公式!$B$87)*OFFSET(其他表格!$N$1,兵攻防!O77,0)+OFFSET(其他表格!$P$1,M77/100,0),4)</f>
        <v>0.1421</v>
      </c>
      <c r="AW77" s="54">
        <v>0.1</v>
      </c>
      <c r="AX77" s="9">
        <v>223</v>
      </c>
      <c r="AY77">
        <f t="shared" si="121"/>
        <v>589</v>
      </c>
      <c r="AZ77">
        <f t="shared" si="121"/>
        <v>5678</v>
      </c>
      <c r="BA77">
        <f>ROUND(POWER(AX77/10*(BE77+BG77),2)/BH77*(A77+A77)/AQ77,0)</f>
        <v>451</v>
      </c>
      <c r="BB77" s="17">
        <f>ROUND(POWER(AX77/10*(BF77*2+BG77),2)/BH77*(A77+A77)/AQ77,0)</f>
        <v>1492</v>
      </c>
      <c r="BC77">
        <f>ROUND(POWER(AX77/10*(BE77-BF77+BI77),2)/BJ77*(A77+A77)/AQ77,0)</f>
        <v>138</v>
      </c>
      <c r="BD77" s="17">
        <f>ROUND(POWER(AX77/10*(BF77*2-BE77*2+BI77),2)/BJ77*(A77+A77)/AQ77,0)</f>
        <v>4186</v>
      </c>
      <c r="BE77">
        <f>基本公式!$B$184</f>
        <v>30</v>
      </c>
      <c r="BF77">
        <f>基本公式!$B$183</f>
        <v>150</v>
      </c>
      <c r="BG77" s="52">
        <v>300</v>
      </c>
      <c r="BH77" s="52">
        <v>60000</v>
      </c>
      <c r="BI77" s="52">
        <v>200</v>
      </c>
      <c r="BJ77" s="52">
        <v>11500</v>
      </c>
    </row>
    <row r="79" spans="1:62" s="47" customFormat="1">
      <c r="A79" s="47" t="s">
        <v>175</v>
      </c>
      <c r="B79" s="61" t="s">
        <v>163</v>
      </c>
      <c r="C79" s="61" t="s">
        <v>176</v>
      </c>
      <c r="F79" s="62"/>
      <c r="H79" s="63"/>
      <c r="K79" s="64"/>
      <c r="AR79" s="69"/>
      <c r="AV79" s="49"/>
      <c r="AW79" s="72"/>
      <c r="AX79" s="73"/>
      <c r="BB79" s="74"/>
      <c r="BD79" s="74"/>
      <c r="BG79" s="52"/>
      <c r="BH79" s="52"/>
    </row>
    <row r="80" spans="1:62">
      <c r="A80">
        <v>100</v>
      </c>
      <c r="B80" s="48">
        <f t="shared" ref="B80" ca="1" si="122">ROUND(((U80-$U$29)+($V$29-V80)),0)</f>
        <v>0</v>
      </c>
      <c r="C80" s="49">
        <f t="shared" ref="C80" ca="1" si="123">C32</f>
        <v>0</v>
      </c>
      <c r="D80" s="9">
        <v>5</v>
      </c>
      <c r="E80">
        <f t="shared" ref="E80" si="124">ROUND(POWER(A80*D80/100,AM80),0)</f>
        <v>2</v>
      </c>
      <c r="F80" s="50">
        <f>ROUND(G80*0.35+H80*0.65,0)</f>
        <v>281</v>
      </c>
      <c r="G80">
        <f>ROUND((E80+(30+30)/2)*AN80*兵攻防!A80/基本公式!$B$53,0)</f>
        <v>96</v>
      </c>
      <c r="H80" s="51">
        <f>ROUND((E80+(基本公式!$B$181+基本公式!$B$31)/2)*AN80*兵攻防!A80/基本公式!$B$53,0)</f>
        <v>381</v>
      </c>
      <c r="I80" s="9">
        <v>4</v>
      </c>
      <c r="J80">
        <f>ROUND(POWER($A$24*I80/100,$AM$24),0)</f>
        <v>2</v>
      </c>
      <c r="K80" s="2">
        <v>3</v>
      </c>
      <c r="L80">
        <f t="shared" ref="L80" ca="1" si="125">ROUND(30/K80*P80*N80,2)</f>
        <v>13.75</v>
      </c>
      <c r="M80" s="9">
        <v>650</v>
      </c>
      <c r="N80" s="12">
        <f ca="1">OFFSET(其他表格!$G$2,M80/100,0)</f>
        <v>1.2500000000000002</v>
      </c>
      <c r="O80" s="9">
        <v>2</v>
      </c>
      <c r="P80" s="12">
        <f ca="1">OFFSET(其他表格!$B$1,O80,0)</f>
        <v>1.1000000000000001</v>
      </c>
      <c r="Q80">
        <f t="shared" ref="Q80" si="126">ROUND((E80+200)*AN80,2)</f>
        <v>30.3</v>
      </c>
      <c r="R80">
        <f>ROUND(($E$24+200)*$AN$24,2)</f>
        <v>30</v>
      </c>
      <c r="S80">
        <f>ROUND(POWER((E80+200-$J$24-200+AP80),2)/AO80,2)</f>
        <v>42</v>
      </c>
      <c r="T80">
        <f>ROUND(POWER(($E$24+200-J80-200+AP80),2)/AO80,2)</f>
        <v>41.33</v>
      </c>
      <c r="U80">
        <f t="shared" ref="U80" ca="1" si="127">ROUND((Q80+S80)*(A80+A80)/AQ80*L80,0)</f>
        <v>10</v>
      </c>
      <c r="V80">
        <f t="shared" ref="V80" ca="1" si="128">ROUND((R80+T80)*(A80+A80)/AQ80*L80,0)</f>
        <v>10</v>
      </c>
      <c r="W80" s="65">
        <f t="shared" ref="W80" ca="1" si="129">MIN(ROUND(U80/A80,4),1)</f>
        <v>0.1</v>
      </c>
      <c r="X80" s="65">
        <f t="shared" ref="X80" ca="1" si="130">MIN(ROUND(V80/A80,4),1)</f>
        <v>0.1</v>
      </c>
      <c r="Y80"/>
      <c r="Z80"/>
      <c r="AA80"/>
      <c r="AB80" s="65"/>
      <c r="AC80"/>
      <c r="AD80" s="66"/>
      <c r="AE80" s="66"/>
      <c r="AF80" s="65"/>
      <c r="AG80" s="66"/>
      <c r="AH80" s="66"/>
      <c r="AI80" s="65"/>
      <c r="AJ80" s="66"/>
      <c r="AK80" s="66"/>
      <c r="AL80" s="65"/>
      <c r="AM80" s="52">
        <v>0.5</v>
      </c>
      <c r="AN80" s="52">
        <v>0.15</v>
      </c>
      <c r="AO80" s="52">
        <v>6000</v>
      </c>
      <c r="AP80" s="52">
        <v>500</v>
      </c>
      <c r="AQ80" s="52">
        <v>20000</v>
      </c>
      <c r="AS80">
        <f t="shared" ref="AS80" ca="1" si="131">ROUND(AT80*AV80,0)</f>
        <v>2</v>
      </c>
      <c r="AT80">
        <f t="shared" ref="AT80" si="132">ROUND(AY80*0.35+AZ80*0.65,0)</f>
        <v>11</v>
      </c>
      <c r="AU80" s="65">
        <f t="shared" ref="AU80" ca="1" si="133">ROUND(AS80/A80,4)</f>
        <v>0.02</v>
      </c>
      <c r="AV80" s="8">
        <f ca="1">ROUND((AW80+其他表格!K4+基本公式!$B$87)*OFFSET(其他表格!$N$1,兵攻防!O80,0)+OFFSET(其他表格!$P$1,M80/100,0),4)</f>
        <v>0.17180000000000001</v>
      </c>
      <c r="AW80" s="54">
        <v>0.1</v>
      </c>
      <c r="AX80" s="9">
        <v>86</v>
      </c>
      <c r="AY80">
        <f t="shared" ref="AY80" si="134">BA80+BC80</f>
        <v>1</v>
      </c>
      <c r="AZ80">
        <f t="shared" ref="AZ80" si="135">BB80+BD80</f>
        <v>16</v>
      </c>
      <c r="BA80">
        <f t="shared" ref="BA80" si="136">ROUND(POWER(AX80/10*(BE80+BG80),2)/BH80*(A80+A80)/AQ80,0)</f>
        <v>1</v>
      </c>
      <c r="BB80" s="17">
        <f t="shared" ref="BB80" si="137">ROUND(POWER(AX80/10*(BF80*2+BG80),2)/BH80*(A80+A80)/AQ80,0)</f>
        <v>4</v>
      </c>
      <c r="BC80">
        <f t="shared" ref="BC80" si="138">ROUND(POWER(AX80/10*(BE80-BF80+BI80),2)/BJ80*(A80+A80)/AQ80,0)</f>
        <v>0</v>
      </c>
      <c r="BD80" s="17">
        <f t="shared" ref="BD80" si="139">ROUND(POWER(AX80/10*(BF80*2-BE80*2+BI80),2)/BJ80*(A80+A80)/AQ80,0)</f>
        <v>12</v>
      </c>
      <c r="BE80">
        <f>基本公式!$B$184</f>
        <v>30</v>
      </c>
      <c r="BF80">
        <f>基本公式!$B$183</f>
        <v>150</v>
      </c>
      <c r="BG80" s="52">
        <v>300</v>
      </c>
      <c r="BH80" s="52">
        <v>60000</v>
      </c>
      <c r="BI80" s="52">
        <v>200</v>
      </c>
      <c r="BJ80" s="52">
        <v>11500</v>
      </c>
    </row>
    <row r="81" spans="1:62">
      <c r="A81">
        <v>200</v>
      </c>
      <c r="B81" s="48">
        <f ca="1">ROUND(((U81-$U$29)+($V$29-V81)),0)</f>
        <v>0</v>
      </c>
      <c r="C81" s="49">
        <f ca="1">C33</f>
        <v>1</v>
      </c>
      <c r="D81" s="9">
        <v>5</v>
      </c>
      <c r="E81">
        <f>ROUND(POWER(A81*D81/100,AM81),0)</f>
        <v>3</v>
      </c>
      <c r="F81" s="50">
        <f t="shared" ref="F81" si="140">ROUND(G81*0.35+H81*0.65,0)</f>
        <v>569</v>
      </c>
      <c r="G81">
        <f>ROUND((E81+(30+30)/2)*AN81*兵攻防!A81/基本公式!$B$53,0)</f>
        <v>198</v>
      </c>
      <c r="H81" s="51">
        <f>ROUND((E81+(基本公式!$B$181+基本公式!$B$31)/2)*AN81*兵攻防!A81/基本公式!$B$53,0)</f>
        <v>768</v>
      </c>
      <c r="I81" s="9">
        <v>4</v>
      </c>
      <c r="J81">
        <f>ROUND(POWER($A$25*I81/100,$AM$25),0)</f>
        <v>3</v>
      </c>
      <c r="K81" s="2">
        <v>3</v>
      </c>
      <c r="L81">
        <f ca="1">ROUND(30/K81*P81*N81,2)</f>
        <v>13.75</v>
      </c>
      <c r="M81" s="9">
        <v>650</v>
      </c>
      <c r="N81" s="12">
        <f ca="1">OFFSET(其他表格!$G$2,M81/100,0)</f>
        <v>1.2500000000000002</v>
      </c>
      <c r="O81" s="9">
        <v>2</v>
      </c>
      <c r="P81" s="12">
        <f ca="1">OFFSET(其他表格!$B$1,O81,0)</f>
        <v>1.1000000000000001</v>
      </c>
      <c r="Q81">
        <f>ROUND((E81+200)*AN81,2)</f>
        <v>30.45</v>
      </c>
      <c r="R81">
        <f>ROUND(($E$25+200)*$AN$25,2)</f>
        <v>30</v>
      </c>
      <c r="S81">
        <f>ROUND(POWER((E81+200-$J$25-200+AP81),2)/AO81,2)</f>
        <v>42.17</v>
      </c>
      <c r="T81">
        <f>ROUND(POWER(($E$25+200-J81-200+AP81),2)/AO81,2)</f>
        <v>41.17</v>
      </c>
      <c r="U81">
        <f ca="1">ROUND((Q81+S81)*(A81+A81)/AQ81*L81,0)</f>
        <v>20</v>
      </c>
      <c r="V81">
        <f ca="1">ROUND((R81+T81)*(A81+A81)/AQ81*L81,0)</f>
        <v>20</v>
      </c>
      <c r="W81" s="65">
        <f ca="1">MIN(ROUND(U81/A81,4),1)</f>
        <v>0.1</v>
      </c>
      <c r="X81" s="65">
        <f ca="1">MIN(ROUND(V81/A81,4),1)</f>
        <v>0.1</v>
      </c>
      <c r="Y81"/>
      <c r="Z81"/>
      <c r="AA81"/>
      <c r="AB81" s="65"/>
      <c r="AC81"/>
      <c r="AD81" s="66"/>
      <c r="AE81" s="66"/>
      <c r="AF81" s="65"/>
      <c r="AG81" s="66"/>
      <c r="AH81" s="66"/>
      <c r="AI81" s="65"/>
      <c r="AJ81" s="66"/>
      <c r="AK81" s="66"/>
      <c r="AL81" s="65"/>
      <c r="AM81" s="52">
        <v>0.5</v>
      </c>
      <c r="AN81" s="52">
        <v>0.15</v>
      </c>
      <c r="AO81" s="52">
        <v>6000</v>
      </c>
      <c r="AP81" s="52">
        <v>500</v>
      </c>
      <c r="AQ81" s="52">
        <v>20000</v>
      </c>
      <c r="AS81">
        <f ca="1">ROUND(AT81*AV81,0)</f>
        <v>4</v>
      </c>
      <c r="AT81">
        <f>ROUND(AY81*0.35+AZ81*0.65,0)</f>
        <v>24</v>
      </c>
      <c r="AU81" s="65">
        <f ca="1">ROUND(AS81/A81,4)</f>
        <v>0.02</v>
      </c>
      <c r="AV81" s="8">
        <f ca="1">ROUND((AW81+其他表格!K5+基本公式!$B$87)*OFFSET(其他表格!$N$1,兵攻防!O81,0)+OFFSET(其他表格!$P$1,M81/100,0),4)</f>
        <v>0.18290000000000001</v>
      </c>
      <c r="AW81" s="54">
        <v>0.1</v>
      </c>
      <c r="AX81" s="9">
        <v>86</v>
      </c>
      <c r="AY81">
        <f t="shared" ref="AY81:AZ85" si="141">BA81+BC81</f>
        <v>4</v>
      </c>
      <c r="AZ81">
        <f t="shared" si="141"/>
        <v>34</v>
      </c>
      <c r="BA81">
        <f>ROUND(POWER(AX81/10*(BE81+BG81),2)/BH81*(A81+A81)/AQ81,0)</f>
        <v>3</v>
      </c>
      <c r="BB81" s="17">
        <f>ROUND(POWER(AX81/10*(BF81*2+BG81),2)/BH81*(A81+A81)/AQ81,0)</f>
        <v>9</v>
      </c>
      <c r="BC81">
        <f>ROUND(POWER(AX81/10*(BE81-BF81+BI81),2)/BJ81*(A81+A81)/AQ81,0)</f>
        <v>1</v>
      </c>
      <c r="BD81" s="17">
        <f>ROUND(POWER(AX81/10*(BF81*2-BE81*2+BI81),2)/BJ81*(A81+A81)/AQ81,0)</f>
        <v>25</v>
      </c>
      <c r="BE81">
        <f>基本公式!$B$184</f>
        <v>30</v>
      </c>
      <c r="BF81">
        <f>基本公式!$B$183</f>
        <v>150</v>
      </c>
      <c r="BG81" s="52">
        <v>300</v>
      </c>
      <c r="BH81" s="52">
        <v>60000</v>
      </c>
      <c r="BI81" s="52">
        <v>200</v>
      </c>
      <c r="BJ81" s="52">
        <v>11500</v>
      </c>
    </row>
    <row r="82" spans="1:62">
      <c r="A82">
        <v>500</v>
      </c>
      <c r="B82" s="48">
        <f ca="1">ROUND(((U82-$U$29)+($V$29-V82)),0)</f>
        <v>1</v>
      </c>
      <c r="C82" s="49">
        <f ca="1">C34</f>
        <v>2</v>
      </c>
      <c r="D82" s="9">
        <v>5</v>
      </c>
      <c r="E82">
        <f>ROUND(POWER(A82*D82/100,AM82),0)</f>
        <v>5</v>
      </c>
      <c r="F82" s="50">
        <f>ROUND(G82*0.35+H82*0.65,0)</f>
        <v>1451</v>
      </c>
      <c r="G82">
        <f>ROUND((E82+(30+30)/2)*AN82*兵攻防!A82/基本公式!$B$53,0)</f>
        <v>525</v>
      </c>
      <c r="H82" s="51">
        <f>ROUND((E82+(基本公式!$B$181+基本公式!$B$31)/2)*AN82*兵攻防!A82/基本公式!$B$53,0)</f>
        <v>1950</v>
      </c>
      <c r="I82" s="9">
        <v>4</v>
      </c>
      <c r="J82">
        <f>ROUND(POWER($A$26*I82/100,$AM$26),0)</f>
        <v>4</v>
      </c>
      <c r="K82" s="2">
        <v>3</v>
      </c>
      <c r="L82">
        <f ca="1">ROUND(30/K82*P82*N82,2)</f>
        <v>13.75</v>
      </c>
      <c r="M82" s="9">
        <v>650</v>
      </c>
      <c r="N82" s="12">
        <f ca="1">OFFSET(其他表格!$G$2,M82/100,0)</f>
        <v>1.2500000000000002</v>
      </c>
      <c r="O82" s="9">
        <v>2</v>
      </c>
      <c r="P82" s="12">
        <f ca="1">OFFSET(其他表格!$B$1,O82,0)</f>
        <v>1.1000000000000001</v>
      </c>
      <c r="Q82">
        <f>ROUND((E82+200)*AN82,2)</f>
        <v>30.75</v>
      </c>
      <c r="R82">
        <f>ROUND(($E$26+200)*$AN$26,2)</f>
        <v>30</v>
      </c>
      <c r="S82">
        <f>ROUND(POWER((E82+200-$J$26-200+AP82),2)/AO82,2)</f>
        <v>42.5</v>
      </c>
      <c r="T82">
        <f>ROUND(POWER(($E$26+200-J82-200+AP82),2)/AO82,2)</f>
        <v>41</v>
      </c>
      <c r="U82">
        <f ca="1">ROUND((Q82+S82)*(A82+A82)/AQ82*L82,0)</f>
        <v>50</v>
      </c>
      <c r="V82">
        <f ca="1">ROUND((R82+T82)*(A82+A82)/AQ82*L82,0)</f>
        <v>49</v>
      </c>
      <c r="W82" s="65">
        <f ca="1">MIN(ROUND(U82/A82,4),1)</f>
        <v>0.1</v>
      </c>
      <c r="X82" s="65">
        <f ca="1">MIN(ROUND(V82/A82,4),1)</f>
        <v>9.8000000000000004E-2</v>
      </c>
      <c r="Y82"/>
      <c r="Z82"/>
      <c r="AA82"/>
      <c r="AB82" s="65"/>
      <c r="AC82"/>
      <c r="AD82" s="66"/>
      <c r="AE82" s="66"/>
      <c r="AF82" s="65"/>
      <c r="AG82" s="66"/>
      <c r="AH82" s="66"/>
      <c r="AI82" s="65"/>
      <c r="AJ82" s="66"/>
      <c r="AK82" s="66"/>
      <c r="AL82" s="65"/>
      <c r="AM82" s="52">
        <v>0.5</v>
      </c>
      <c r="AN82" s="52">
        <v>0.15</v>
      </c>
      <c r="AO82" s="52">
        <v>6000</v>
      </c>
      <c r="AP82" s="52">
        <v>500</v>
      </c>
      <c r="AQ82" s="52">
        <v>20000</v>
      </c>
      <c r="AS82">
        <f ca="1">ROUND(AT82*AV82,0)</f>
        <v>11</v>
      </c>
      <c r="AT82">
        <f>ROUND(AY82*0.35+AZ82*0.65,0)</f>
        <v>58</v>
      </c>
      <c r="AU82" s="65">
        <f ca="1">ROUND(AS82/A82,4)</f>
        <v>2.1999999999999999E-2</v>
      </c>
      <c r="AV82" s="8">
        <f ca="1">ROUND((AW82+其他表格!K6+基本公式!$B$87)*OFFSET(其他表格!$N$1,兵攻防!O82,0)+OFFSET(其他表格!$P$1,M82/100,0),4)</f>
        <v>0.19400000000000001</v>
      </c>
      <c r="AW82" s="54">
        <v>0.1</v>
      </c>
      <c r="AX82" s="9">
        <v>86</v>
      </c>
      <c r="AY82">
        <f t="shared" si="141"/>
        <v>9</v>
      </c>
      <c r="AZ82">
        <f t="shared" si="141"/>
        <v>84</v>
      </c>
      <c r="BA82">
        <f>ROUND(POWER(AX82/10*(BE82+BG82),2)/BH82*(A82+A82)/AQ82,0)</f>
        <v>7</v>
      </c>
      <c r="BB82" s="17">
        <f>ROUND(POWER(AX82/10*(BF82*2+BG82),2)/BH82*(A82+A82)/AQ82,0)</f>
        <v>22</v>
      </c>
      <c r="BC82">
        <f>ROUND(POWER(AX82/10*(BE82-BF82+BI82),2)/BJ82*(A82+A82)/AQ82,0)</f>
        <v>2</v>
      </c>
      <c r="BD82" s="17">
        <f>ROUND(POWER(AX82/10*(BF82*2-BE82*2+BI82),2)/BJ82*(A82+A82)/AQ82,0)</f>
        <v>62</v>
      </c>
      <c r="BE82">
        <f>基本公式!$B$184</f>
        <v>30</v>
      </c>
      <c r="BF82">
        <f>基本公式!$B$183</f>
        <v>150</v>
      </c>
      <c r="BG82" s="52">
        <v>300</v>
      </c>
      <c r="BH82" s="52">
        <v>60000</v>
      </c>
      <c r="BI82" s="52">
        <v>200</v>
      </c>
      <c r="BJ82" s="52">
        <v>11500</v>
      </c>
    </row>
    <row r="83" spans="1:62">
      <c r="A83">
        <v>1000</v>
      </c>
      <c r="B83" s="48">
        <f ca="1">ROUND(((U83-$U$29)+($V$29-V83)),0)</f>
        <v>5</v>
      </c>
      <c r="C83" s="49">
        <f ca="1">C35</f>
        <v>5</v>
      </c>
      <c r="D83" s="9">
        <v>5</v>
      </c>
      <c r="E83">
        <f>ROUND(POWER(A83*D83/100,AM83),0)</f>
        <v>7</v>
      </c>
      <c r="F83" s="50">
        <f>ROUND(G83*0.35+H83*0.65,0)</f>
        <v>2963</v>
      </c>
      <c r="G83">
        <f>ROUND((E83+(30+30)/2)*AN83*兵攻防!A83/基本公式!$B$53,0)</f>
        <v>1110</v>
      </c>
      <c r="H83" s="51">
        <f>ROUND((E83+(基本公式!$B$181+基本公式!$B$31)/2)*AN83*兵攻防!A83/基本公式!$B$53,0)</f>
        <v>3960</v>
      </c>
      <c r="I83" s="9">
        <v>4</v>
      </c>
      <c r="J83">
        <f>ROUND(POWER($A$27*I83/100,$AM$27),0)</f>
        <v>6</v>
      </c>
      <c r="K83" s="2">
        <v>3</v>
      </c>
      <c r="L83">
        <f ca="1">ROUND(30/K83*P83*N83,2)</f>
        <v>13.75</v>
      </c>
      <c r="M83" s="9">
        <v>650</v>
      </c>
      <c r="N83" s="12">
        <f ca="1">OFFSET(其他表格!$G$2,M83/100,0)</f>
        <v>1.2500000000000002</v>
      </c>
      <c r="O83" s="9">
        <v>2</v>
      </c>
      <c r="P83" s="12">
        <f ca="1">OFFSET(其他表格!$B$1,O83,0)</f>
        <v>1.1000000000000001</v>
      </c>
      <c r="Q83">
        <f>ROUND((E83+200)*AN83,2)</f>
        <v>31.05</v>
      </c>
      <c r="R83">
        <f>ROUND(($E$27+200)*$AN$27,2)</f>
        <v>30</v>
      </c>
      <c r="S83">
        <f>ROUND(POWER((E83+200-$J$27-200+AP83),2)/AO83,2)</f>
        <v>42.84</v>
      </c>
      <c r="T83">
        <f>ROUND(POWER(($E$27+200-J83-200+AP83),2)/AO83,2)</f>
        <v>40.67</v>
      </c>
      <c r="U83">
        <f ca="1">ROUND((Q83+S83)*(A83+A83)/AQ83*L83,0)</f>
        <v>102</v>
      </c>
      <c r="V83">
        <f ca="1">ROUND((R83+T83)*(A83+A83)/AQ83*L83,0)</f>
        <v>97</v>
      </c>
      <c r="W83" s="65">
        <f ca="1">MIN(ROUND(U83/A83,4),1)</f>
        <v>0.10199999999999999</v>
      </c>
      <c r="X83" s="65">
        <f ca="1">MIN(ROUND(V83/A83,4),1)</f>
        <v>9.7000000000000003E-2</v>
      </c>
      <c r="Y83"/>
      <c r="Z83"/>
      <c r="AA83"/>
      <c r="AB83" s="65"/>
      <c r="AC83"/>
      <c r="AD83" s="66"/>
      <c r="AE83" s="66"/>
      <c r="AF83" s="65"/>
      <c r="AG83" s="66"/>
      <c r="AH83" s="66"/>
      <c r="AI83" s="65"/>
      <c r="AJ83" s="66"/>
      <c r="AK83" s="66"/>
      <c r="AL83" s="65"/>
      <c r="AM83" s="52">
        <v>0.5</v>
      </c>
      <c r="AN83" s="52">
        <v>0.15</v>
      </c>
      <c r="AO83" s="52">
        <v>6000</v>
      </c>
      <c r="AP83" s="52">
        <v>500</v>
      </c>
      <c r="AQ83" s="52">
        <v>20000</v>
      </c>
      <c r="AS83">
        <f ca="1">ROUND(AT83*AV83,0)</f>
        <v>24</v>
      </c>
      <c r="AT83">
        <f>ROUND(AY83*0.35+AZ83*0.65,0)</f>
        <v>116</v>
      </c>
      <c r="AU83" s="65">
        <f ca="1">ROUND(AS83/A83,4)</f>
        <v>2.4E-2</v>
      </c>
      <c r="AV83" s="8">
        <f ca="1">ROUND((AW83+其他表格!K7+基本公式!$B$87)*OFFSET(其他表格!$N$1,兵攻防!O83,0)+OFFSET(其他表格!$P$1,M83/100,0),4)</f>
        <v>0.2051</v>
      </c>
      <c r="AW83" s="54">
        <v>0.1</v>
      </c>
      <c r="AX83" s="9">
        <v>86</v>
      </c>
      <c r="AY83">
        <f t="shared" si="141"/>
        <v>17</v>
      </c>
      <c r="AZ83">
        <f t="shared" si="141"/>
        <v>169</v>
      </c>
      <c r="BA83">
        <f>ROUND(POWER(AX83/10*(BE83+BG83),2)/BH83*(A83+A83)/AQ83,0)</f>
        <v>13</v>
      </c>
      <c r="BB83" s="17">
        <f>ROUND(POWER(AX83/10*(BF83*2+BG83),2)/BH83*(A83+A83)/AQ83,0)</f>
        <v>44</v>
      </c>
      <c r="BC83">
        <f>ROUND(POWER(AX83/10*(BE83-BF83+BI83),2)/BJ83*(A83+A83)/AQ83,0)</f>
        <v>4</v>
      </c>
      <c r="BD83" s="17">
        <f>ROUND(POWER(AX83/10*(BF83*2-BE83*2+BI83),2)/BJ83*(A83+A83)/AQ83,0)</f>
        <v>125</v>
      </c>
      <c r="BE83">
        <f>基本公式!$B$184</f>
        <v>30</v>
      </c>
      <c r="BF83">
        <f>基本公式!$B$183</f>
        <v>150</v>
      </c>
      <c r="BG83" s="52">
        <v>300</v>
      </c>
      <c r="BH83" s="52">
        <v>60000</v>
      </c>
      <c r="BI83" s="52">
        <v>200</v>
      </c>
      <c r="BJ83" s="52">
        <v>11500</v>
      </c>
    </row>
    <row r="84" spans="1:62">
      <c r="A84">
        <v>2000</v>
      </c>
      <c r="B84" s="48">
        <f ca="1">ROUND(((U84-$U$29)+($V$29-V84)),0)</f>
        <v>13</v>
      </c>
      <c r="C84" s="49">
        <f ca="1">C36</f>
        <v>13</v>
      </c>
      <c r="D84" s="9">
        <v>5</v>
      </c>
      <c r="E84">
        <f>ROUND(POWER(A84*D84/100,AM84),0)</f>
        <v>10</v>
      </c>
      <c r="F84" s="50">
        <f>ROUND(G84*0.35+H84*0.65,0)</f>
        <v>6105</v>
      </c>
      <c r="G84">
        <f>ROUND((E84+(30+30)/2)*AN84*兵攻防!A84/基本公式!$B$53,0)</f>
        <v>2400</v>
      </c>
      <c r="H84" s="51">
        <f>ROUND((E84+(基本公式!$B$181+基本公式!$B$31)/2)*AN84*兵攻防!A84/基本公式!$B$53,0)</f>
        <v>8100</v>
      </c>
      <c r="I84" s="9">
        <v>4</v>
      </c>
      <c r="J84">
        <f>ROUND(POWER($A$28*I84/100,$AM$28),0)</f>
        <v>9</v>
      </c>
      <c r="K84" s="2">
        <v>3</v>
      </c>
      <c r="L84">
        <f ca="1">ROUND(30/K84*P84*N84,2)</f>
        <v>13.75</v>
      </c>
      <c r="M84" s="9">
        <v>650</v>
      </c>
      <c r="N84" s="12">
        <f ca="1">OFFSET(其他表格!$G$2,M84/100,0)</f>
        <v>1.2500000000000002</v>
      </c>
      <c r="O84" s="9">
        <v>2</v>
      </c>
      <c r="P84" s="12">
        <f ca="1">OFFSET(其他表格!$B$1,O84,0)</f>
        <v>1.1000000000000001</v>
      </c>
      <c r="Q84">
        <f>ROUND((E84+200)*AN84,2)</f>
        <v>31.5</v>
      </c>
      <c r="R84">
        <f>ROUND(($E$28+200)*$AN$28,2)</f>
        <v>30</v>
      </c>
      <c r="S84">
        <f>ROUND(POWER((E84+200-$J$28-200+AP84),2)/AO84,2)</f>
        <v>43.35</v>
      </c>
      <c r="T84">
        <f>ROUND(POWER(($E$28+200-J84-200+AP84),2)/AO84,2)</f>
        <v>40.18</v>
      </c>
      <c r="U84">
        <f ca="1">ROUND((Q84+S84)*(A84+A84)/AQ84*L84,0)</f>
        <v>206</v>
      </c>
      <c r="V84">
        <f ca="1">ROUND((R84+T84)*(A84+A84)/AQ84*L84,0)</f>
        <v>193</v>
      </c>
      <c r="W84" s="65">
        <f ca="1">MIN(ROUND(U84/A84,4),1)</f>
        <v>0.10299999999999999</v>
      </c>
      <c r="X84" s="65">
        <f ca="1">MIN(ROUND(V84/A84,4),1)</f>
        <v>9.6500000000000002E-2</v>
      </c>
      <c r="Y84"/>
      <c r="Z84"/>
      <c r="AA84"/>
      <c r="AB84" s="65"/>
      <c r="AC84"/>
      <c r="AD84" s="66"/>
      <c r="AE84" s="66"/>
      <c r="AF84" s="65"/>
      <c r="AG84" s="66"/>
      <c r="AH84" s="66"/>
      <c r="AI84" s="65"/>
      <c r="AJ84" s="66"/>
      <c r="AK84" s="66"/>
      <c r="AL84" s="65"/>
      <c r="AM84" s="52">
        <v>0.5</v>
      </c>
      <c r="AN84" s="52">
        <v>0.15</v>
      </c>
      <c r="AO84" s="52">
        <v>6000</v>
      </c>
      <c r="AP84" s="52">
        <v>500</v>
      </c>
      <c r="AQ84" s="52">
        <v>20000</v>
      </c>
      <c r="AS84">
        <f ca="1">ROUND(AT84*AV84,0)</f>
        <v>51</v>
      </c>
      <c r="AT84">
        <f>ROUND(AY84*0.35+AZ84*0.65,0)</f>
        <v>232</v>
      </c>
      <c r="AU84" s="65">
        <f ca="1">ROUND(AS84/A84,4)</f>
        <v>2.5499999999999998E-2</v>
      </c>
      <c r="AV84" s="8">
        <f ca="1">ROUND((AW84+其他表格!K8+基本公式!$B$87)*OFFSET(其他表格!$N$1,兵攻防!O84,0)+OFFSET(其他表格!$P$1,M84/100,0),4)</f>
        <v>0.218</v>
      </c>
      <c r="AW84" s="54">
        <v>0.1</v>
      </c>
      <c r="AX84" s="9">
        <v>86</v>
      </c>
      <c r="AY84">
        <f t="shared" si="141"/>
        <v>35</v>
      </c>
      <c r="AZ84">
        <f t="shared" si="141"/>
        <v>338</v>
      </c>
      <c r="BA84">
        <f>ROUND(POWER(AX84/10*(BE84+BG84),2)/BH84*(A84+A84)/AQ84,0)</f>
        <v>27</v>
      </c>
      <c r="BB84" s="17">
        <f>ROUND(POWER(AX84/10*(BF84*2+BG84),2)/BH84*(A84+A84)/AQ84,0)</f>
        <v>89</v>
      </c>
      <c r="BC84">
        <f>ROUND(POWER(AX84/10*(BE84-BF84+BI84),2)/BJ84*(A84+A84)/AQ84,0)</f>
        <v>8</v>
      </c>
      <c r="BD84" s="17">
        <f>ROUND(POWER(AX84/10*(BF84*2-BE84*2+BI84),2)/BJ84*(A84+A84)/AQ84,0)</f>
        <v>249</v>
      </c>
      <c r="BE84">
        <f>基本公式!$B$184</f>
        <v>30</v>
      </c>
      <c r="BF84">
        <f>基本公式!$B$183</f>
        <v>150</v>
      </c>
      <c r="BG84" s="52">
        <v>300</v>
      </c>
      <c r="BH84" s="52">
        <v>60000</v>
      </c>
      <c r="BI84" s="52">
        <v>200</v>
      </c>
      <c r="BJ84" s="52">
        <v>11500</v>
      </c>
    </row>
    <row r="85" spans="1:62">
      <c r="A85">
        <v>5000</v>
      </c>
      <c r="B85" s="48">
        <f ca="1">ROUND(((U85-$U$29)+($V$29-V85)),0)</f>
        <v>51</v>
      </c>
      <c r="C85" s="49">
        <f ca="1">C37</f>
        <v>50</v>
      </c>
      <c r="D85" s="9">
        <v>5</v>
      </c>
      <c r="E85">
        <f>ROUND(POWER(A85*D85/100,AM85),0)</f>
        <v>16</v>
      </c>
      <c r="F85" s="50">
        <f>ROUND(G85*0.35+H85*0.65,0)</f>
        <v>16163</v>
      </c>
      <c r="G85">
        <f>ROUND((E85+(30+30)/2)*AN85*兵攻防!A85/基本公式!$B$53,0)</f>
        <v>6900</v>
      </c>
      <c r="H85" s="51">
        <f>ROUND((E85+(基本公式!$B$181+基本公式!$B$31)/2)*AN85*兵攻防!A85/基本公式!$B$53,0)</f>
        <v>21150</v>
      </c>
      <c r="I85" s="9">
        <v>4</v>
      </c>
      <c r="J85">
        <f>ROUND(POWER($A$29*I85/100,$AM$29),0)</f>
        <v>14</v>
      </c>
      <c r="K85" s="2">
        <v>3</v>
      </c>
      <c r="L85">
        <f ca="1">ROUND(30/K85*P85*N85,2)</f>
        <v>13.75</v>
      </c>
      <c r="M85" s="9">
        <v>650</v>
      </c>
      <c r="N85" s="12">
        <f ca="1">OFFSET(其他表格!$G$2,M85/100,0)</f>
        <v>1.2500000000000002</v>
      </c>
      <c r="O85" s="9">
        <v>2</v>
      </c>
      <c r="P85" s="12">
        <f ca="1">OFFSET(其他表格!$B$1,O85,0)</f>
        <v>1.1000000000000001</v>
      </c>
      <c r="Q85">
        <f>ROUND((E85+200)*AN85,2)</f>
        <v>32.4</v>
      </c>
      <c r="R85">
        <f>ROUND(($E$29+200)*$AN$29,2)</f>
        <v>30</v>
      </c>
      <c r="S85">
        <f>ROUND(POWER((E85+200-$J$29-200+AP85),2)/AO85,2)</f>
        <v>44.38</v>
      </c>
      <c r="T85">
        <f>ROUND(POWER(($E$29+200-J85-200+AP85),2)/AO85,2)</f>
        <v>39.369999999999997</v>
      </c>
      <c r="U85">
        <f ca="1">ROUND((Q85+S85)*(A85+A85)/AQ85*L85,0)</f>
        <v>528</v>
      </c>
      <c r="V85">
        <f ca="1">ROUND((R85+T85)*(A85+A85)/AQ85*L85,0)</f>
        <v>477</v>
      </c>
      <c r="W85" s="65">
        <f ca="1">MIN(ROUND(U85/A85,4),1)</f>
        <v>0.1056</v>
      </c>
      <c r="X85" s="65">
        <f ca="1">MIN(ROUND(V85/A85,4),1)</f>
        <v>9.5399999999999999E-2</v>
      </c>
      <c r="Y85"/>
      <c r="Z85"/>
      <c r="AA85"/>
      <c r="AB85" s="65"/>
      <c r="AC85"/>
      <c r="AD85" s="66"/>
      <c r="AE85" s="66"/>
      <c r="AF85" s="65"/>
      <c r="AG85" s="66"/>
      <c r="AH85" s="66"/>
      <c r="AI85" s="65"/>
      <c r="AJ85" s="66"/>
      <c r="AK85" s="66"/>
      <c r="AL85" s="65"/>
      <c r="AM85" s="52">
        <v>0.5</v>
      </c>
      <c r="AN85" s="52">
        <v>0.15</v>
      </c>
      <c r="AO85" s="52">
        <v>6000</v>
      </c>
      <c r="AP85" s="52">
        <v>500</v>
      </c>
      <c r="AQ85" s="52">
        <v>20000</v>
      </c>
      <c r="AS85">
        <f ca="1">ROUND(AT85*AV85,0)</f>
        <v>135</v>
      </c>
      <c r="AT85">
        <f>ROUND(AY85*0.35+AZ85*0.65,0)</f>
        <v>580</v>
      </c>
      <c r="AU85" s="65">
        <f ca="1">ROUND(AS85/A85,4)</f>
        <v>2.7E-2</v>
      </c>
      <c r="AV85" s="8">
        <f ca="1">ROUND((AW85+其他表格!K9+基本公式!$B$87)*OFFSET(其他表格!$N$1,兵攻防!O85,0)+OFFSET(其他表格!$P$1,M85/100,0),4)</f>
        <v>0.23280000000000001</v>
      </c>
      <c r="AW85" s="54">
        <v>0.1</v>
      </c>
      <c r="AX85" s="9">
        <v>86</v>
      </c>
      <c r="AY85">
        <f t="shared" si="141"/>
        <v>88</v>
      </c>
      <c r="AZ85">
        <f t="shared" si="141"/>
        <v>845</v>
      </c>
      <c r="BA85">
        <f>ROUND(POWER(AX85/10*(BE85+BG85),2)/BH85*(A85+A85)/AQ85,0)</f>
        <v>67</v>
      </c>
      <c r="BB85" s="17">
        <f>ROUND(POWER(AX85/10*(BF85*2+BG85),2)/BH85*(A85+A85)/AQ85,0)</f>
        <v>222</v>
      </c>
      <c r="BC85">
        <f>ROUND(POWER(AX85/10*(BE85-BF85+BI85),2)/BJ85*(A85+A85)/AQ85,0)</f>
        <v>21</v>
      </c>
      <c r="BD85" s="17">
        <f>ROUND(POWER(AX85/10*(BF85*2-BE85*2+BI85),2)/BJ85*(A85+A85)/AQ85,0)</f>
        <v>623</v>
      </c>
      <c r="BE85">
        <f>基本公式!$B$184</f>
        <v>30</v>
      </c>
      <c r="BF85">
        <f>基本公式!$B$183</f>
        <v>150</v>
      </c>
      <c r="BG85" s="52">
        <v>300</v>
      </c>
      <c r="BH85" s="52">
        <v>60000</v>
      </c>
      <c r="BI85" s="52">
        <v>200</v>
      </c>
      <c r="BJ85" s="52">
        <v>11500</v>
      </c>
    </row>
    <row r="87" spans="1:62" s="47" customFormat="1">
      <c r="A87" s="47" t="s">
        <v>177</v>
      </c>
      <c r="B87" s="61" t="s">
        <v>163</v>
      </c>
      <c r="C87" s="61" t="s">
        <v>178</v>
      </c>
      <c r="F87" s="62"/>
      <c r="H87" s="63"/>
      <c r="K87" s="64"/>
      <c r="AR87" s="69"/>
      <c r="AV87" s="49"/>
      <c r="AW87" s="72"/>
      <c r="AX87" s="73"/>
      <c r="BB87" s="74"/>
      <c r="BD87" s="74"/>
      <c r="BG87" s="52"/>
      <c r="BH87" s="52"/>
    </row>
    <row r="88" spans="1:62">
      <c r="A88">
        <v>100</v>
      </c>
      <c r="B88" s="48">
        <f t="shared" ref="B88" ca="1" si="142">ROUND(((U88-$U$29)+($V$29-V88)),0)</f>
        <v>1</v>
      </c>
      <c r="C88" s="49">
        <f t="shared" ref="C88" si="143">C40</f>
        <v>13</v>
      </c>
      <c r="D88" s="9">
        <v>20</v>
      </c>
      <c r="E88">
        <f t="shared" ref="E88" si="144">ROUND(POWER(A88*D88/100,AM88),0)</f>
        <v>4</v>
      </c>
      <c r="F88" s="50">
        <f>ROUND(G88*0.35+H88*0.65,0)</f>
        <v>287</v>
      </c>
      <c r="G88">
        <f>ROUND((E88+(30+30)/2)*AN88*兵攻防!A88/基本公式!$B$53,0)</f>
        <v>102</v>
      </c>
      <c r="H88" s="51">
        <f>ROUND((E88+(基本公式!$B$181+基本公式!$B$31)/2)*AN88*兵攻防!A88/基本公式!$B$53,0)</f>
        <v>387</v>
      </c>
      <c r="I88" s="9">
        <v>5</v>
      </c>
      <c r="J88">
        <f>ROUND(POWER($A$24*I88/100,$AM$24),0)</f>
        <v>2</v>
      </c>
      <c r="K88" s="2">
        <v>3</v>
      </c>
      <c r="L88">
        <f t="shared" ref="L88" ca="1" si="145">ROUND(30/K88*P88*N88,2)</f>
        <v>13.2</v>
      </c>
      <c r="M88" s="9">
        <v>500</v>
      </c>
      <c r="N88" s="12">
        <f ca="1">OFFSET(其他表格!$G$2,M88/100,0)</f>
        <v>1.2000000000000002</v>
      </c>
      <c r="O88" s="9">
        <v>2</v>
      </c>
      <c r="P88" s="12">
        <f ca="1">OFFSET(其他表格!$B$1,O88,0)</f>
        <v>1.1000000000000001</v>
      </c>
      <c r="Q88">
        <f t="shared" ref="Q88" si="146">ROUND((E88+200)*AN88,2)</f>
        <v>30.6</v>
      </c>
      <c r="R88">
        <f>ROUND(($E$24+200)*$AN$24,2)</f>
        <v>30</v>
      </c>
      <c r="S88">
        <f>ROUND(POWER((E88+200-$J$24-200+AP88),2)/AO88,2)</f>
        <v>42.34</v>
      </c>
      <c r="T88">
        <f>ROUND(POWER(($E$24+200-J88-200+AP88),2)/AO88,2)</f>
        <v>41.33</v>
      </c>
      <c r="U88">
        <f t="shared" ref="U88" ca="1" si="147">ROUND((Q88+S88)*(A88+A88)/AQ88*L88,0)</f>
        <v>10</v>
      </c>
      <c r="V88">
        <f t="shared" ref="V88" ca="1" si="148">ROUND((R88+T88)*(A88+A88)/AQ88*L88,0)</f>
        <v>9</v>
      </c>
      <c r="W88" s="65">
        <f t="shared" ref="W88" ca="1" si="149">MIN(ROUND(U88/A88,4),1)</f>
        <v>0.1</v>
      </c>
      <c r="X88" s="65">
        <f t="shared" ref="X88" ca="1" si="150">MIN(ROUND(V88/A88,4),1)</f>
        <v>0.09</v>
      </c>
      <c r="Y88"/>
      <c r="Z88"/>
      <c r="AA88"/>
      <c r="AB88" s="65"/>
      <c r="AC88"/>
      <c r="AD88" s="66"/>
      <c r="AE88" s="66"/>
      <c r="AF88" s="65"/>
      <c r="AG88" s="66"/>
      <c r="AH88" s="66"/>
      <c r="AI88" s="65"/>
      <c r="AJ88" s="66"/>
      <c r="AK88" s="66"/>
      <c r="AL88" s="65"/>
      <c r="AM88" s="52">
        <v>0.5</v>
      </c>
      <c r="AN88" s="52">
        <v>0.15</v>
      </c>
      <c r="AO88" s="52">
        <v>6000</v>
      </c>
      <c r="AP88" s="52">
        <v>500</v>
      </c>
      <c r="AQ88" s="52">
        <v>20000</v>
      </c>
      <c r="AS88">
        <f t="shared" ref="AS88" ca="1" si="151">ROUND(AT88*AV88,0)</f>
        <v>4</v>
      </c>
      <c r="AT88">
        <f t="shared" ref="AT88" si="152">ROUND(AY88*0.35+AZ88*0.65,0)</f>
        <v>31</v>
      </c>
      <c r="AU88" s="65">
        <f t="shared" ref="AU88" ca="1" si="153">ROUND(AS88/A88,4)</f>
        <v>0.04</v>
      </c>
      <c r="AV88" s="8">
        <f ca="1">ROUND((AW88+其他表格!K4+基本公式!$B$87)*OFFSET(其他表格!$N$1,兵攻防!O88,0)+OFFSET(其他表格!$P$1,M88/100,0),4)</f>
        <v>0.14180000000000001</v>
      </c>
      <c r="AW88" s="54">
        <v>0.1</v>
      </c>
      <c r="AX88" s="9">
        <v>140</v>
      </c>
      <c r="AY88">
        <f t="shared" ref="AY88" si="154">BA88+BC88</f>
        <v>5</v>
      </c>
      <c r="AZ88">
        <f t="shared" ref="AZ88" si="155">BB88+BD88</f>
        <v>45</v>
      </c>
      <c r="BA88">
        <f t="shared" ref="BA88" si="156">ROUND(POWER(AX88/10*(BE88+BG88),2)/BH88*(A88+A88)/AQ88,0)</f>
        <v>4</v>
      </c>
      <c r="BB88" s="17">
        <f t="shared" ref="BB88" si="157">ROUND(POWER(AX88/10*(BF88*2+BG88),2)/BH88*(A88+A88)/AQ88,0)</f>
        <v>12</v>
      </c>
      <c r="BC88">
        <f t="shared" ref="BC88" si="158">ROUND(POWER(AX88/10*(BE88-BF88+BI88),2)/BJ88*(A88+A88)/AQ88,0)</f>
        <v>1</v>
      </c>
      <c r="BD88" s="17">
        <f t="shared" ref="BD88" si="159">ROUND(POWER(AX88/10*(BF88*2-BE88*2+BI88),2)/BJ88*(A88+A88)/AQ88,0)</f>
        <v>33</v>
      </c>
      <c r="BE88">
        <f>基本公式!$B$184</f>
        <v>30</v>
      </c>
      <c r="BF88">
        <f>基本公式!$B$183</f>
        <v>150</v>
      </c>
      <c r="BG88" s="52">
        <v>300</v>
      </c>
      <c r="BH88" s="52">
        <v>60000</v>
      </c>
      <c r="BI88" s="52">
        <v>200</v>
      </c>
      <c r="BJ88" s="52">
        <v>11500</v>
      </c>
    </row>
    <row r="89" spans="1:62">
      <c r="A89">
        <v>200</v>
      </c>
      <c r="B89" s="48">
        <f ca="1">ROUND(((U89-$U$29)+($V$29-V89)),0)</f>
        <v>0</v>
      </c>
      <c r="C89" s="49">
        <f ca="1">C41</f>
        <v>2</v>
      </c>
      <c r="D89" s="9">
        <v>20</v>
      </c>
      <c r="E89">
        <f>ROUND(POWER(A89*D89/100,AM89),0)</f>
        <v>6</v>
      </c>
      <c r="F89" s="50">
        <f t="shared" ref="F89" si="160">ROUND(G89*0.35+H89*0.65,0)</f>
        <v>587</v>
      </c>
      <c r="G89">
        <f>ROUND((E89+(30+30)/2)*AN89*兵攻防!A89/基本公式!$B$53,0)</f>
        <v>216</v>
      </c>
      <c r="H89" s="51">
        <f>ROUND((E89+(基本公式!$B$181+基本公式!$B$31)/2)*AN89*兵攻防!A89/基本公式!$B$53,0)</f>
        <v>786</v>
      </c>
      <c r="I89" s="9">
        <v>5</v>
      </c>
      <c r="J89">
        <f>ROUND(POWER($A$25*I89/100,$AM$25),0)</f>
        <v>3</v>
      </c>
      <c r="K89" s="2">
        <v>3</v>
      </c>
      <c r="L89">
        <f ca="1">ROUND(30/K89*P89*N89,2)</f>
        <v>13.2</v>
      </c>
      <c r="M89" s="9">
        <v>500</v>
      </c>
      <c r="N89" s="12">
        <f ca="1">OFFSET(其他表格!$G$2,M89/100,0)</f>
        <v>1.2000000000000002</v>
      </c>
      <c r="O89" s="9">
        <v>2</v>
      </c>
      <c r="P89" s="12">
        <f ca="1">OFFSET(其他表格!$B$1,O89,0)</f>
        <v>1.1000000000000001</v>
      </c>
      <c r="Q89">
        <f>ROUND((E89+200)*AN89,2)</f>
        <v>30.9</v>
      </c>
      <c r="R89">
        <f>ROUND(($E$25+200)*$AN$25,2)</f>
        <v>30</v>
      </c>
      <c r="S89">
        <f>ROUND(POWER((E89+200-$J$25-200+AP89),2)/AO89,2)</f>
        <v>42.67</v>
      </c>
      <c r="T89">
        <f>ROUND(POWER(($E$25+200-J89-200+AP89),2)/AO89,2)</f>
        <v>41.17</v>
      </c>
      <c r="U89">
        <f ca="1">ROUND((Q89+S89)*(A89+A89)/AQ89*L89,0)</f>
        <v>19</v>
      </c>
      <c r="V89">
        <f ca="1">ROUND((R89+T89)*(A89+A89)/AQ89*L89,0)</f>
        <v>19</v>
      </c>
      <c r="W89" s="65">
        <f ca="1">MIN(ROUND(U89/A89,4),1)</f>
        <v>9.5000000000000001E-2</v>
      </c>
      <c r="X89" s="65">
        <f ca="1">MIN(ROUND(V89/A89,4),1)</f>
        <v>9.5000000000000001E-2</v>
      </c>
      <c r="Y89"/>
      <c r="Z89"/>
      <c r="AA89"/>
      <c r="AB89" s="65"/>
      <c r="AC89"/>
      <c r="AD89" s="66"/>
      <c r="AE89" s="66"/>
      <c r="AF89" s="65"/>
      <c r="AG89" s="66"/>
      <c r="AH89" s="66"/>
      <c r="AI89" s="65"/>
      <c r="AJ89" s="66"/>
      <c r="AK89" s="66"/>
      <c r="AL89" s="65"/>
      <c r="AM89" s="52">
        <v>0.5</v>
      </c>
      <c r="AN89" s="52">
        <v>0.15</v>
      </c>
      <c r="AO89" s="52">
        <v>6000</v>
      </c>
      <c r="AP89" s="52">
        <v>500</v>
      </c>
      <c r="AQ89" s="52">
        <v>20000</v>
      </c>
      <c r="AS89">
        <f ca="1">ROUND(AT89*AV89,0)</f>
        <v>9</v>
      </c>
      <c r="AT89">
        <f>ROUND(AY89*0.35+AZ89*0.65,0)</f>
        <v>62</v>
      </c>
      <c r="AU89" s="65">
        <f ca="1">ROUND(AS89/A89,4)</f>
        <v>4.4999999999999998E-2</v>
      </c>
      <c r="AV89" s="8">
        <f ca="1">ROUND((AW89+其他表格!K5+基本公式!$B$87)*OFFSET(其他表格!$N$1,兵攻防!O89,0)+OFFSET(其他表格!$P$1,M89/100,0),4)</f>
        <v>0.15290000000000001</v>
      </c>
      <c r="AW89" s="54">
        <v>0.1</v>
      </c>
      <c r="AX89" s="9">
        <v>140</v>
      </c>
      <c r="AY89">
        <f t="shared" ref="AY89:AZ93" si="161">BA89+BC89</f>
        <v>9</v>
      </c>
      <c r="AZ89">
        <f t="shared" si="161"/>
        <v>90</v>
      </c>
      <c r="BA89">
        <f>ROUND(POWER(AX89/10*(BE89+BG89),2)/BH89*(A89+A89)/AQ89,0)</f>
        <v>7</v>
      </c>
      <c r="BB89" s="17">
        <f>ROUND(POWER(AX89/10*(BF89*2+BG89),2)/BH89*(A89+A89)/AQ89,0)</f>
        <v>24</v>
      </c>
      <c r="BC89">
        <f>ROUND(POWER(AX89/10*(BE89-BF89+BI89),2)/BJ89*(A89+A89)/AQ89,0)</f>
        <v>2</v>
      </c>
      <c r="BD89" s="17">
        <f>ROUND(POWER(AX89/10*(BF89*2-BE89*2+BI89),2)/BJ89*(A89+A89)/AQ89,0)</f>
        <v>66</v>
      </c>
      <c r="BE89">
        <f>基本公式!$B$184</f>
        <v>30</v>
      </c>
      <c r="BF89">
        <f>基本公式!$B$183</f>
        <v>150</v>
      </c>
      <c r="BG89" s="52">
        <v>300</v>
      </c>
      <c r="BH89" s="52">
        <v>60000</v>
      </c>
      <c r="BI89" s="52">
        <v>200</v>
      </c>
      <c r="BJ89" s="52">
        <v>11500</v>
      </c>
    </row>
    <row r="90" spans="1:62">
      <c r="A90">
        <v>500</v>
      </c>
      <c r="B90" s="48">
        <f ca="1">ROUND(((U90-$U$29)+($V$29-V90)),0)</f>
        <v>2</v>
      </c>
      <c r="C90" s="49">
        <f ca="1">C42</f>
        <v>3</v>
      </c>
      <c r="D90" s="9">
        <v>20</v>
      </c>
      <c r="E90">
        <f>ROUND(POWER(A90*D90/100,AM90),0)</f>
        <v>10</v>
      </c>
      <c r="F90" s="50">
        <f>ROUND(G90*0.35+H90*0.65,0)</f>
        <v>1526</v>
      </c>
      <c r="G90">
        <f>ROUND((E90+(30+30)/2)*AN90*兵攻防!A90/基本公式!$B$53,0)</f>
        <v>600</v>
      </c>
      <c r="H90" s="51">
        <f>ROUND((E90+(基本公式!$B$181+基本公式!$B$31)/2)*AN90*兵攻防!A90/基本公式!$B$53,0)</f>
        <v>2025</v>
      </c>
      <c r="I90" s="9">
        <v>5</v>
      </c>
      <c r="J90">
        <f>ROUND(POWER($A$26*I90/100,$AM$26),0)</f>
        <v>5</v>
      </c>
      <c r="K90" s="2">
        <v>3</v>
      </c>
      <c r="L90">
        <f ca="1">ROUND(30/K90*P90*N90,2)</f>
        <v>13.2</v>
      </c>
      <c r="M90" s="9">
        <v>500</v>
      </c>
      <c r="N90" s="12">
        <f ca="1">OFFSET(其他表格!$G$2,M90/100,0)</f>
        <v>1.2000000000000002</v>
      </c>
      <c r="O90" s="9">
        <v>2</v>
      </c>
      <c r="P90" s="12">
        <f ca="1">OFFSET(其他表格!$B$1,O90,0)</f>
        <v>1.1000000000000001</v>
      </c>
      <c r="Q90">
        <f>ROUND((E90+200)*AN90,2)</f>
        <v>31.5</v>
      </c>
      <c r="R90">
        <f>ROUND(($E$26+200)*$AN$26,2)</f>
        <v>30</v>
      </c>
      <c r="S90">
        <f>ROUND(POWER((E90+200-$J$26-200+AP90),2)/AO90,2)</f>
        <v>43.35</v>
      </c>
      <c r="T90">
        <f>ROUND(POWER(($E$26+200-J90-200+AP90),2)/AO90,2)</f>
        <v>40.840000000000003</v>
      </c>
      <c r="U90">
        <f ca="1">ROUND((Q90+S90)*(A90+A90)/AQ90*L90,0)</f>
        <v>49</v>
      </c>
      <c r="V90">
        <f ca="1">ROUND((R90+T90)*(A90+A90)/AQ90*L90,0)</f>
        <v>47</v>
      </c>
      <c r="W90" s="65">
        <f ca="1">MIN(ROUND(U90/A90,4),1)</f>
        <v>9.8000000000000004E-2</v>
      </c>
      <c r="X90" s="65">
        <f ca="1">MIN(ROUND(V90/A90,4),1)</f>
        <v>9.4E-2</v>
      </c>
      <c r="Y90"/>
      <c r="Z90"/>
      <c r="AA90"/>
      <c r="AB90" s="65"/>
      <c r="AC90"/>
      <c r="AD90" s="66"/>
      <c r="AE90" s="66"/>
      <c r="AF90" s="65"/>
      <c r="AG90" s="66"/>
      <c r="AH90" s="66"/>
      <c r="AI90" s="65"/>
      <c r="AJ90" s="66"/>
      <c r="AK90" s="66"/>
      <c r="AL90" s="65"/>
      <c r="AM90" s="52">
        <v>0.5</v>
      </c>
      <c r="AN90" s="52">
        <v>0.15</v>
      </c>
      <c r="AO90" s="52">
        <v>6000</v>
      </c>
      <c r="AP90" s="52">
        <v>500</v>
      </c>
      <c r="AQ90" s="52">
        <v>20000</v>
      </c>
      <c r="AS90">
        <f ca="1">ROUND(AT90*AV90,0)</f>
        <v>25</v>
      </c>
      <c r="AT90">
        <f>ROUND(AY90*0.35+AZ90*0.65,0)</f>
        <v>154</v>
      </c>
      <c r="AU90" s="65">
        <f ca="1">ROUND(AS90/A90,4)</f>
        <v>0.05</v>
      </c>
      <c r="AV90" s="8">
        <f ca="1">ROUND((AW90+其他表格!K6+基本公式!$B$87)*OFFSET(其他表格!$N$1,兵攻防!O90,0)+OFFSET(其他表格!$P$1,M90/100,0),4)</f>
        <v>0.16400000000000001</v>
      </c>
      <c r="AW90" s="54">
        <v>0.1</v>
      </c>
      <c r="AX90" s="9">
        <v>140</v>
      </c>
      <c r="AY90">
        <f t="shared" si="161"/>
        <v>23</v>
      </c>
      <c r="AZ90">
        <f t="shared" si="161"/>
        <v>224</v>
      </c>
      <c r="BA90">
        <f>ROUND(POWER(AX90/10*(BE90+BG90),2)/BH90*(A90+A90)/AQ90,0)</f>
        <v>18</v>
      </c>
      <c r="BB90" s="17">
        <f>ROUND(POWER(AX90/10*(BF90*2+BG90),2)/BH90*(A90+A90)/AQ90,0)</f>
        <v>59</v>
      </c>
      <c r="BC90">
        <f>ROUND(POWER(AX90/10*(BE90-BF90+BI90),2)/BJ90*(A90+A90)/AQ90,0)</f>
        <v>5</v>
      </c>
      <c r="BD90" s="17">
        <f>ROUND(POWER(AX90/10*(BF90*2-BE90*2+BI90),2)/BJ90*(A90+A90)/AQ90,0)</f>
        <v>165</v>
      </c>
      <c r="BE90">
        <f>基本公式!$B$184</f>
        <v>30</v>
      </c>
      <c r="BF90">
        <f>基本公式!$B$183</f>
        <v>150</v>
      </c>
      <c r="BG90" s="52">
        <v>300</v>
      </c>
      <c r="BH90" s="52">
        <v>60000</v>
      </c>
      <c r="BI90" s="52">
        <v>200</v>
      </c>
      <c r="BJ90" s="52">
        <v>11500</v>
      </c>
    </row>
    <row r="91" spans="1:62">
      <c r="A91">
        <v>1000</v>
      </c>
      <c r="B91" s="48">
        <f ca="1">ROUND(((U91-$U$29)+($V$29-V91)),0)</f>
        <v>7</v>
      </c>
      <c r="C91" s="49">
        <f ca="1">C43</f>
        <v>9</v>
      </c>
      <c r="D91" s="9">
        <v>20</v>
      </c>
      <c r="E91">
        <f>ROUND(POWER(A91*D91/100,AM91),0)</f>
        <v>14</v>
      </c>
      <c r="F91" s="50">
        <f>ROUND(G91*0.35+H91*0.65,0)</f>
        <v>3173</v>
      </c>
      <c r="G91">
        <f>ROUND((E91+(30+30)/2)*AN91*兵攻防!A91/基本公式!$B$53,0)</f>
        <v>1320</v>
      </c>
      <c r="H91" s="51">
        <f>ROUND((E91+(基本公式!$B$181+基本公式!$B$31)/2)*AN91*兵攻防!A91/基本公式!$B$53,0)</f>
        <v>4170</v>
      </c>
      <c r="I91" s="9">
        <v>5</v>
      </c>
      <c r="J91">
        <f>ROUND(POWER($A$27*I91/100,$AM$27),0)</f>
        <v>7</v>
      </c>
      <c r="K91" s="2">
        <v>3</v>
      </c>
      <c r="L91">
        <f ca="1">ROUND(30/K91*P91*N91,2)</f>
        <v>13.2</v>
      </c>
      <c r="M91" s="9">
        <v>500</v>
      </c>
      <c r="N91" s="12">
        <f ca="1">OFFSET(其他表格!$G$2,M91/100,0)</f>
        <v>1.2000000000000002</v>
      </c>
      <c r="O91" s="9">
        <v>2</v>
      </c>
      <c r="P91" s="12">
        <f ca="1">OFFSET(其他表格!$B$1,O91,0)</f>
        <v>1.1000000000000001</v>
      </c>
      <c r="Q91">
        <f>ROUND((E91+200)*AN91,2)</f>
        <v>32.1</v>
      </c>
      <c r="R91">
        <f>ROUND(($E$27+200)*$AN$27,2)</f>
        <v>30</v>
      </c>
      <c r="S91">
        <f>ROUND(POWER((E91+200-$J$27-200+AP91),2)/AO91,2)</f>
        <v>44.03</v>
      </c>
      <c r="T91">
        <f>ROUND(POWER(($E$27+200-J91-200+AP91),2)/AO91,2)</f>
        <v>40.51</v>
      </c>
      <c r="U91">
        <f ca="1">ROUND((Q91+S91)*(A91+A91)/AQ91*L91,0)</f>
        <v>100</v>
      </c>
      <c r="V91">
        <f ca="1">ROUND((R91+T91)*(A91+A91)/AQ91*L91,0)</f>
        <v>93</v>
      </c>
      <c r="W91" s="65">
        <f ca="1">MIN(ROUND(U91/A91,4),1)</f>
        <v>0.1</v>
      </c>
      <c r="X91" s="65">
        <f ca="1">MIN(ROUND(V91/A91,4),1)</f>
        <v>9.2999999999999999E-2</v>
      </c>
      <c r="Y91"/>
      <c r="Z91"/>
      <c r="AA91"/>
      <c r="AB91" s="65"/>
      <c r="AC91"/>
      <c r="AD91" s="66"/>
      <c r="AE91" s="66"/>
      <c r="AF91" s="65"/>
      <c r="AG91" s="66"/>
      <c r="AH91" s="66"/>
      <c r="AI91" s="65"/>
      <c r="AJ91" s="66"/>
      <c r="AK91" s="66"/>
      <c r="AL91" s="65"/>
      <c r="AM91" s="52">
        <v>0.5</v>
      </c>
      <c r="AN91" s="52">
        <v>0.15</v>
      </c>
      <c r="AO91" s="52">
        <v>6000</v>
      </c>
      <c r="AP91" s="52">
        <v>500</v>
      </c>
      <c r="AQ91" s="52">
        <v>20000</v>
      </c>
      <c r="AS91">
        <f ca="1">ROUND(AT91*AV91,0)</f>
        <v>54</v>
      </c>
      <c r="AT91">
        <f>ROUND(AY91*0.35+AZ91*0.65,0)</f>
        <v>308</v>
      </c>
      <c r="AU91" s="65">
        <f ca="1">ROUND(AS91/A91,4)</f>
        <v>5.3999999999999999E-2</v>
      </c>
      <c r="AV91" s="8">
        <f ca="1">ROUND((AW91+其他表格!K7+基本公式!$B$87)*OFFSET(其他表格!$N$1,兵攻防!O91,0)+OFFSET(其他表格!$P$1,M91/100,0),4)</f>
        <v>0.17510000000000001</v>
      </c>
      <c r="AW91" s="54">
        <v>0.1</v>
      </c>
      <c r="AX91" s="9">
        <v>140</v>
      </c>
      <c r="AY91">
        <f t="shared" si="161"/>
        <v>47</v>
      </c>
      <c r="AZ91">
        <f t="shared" si="161"/>
        <v>448</v>
      </c>
      <c r="BA91">
        <f>ROUND(POWER(AX91/10*(BE91+BG91),2)/BH91*(A91+A91)/AQ91,0)</f>
        <v>36</v>
      </c>
      <c r="BB91" s="17">
        <f>ROUND(POWER(AX91/10*(BF91*2+BG91),2)/BH91*(A91+A91)/AQ91,0)</f>
        <v>118</v>
      </c>
      <c r="BC91">
        <f>ROUND(POWER(AX91/10*(BE91-BF91+BI91),2)/BJ91*(A91+A91)/AQ91,0)</f>
        <v>11</v>
      </c>
      <c r="BD91" s="17">
        <f>ROUND(POWER(AX91/10*(BF91*2-BE91*2+BI91),2)/BJ91*(A91+A91)/AQ91,0)</f>
        <v>330</v>
      </c>
      <c r="BE91">
        <f>基本公式!$B$184</f>
        <v>30</v>
      </c>
      <c r="BF91">
        <f>基本公式!$B$183</f>
        <v>150</v>
      </c>
      <c r="BG91" s="52">
        <v>300</v>
      </c>
      <c r="BH91" s="52">
        <v>60000</v>
      </c>
      <c r="BI91" s="52">
        <v>200</v>
      </c>
      <c r="BJ91" s="52">
        <v>11500</v>
      </c>
    </row>
    <row r="92" spans="1:62">
      <c r="A92">
        <v>2000</v>
      </c>
      <c r="B92" s="48">
        <f ca="1">ROUND(((U92-$U$29)+($V$29-V92)),0)</f>
        <v>21</v>
      </c>
      <c r="C92" s="49">
        <f ca="1">C44</f>
        <v>22</v>
      </c>
      <c r="D92" s="9">
        <v>20</v>
      </c>
      <c r="E92">
        <f>ROUND(POWER(A92*D92/100,AM92),0)</f>
        <v>20</v>
      </c>
      <c r="F92" s="50">
        <f>ROUND(G92*0.35+H92*0.65,0)</f>
        <v>6705</v>
      </c>
      <c r="G92">
        <f>ROUND((E92+(30+30)/2)*AN92*兵攻防!A92/基本公式!$B$53,0)</f>
        <v>3000</v>
      </c>
      <c r="H92" s="51">
        <f>ROUND((E92+(基本公式!$B$181+基本公式!$B$31)/2)*AN92*兵攻防!A92/基本公式!$B$53,0)</f>
        <v>8700</v>
      </c>
      <c r="I92" s="9">
        <v>5</v>
      </c>
      <c r="J92">
        <f>ROUND(POWER($A$28*I92/100,$AM$28),0)</f>
        <v>10</v>
      </c>
      <c r="K92" s="2">
        <v>3</v>
      </c>
      <c r="L92">
        <f ca="1">ROUND(30/K92*P92*N92,2)</f>
        <v>13.2</v>
      </c>
      <c r="M92" s="9">
        <v>500</v>
      </c>
      <c r="N92" s="12">
        <f ca="1">OFFSET(其他表格!$G$2,M92/100,0)</f>
        <v>1.2000000000000002</v>
      </c>
      <c r="O92" s="9">
        <v>2</v>
      </c>
      <c r="P92" s="12">
        <f ca="1">OFFSET(其他表格!$B$1,O92,0)</f>
        <v>1.1000000000000001</v>
      </c>
      <c r="Q92">
        <f>ROUND((E92+200)*AN92,2)</f>
        <v>33</v>
      </c>
      <c r="R92">
        <f>ROUND(($E$28+200)*$AN$28,2)</f>
        <v>30</v>
      </c>
      <c r="S92">
        <f>ROUND(POWER((E92+200-$J$28-200+AP92),2)/AO92,2)</f>
        <v>45.07</v>
      </c>
      <c r="T92">
        <f>ROUND(POWER(($E$28+200-J92-200+AP92),2)/AO92,2)</f>
        <v>40.020000000000003</v>
      </c>
      <c r="U92">
        <f ca="1">ROUND((Q92+S92)*(A92+A92)/AQ92*L92,0)</f>
        <v>206</v>
      </c>
      <c r="V92">
        <f ca="1">ROUND((R92+T92)*(A92+A92)/AQ92*L92,0)</f>
        <v>185</v>
      </c>
      <c r="W92" s="65">
        <f ca="1">MIN(ROUND(U92/A92,4),1)</f>
        <v>0.10299999999999999</v>
      </c>
      <c r="X92" s="65">
        <f ca="1">MIN(ROUND(V92/A92,4),1)</f>
        <v>9.2499999999999999E-2</v>
      </c>
      <c r="Y92"/>
      <c r="Z92"/>
      <c r="AA92"/>
      <c r="AB92" s="65"/>
      <c r="AC92"/>
      <c r="AD92" s="66"/>
      <c r="AE92" s="66"/>
      <c r="AF92" s="65"/>
      <c r="AG92" s="66"/>
      <c r="AH92" s="66"/>
      <c r="AI92" s="65"/>
      <c r="AJ92" s="66"/>
      <c r="AK92" s="66"/>
      <c r="AL92" s="65"/>
      <c r="AM92" s="52">
        <v>0.5</v>
      </c>
      <c r="AN92" s="52">
        <v>0.15</v>
      </c>
      <c r="AO92" s="52">
        <v>6000</v>
      </c>
      <c r="AP92" s="52">
        <v>500</v>
      </c>
      <c r="AQ92" s="52">
        <v>20000</v>
      </c>
      <c r="AS92">
        <f ca="1">ROUND(AT92*AV92,0)</f>
        <v>115</v>
      </c>
      <c r="AT92">
        <f>ROUND(AY92*0.35+AZ92*0.65,0)</f>
        <v>614</v>
      </c>
      <c r="AU92" s="65">
        <f ca="1">ROUND(AS92/A92,4)</f>
        <v>5.7500000000000002E-2</v>
      </c>
      <c r="AV92" s="8">
        <f ca="1">ROUND((AW92+其他表格!K8+基本公式!$B$87)*OFFSET(其他表格!$N$1,兵攻防!O92,0)+OFFSET(其他表格!$P$1,M92/100,0),4)</f>
        <v>0.188</v>
      </c>
      <c r="AW92" s="54">
        <v>0.1</v>
      </c>
      <c r="AX92" s="9">
        <v>140</v>
      </c>
      <c r="AY92">
        <f t="shared" si="161"/>
        <v>93</v>
      </c>
      <c r="AZ92">
        <f t="shared" si="161"/>
        <v>895</v>
      </c>
      <c r="BA92">
        <f>ROUND(POWER(AX92/10*(BE92+BG92),2)/BH92*(A92+A92)/AQ92,0)</f>
        <v>71</v>
      </c>
      <c r="BB92" s="17">
        <f>ROUND(POWER(AX92/10*(BF92*2+BG92),2)/BH92*(A92+A92)/AQ92,0)</f>
        <v>235</v>
      </c>
      <c r="BC92">
        <f>ROUND(POWER(AX92/10*(BE92-BF92+BI92),2)/BJ92*(A92+A92)/AQ92,0)</f>
        <v>22</v>
      </c>
      <c r="BD92" s="17">
        <f>ROUND(POWER(AX92/10*(BF92*2-BE92*2+BI92),2)/BJ92*(A92+A92)/AQ92,0)</f>
        <v>660</v>
      </c>
      <c r="BE92">
        <f>基本公式!$B$184</f>
        <v>30</v>
      </c>
      <c r="BF92">
        <f>基本公式!$B$183</f>
        <v>150</v>
      </c>
      <c r="BG92" s="52">
        <v>300</v>
      </c>
      <c r="BH92" s="52">
        <v>60000</v>
      </c>
      <c r="BI92" s="52">
        <v>200</v>
      </c>
      <c r="BJ92" s="52">
        <v>11500</v>
      </c>
    </row>
    <row r="93" spans="1:62">
      <c r="A93">
        <v>5000</v>
      </c>
      <c r="B93" s="48">
        <f ca="1">ROUND(((U93-$U$29)+($V$29-V93)),0)</f>
        <v>85</v>
      </c>
      <c r="C93" s="49">
        <f ca="1">C45</f>
        <v>85</v>
      </c>
      <c r="D93" s="9">
        <v>20</v>
      </c>
      <c r="E93">
        <f>ROUND(POWER(A93*D93/100,AM93),0)</f>
        <v>32</v>
      </c>
      <c r="F93" s="50">
        <f>ROUND(G93*0.35+H93*0.65,0)</f>
        <v>18563</v>
      </c>
      <c r="G93">
        <f>ROUND((E93+(30+30)/2)*AN93*兵攻防!A93/基本公式!$B$53,0)</f>
        <v>9300</v>
      </c>
      <c r="H93" s="51">
        <f>ROUND((E93+(基本公式!$B$181+基本公式!$B$31)/2)*AN93*兵攻防!A93/基本公式!$B$53,0)</f>
        <v>23550</v>
      </c>
      <c r="I93" s="9">
        <v>5</v>
      </c>
      <c r="J93">
        <f>ROUND(POWER($A$29*I93/100,$AM$29),0)</f>
        <v>16</v>
      </c>
      <c r="K93" s="2">
        <v>3</v>
      </c>
      <c r="L93">
        <f ca="1">ROUND(30/K93*P93*N93,2)</f>
        <v>13.2</v>
      </c>
      <c r="M93" s="9">
        <v>500</v>
      </c>
      <c r="N93" s="12">
        <f ca="1">OFFSET(其他表格!$G$2,M93/100,0)</f>
        <v>1.2000000000000002</v>
      </c>
      <c r="O93" s="9">
        <v>2</v>
      </c>
      <c r="P93" s="12">
        <f ca="1">OFFSET(其他表格!$B$1,O93,0)</f>
        <v>1.1000000000000001</v>
      </c>
      <c r="Q93">
        <f>ROUND((E93+200)*AN93,2)</f>
        <v>34.799999999999997</v>
      </c>
      <c r="R93">
        <f>ROUND(($E$29+200)*$AN$29,2)</f>
        <v>30</v>
      </c>
      <c r="S93">
        <f>ROUND(POWER((E93+200-$J$29-200+AP93),2)/AO93,2)</f>
        <v>47.17</v>
      </c>
      <c r="T93">
        <f>ROUND(POWER(($E$29+200-J93-200+AP93),2)/AO93,2)</f>
        <v>39.04</v>
      </c>
      <c r="U93">
        <f ca="1">ROUND((Q93+S93)*(A93+A93)/AQ93*L93,0)</f>
        <v>541</v>
      </c>
      <c r="V93">
        <f ca="1">ROUND((R93+T93)*(A93+A93)/AQ93*L93,0)</f>
        <v>456</v>
      </c>
      <c r="W93" s="65">
        <f ca="1">MIN(ROUND(U93/A93,4),1)</f>
        <v>0.1082</v>
      </c>
      <c r="X93" s="65">
        <f ca="1">MIN(ROUND(V93/A93,4),1)</f>
        <v>9.1200000000000003E-2</v>
      </c>
      <c r="Y93"/>
      <c r="Z93"/>
      <c r="AA93"/>
      <c r="AB93" s="65"/>
      <c r="AC93"/>
      <c r="AD93" s="66"/>
      <c r="AE93" s="66"/>
      <c r="AF93" s="65"/>
      <c r="AG93" s="66"/>
      <c r="AH93" s="66"/>
      <c r="AI93" s="65"/>
      <c r="AJ93" s="66"/>
      <c r="AK93" s="66"/>
      <c r="AL93" s="65"/>
      <c r="AM93" s="52">
        <v>0.5</v>
      </c>
      <c r="AN93" s="52">
        <v>0.15</v>
      </c>
      <c r="AO93" s="52">
        <v>6000</v>
      </c>
      <c r="AP93" s="52">
        <v>500</v>
      </c>
      <c r="AQ93" s="52">
        <v>20000</v>
      </c>
      <c r="AS93">
        <f ca="1">ROUND(AT93*AV93,0)</f>
        <v>312</v>
      </c>
      <c r="AT93">
        <f>ROUND(AY93*0.35+AZ93*0.65,0)</f>
        <v>1536</v>
      </c>
      <c r="AU93" s="65">
        <f ca="1">ROUND(AS93/A93,4)</f>
        <v>6.2399999999999997E-2</v>
      </c>
      <c r="AV93" s="8">
        <f ca="1">ROUND((AW93+其他表格!K9+基本公式!$B$87)*OFFSET(其他表格!$N$1,兵攻防!O93,0)+OFFSET(其他表格!$P$1,M93/100,0),4)</f>
        <v>0.20280000000000001</v>
      </c>
      <c r="AW93" s="54">
        <v>0.1</v>
      </c>
      <c r="AX93" s="9">
        <v>140</v>
      </c>
      <c r="AY93">
        <f t="shared" si="161"/>
        <v>233</v>
      </c>
      <c r="AZ93">
        <f t="shared" si="161"/>
        <v>2238</v>
      </c>
      <c r="BA93">
        <f>ROUND(POWER(AX93/10*(BE93+BG93),2)/BH93*(A93+A93)/AQ93,0)</f>
        <v>178</v>
      </c>
      <c r="BB93" s="17">
        <f>ROUND(POWER(AX93/10*(BF93*2+BG93),2)/BH93*(A93+A93)/AQ93,0)</f>
        <v>588</v>
      </c>
      <c r="BC93">
        <f>ROUND(POWER(AX93/10*(BE93-BF93+BI93),2)/BJ93*(A93+A93)/AQ93,0)</f>
        <v>55</v>
      </c>
      <c r="BD93" s="17">
        <f>ROUND(POWER(AX93/10*(BF93*2-BE93*2+BI93),2)/BJ93*(A93+A93)/AQ93,0)</f>
        <v>1650</v>
      </c>
      <c r="BE93">
        <f>基本公式!$B$184</f>
        <v>30</v>
      </c>
      <c r="BF93">
        <f>基本公式!$B$183</f>
        <v>150</v>
      </c>
      <c r="BG93" s="52">
        <v>300</v>
      </c>
      <c r="BH93" s="52">
        <v>60000</v>
      </c>
      <c r="BI93" s="52">
        <v>200</v>
      </c>
      <c r="BJ93" s="52">
        <v>11500</v>
      </c>
    </row>
    <row r="95" spans="1:62" s="47" customFormat="1">
      <c r="A95" s="47" t="s">
        <v>179</v>
      </c>
      <c r="B95" s="61" t="s">
        <v>163</v>
      </c>
      <c r="C95" s="61" t="s">
        <v>180</v>
      </c>
      <c r="F95" s="62"/>
      <c r="H95" s="63"/>
      <c r="K95" s="64"/>
      <c r="AR95" s="69"/>
      <c r="AV95" s="49"/>
      <c r="AW95" s="72"/>
      <c r="AX95" s="73"/>
      <c r="BB95" s="74"/>
      <c r="BD95" s="74"/>
      <c r="BG95" s="52"/>
      <c r="BH95" s="52"/>
    </row>
    <row r="96" spans="1:62">
      <c r="A96">
        <v>100</v>
      </c>
      <c r="B96" s="48">
        <f t="shared" ref="B96" ca="1" si="162">ROUND(((U96-$U$29)+($V$29-V96)),0)</f>
        <v>1</v>
      </c>
      <c r="C96" s="49">
        <f t="shared" ref="C96" si="163">C48</f>
        <v>22</v>
      </c>
      <c r="D96" s="9">
        <v>54</v>
      </c>
      <c r="E96">
        <f t="shared" ref="E96" si="164">ROUND(POWER(A96*D96/100,AM96),0)</f>
        <v>7</v>
      </c>
      <c r="F96" s="50">
        <f>ROUND(G96*0.35+H96*0.65,0)</f>
        <v>296</v>
      </c>
      <c r="G96">
        <f>ROUND((E96+(30+30)/2)*AN96*兵攻防!A96/基本公式!$B$53,0)</f>
        <v>111</v>
      </c>
      <c r="H96" s="51">
        <f>ROUND((E96+(基本公式!$B$181+基本公式!$B$31)/2)*AN96*兵攻防!A96/基本公式!$B$53,0)</f>
        <v>396</v>
      </c>
      <c r="I96" s="9">
        <v>20</v>
      </c>
      <c r="J96">
        <f>ROUND(POWER($A$24*I96/100,$AM$24),0)</f>
        <v>4</v>
      </c>
      <c r="K96" s="2">
        <v>3</v>
      </c>
      <c r="L96">
        <f t="shared" ref="L96" ca="1" si="165">ROUND(30/K96*P96*N96,2)</f>
        <v>13.2</v>
      </c>
      <c r="M96" s="9">
        <v>550</v>
      </c>
      <c r="N96" s="12">
        <f ca="1">OFFSET(其他表格!$G$2,M96/100,0)</f>
        <v>1.2000000000000002</v>
      </c>
      <c r="O96" s="9">
        <v>2</v>
      </c>
      <c r="P96" s="12">
        <f ca="1">OFFSET(其他表格!$B$1,O96,0)</f>
        <v>1.1000000000000001</v>
      </c>
      <c r="Q96">
        <f t="shared" ref="Q96" si="166">ROUND((E96+200)*AN96,2)</f>
        <v>31.05</v>
      </c>
      <c r="R96">
        <f>ROUND(($E$24+200)*$AN$24,2)</f>
        <v>30</v>
      </c>
      <c r="S96">
        <f>ROUND(POWER((E96+200-$J$24-200+AP96),2)/AO96,2)</f>
        <v>42.84</v>
      </c>
      <c r="T96">
        <f>ROUND(POWER(($E$24+200-J96-200+AP96),2)/AO96,2)</f>
        <v>41</v>
      </c>
      <c r="U96">
        <f t="shared" ref="U96" ca="1" si="167">ROUND((Q96+S96)*(A96+A96)/AQ96*L96,0)</f>
        <v>10</v>
      </c>
      <c r="V96">
        <f t="shared" ref="V96" ca="1" si="168">ROUND((R96+T96)*(A96+A96)/AQ96*L96,0)</f>
        <v>9</v>
      </c>
      <c r="W96" s="65">
        <f t="shared" ref="W96" ca="1" si="169">MIN(ROUND(U96/A96,4),1)</f>
        <v>0.1</v>
      </c>
      <c r="X96" s="65">
        <f t="shared" ref="X96" ca="1" si="170">MIN(ROUND(V96/A96,4),1)</f>
        <v>0.09</v>
      </c>
      <c r="Y96"/>
      <c r="Z96"/>
      <c r="AA96"/>
      <c r="AB96" s="65"/>
      <c r="AC96"/>
      <c r="AD96" s="66"/>
      <c r="AE96" s="66"/>
      <c r="AF96" s="65"/>
      <c r="AG96" s="66"/>
      <c r="AH96" s="66"/>
      <c r="AI96" s="65"/>
      <c r="AJ96" s="66"/>
      <c r="AK96" s="66"/>
      <c r="AL96" s="65"/>
      <c r="AM96" s="52">
        <v>0.5</v>
      </c>
      <c r="AN96" s="52">
        <v>0.15</v>
      </c>
      <c r="AO96" s="52">
        <v>6000</v>
      </c>
      <c r="AP96" s="52">
        <v>500</v>
      </c>
      <c r="AQ96" s="52">
        <v>20000</v>
      </c>
      <c r="AS96">
        <f t="shared" ref="AS96" ca="1" si="171">ROUND(AT96*AV96,0)</f>
        <v>9</v>
      </c>
      <c r="AT96">
        <f t="shared" ref="AT96" si="172">ROUND(AY96*0.35+AZ96*0.65,0)</f>
        <v>60</v>
      </c>
      <c r="AU96" s="65">
        <f t="shared" ref="AU96" ca="1" si="173">ROUND(AS96/A96,4)</f>
        <v>0.09</v>
      </c>
      <c r="AV96" s="8">
        <f ca="1">ROUND((AW96+其他表格!K4+基本公式!$B$87)*OFFSET(其他表格!$N$1,兵攻防!O96,0)+OFFSET(其他表格!$P$1,M96/100,0),4)</f>
        <v>0.14180000000000001</v>
      </c>
      <c r="AW96" s="54">
        <v>0.1</v>
      </c>
      <c r="AX96" s="9">
        <v>195</v>
      </c>
      <c r="AY96">
        <f t="shared" ref="AY96" si="174">BA96+BC96</f>
        <v>9</v>
      </c>
      <c r="AZ96">
        <f t="shared" ref="AZ96" si="175">BB96+BD96</f>
        <v>87</v>
      </c>
      <c r="BA96">
        <f t="shared" ref="BA96" si="176">ROUND(POWER(AX96/10*(BE96+BG96),2)/BH96*(A96+A96)/AQ96,0)</f>
        <v>7</v>
      </c>
      <c r="BB96" s="17">
        <f t="shared" ref="BB96" si="177">ROUND(POWER(AX96/10*(BF96*2+BG96),2)/BH96*(A96+A96)/AQ96,0)</f>
        <v>23</v>
      </c>
      <c r="BC96">
        <f t="shared" ref="BC96" si="178">ROUND(POWER(AX96/10*(BE96-BF96+BI96),2)/BJ96*(A96+A96)/AQ96,0)</f>
        <v>2</v>
      </c>
      <c r="BD96" s="17">
        <f t="shared" ref="BD96" si="179">ROUND(POWER(AX96/10*(BF96*2-BE96*2+BI96),2)/BJ96*(A96+A96)/AQ96,0)</f>
        <v>64</v>
      </c>
      <c r="BE96">
        <f>基本公式!$B$184</f>
        <v>30</v>
      </c>
      <c r="BF96">
        <f>基本公式!$B$183</f>
        <v>150</v>
      </c>
      <c r="BG96" s="52">
        <v>300</v>
      </c>
      <c r="BH96" s="52">
        <v>60000</v>
      </c>
      <c r="BI96" s="52">
        <v>200</v>
      </c>
      <c r="BJ96" s="52">
        <v>11500</v>
      </c>
    </row>
    <row r="97" spans="1:62">
      <c r="A97">
        <v>200</v>
      </c>
      <c r="B97" s="48">
        <f ca="1">ROUND(((U97-$U$29)+($V$29-V97)),0)</f>
        <v>1</v>
      </c>
      <c r="C97" s="49">
        <f ca="1">C49</f>
        <v>3</v>
      </c>
      <c r="D97" s="9">
        <v>54</v>
      </c>
      <c r="E97">
        <f>ROUND(POWER(A97*D97/100,AM97),0)</f>
        <v>10</v>
      </c>
      <c r="F97" s="50">
        <f t="shared" ref="F97" si="180">ROUND(G97*0.35+H97*0.65,0)</f>
        <v>611</v>
      </c>
      <c r="G97">
        <f>ROUND((E97+(30+30)/2)*AN97*兵攻防!A97/基本公式!$B$53,0)</f>
        <v>240</v>
      </c>
      <c r="H97" s="51">
        <f>ROUND((E97+(基本公式!$B$181+基本公式!$B$31)/2)*AN97*兵攻防!A97/基本公式!$B$53,0)</f>
        <v>810</v>
      </c>
      <c r="I97" s="9">
        <v>20</v>
      </c>
      <c r="J97">
        <f>ROUND(POWER($A$25*I97/100,$AM$25),0)</f>
        <v>6</v>
      </c>
      <c r="K97" s="2">
        <v>3</v>
      </c>
      <c r="L97">
        <f ca="1">ROUND(30/K97*P97*N97,2)</f>
        <v>13.2</v>
      </c>
      <c r="M97" s="9">
        <v>550</v>
      </c>
      <c r="N97" s="12">
        <f ca="1">OFFSET(其他表格!$G$2,M97/100,0)</f>
        <v>1.2000000000000002</v>
      </c>
      <c r="O97" s="9">
        <v>2</v>
      </c>
      <c r="P97" s="12">
        <f ca="1">OFFSET(其他表格!$B$1,O97,0)</f>
        <v>1.1000000000000001</v>
      </c>
      <c r="Q97">
        <f>ROUND((E97+200)*AN97,2)</f>
        <v>31.5</v>
      </c>
      <c r="R97">
        <f>ROUND(($E$25+200)*$AN$25,2)</f>
        <v>30</v>
      </c>
      <c r="S97">
        <f>ROUND(POWER((E97+200-$J$25-200+AP97),2)/AO97,2)</f>
        <v>43.35</v>
      </c>
      <c r="T97">
        <f>ROUND(POWER(($E$25+200-J97-200+AP97),2)/AO97,2)</f>
        <v>40.67</v>
      </c>
      <c r="U97">
        <f ca="1">ROUND((Q97+S97)*(A97+A97)/AQ97*L97,0)</f>
        <v>20</v>
      </c>
      <c r="V97">
        <f ca="1">ROUND((R97+T97)*(A97+A97)/AQ97*L97,0)</f>
        <v>19</v>
      </c>
      <c r="W97" s="65">
        <f ca="1">MIN(ROUND(U97/A97,4),1)</f>
        <v>0.1</v>
      </c>
      <c r="X97" s="65">
        <f ca="1">MIN(ROUND(V97/A97,4),1)</f>
        <v>9.5000000000000001E-2</v>
      </c>
      <c r="Y97"/>
      <c r="Z97"/>
      <c r="AA97"/>
      <c r="AB97" s="65"/>
      <c r="AC97"/>
      <c r="AD97" s="66"/>
      <c r="AE97" s="66"/>
      <c r="AF97" s="65"/>
      <c r="AG97" s="66"/>
      <c r="AH97" s="66"/>
      <c r="AI97" s="65"/>
      <c r="AJ97" s="66"/>
      <c r="AK97" s="66"/>
      <c r="AL97" s="65"/>
      <c r="AM97" s="52">
        <v>0.5</v>
      </c>
      <c r="AN97" s="52">
        <v>0.15</v>
      </c>
      <c r="AO97" s="52">
        <v>6000</v>
      </c>
      <c r="AP97" s="52">
        <v>500</v>
      </c>
      <c r="AQ97" s="52">
        <v>20000</v>
      </c>
      <c r="AS97">
        <f ca="1">ROUND(AT97*AV97,0)</f>
        <v>18</v>
      </c>
      <c r="AT97">
        <f>ROUND(AY97*0.35+AZ97*0.65,0)</f>
        <v>119</v>
      </c>
      <c r="AU97" s="65">
        <f ca="1">ROUND(AS97/A97,4)</f>
        <v>0.09</v>
      </c>
      <c r="AV97" s="8">
        <f ca="1">ROUND((AW97+其他表格!K5+基本公式!$B$87)*OFFSET(其他表格!$N$1,兵攻防!O97,0)+OFFSET(其他表格!$P$1,M97/100,0),4)</f>
        <v>0.15290000000000001</v>
      </c>
      <c r="AW97" s="54">
        <v>0.1</v>
      </c>
      <c r="AX97" s="9">
        <v>195</v>
      </c>
      <c r="AY97">
        <f t="shared" ref="AY97:AZ101" si="181">BA97+BC97</f>
        <v>18</v>
      </c>
      <c r="AZ97">
        <f t="shared" si="181"/>
        <v>174</v>
      </c>
      <c r="BA97">
        <f>ROUND(POWER(AX97/10*(BE97+BG97),2)/BH97*(A97+A97)/AQ97,0)</f>
        <v>14</v>
      </c>
      <c r="BB97" s="17">
        <f>ROUND(POWER(AX97/10*(BF97*2+BG97),2)/BH97*(A97+A97)/AQ97,0)</f>
        <v>46</v>
      </c>
      <c r="BC97">
        <f>ROUND(POWER(AX97/10*(BE97-BF97+BI97),2)/BJ97*(A97+A97)/AQ97,0)</f>
        <v>4</v>
      </c>
      <c r="BD97" s="17">
        <f>ROUND(POWER(AX97/10*(BF97*2-BE97*2+BI97),2)/BJ97*(A97+A97)/AQ97,0)</f>
        <v>128</v>
      </c>
      <c r="BE97">
        <f>基本公式!$B$184</f>
        <v>30</v>
      </c>
      <c r="BF97">
        <f>基本公式!$B$183</f>
        <v>150</v>
      </c>
      <c r="BG97" s="52">
        <v>300</v>
      </c>
      <c r="BH97" s="52">
        <v>60000</v>
      </c>
      <c r="BI97" s="52">
        <v>200</v>
      </c>
      <c r="BJ97" s="52">
        <v>11500</v>
      </c>
    </row>
    <row r="98" spans="1:62">
      <c r="A98">
        <v>500</v>
      </c>
      <c r="B98" s="48">
        <f ca="1">ROUND(((U98-$U$29)+($V$29-V98)),0)</f>
        <v>5</v>
      </c>
      <c r="C98" s="49">
        <f ca="1">C50</f>
        <v>5</v>
      </c>
      <c r="D98" s="9">
        <v>54</v>
      </c>
      <c r="E98">
        <f>ROUND(POWER(A98*D98/100,AM98),0)</f>
        <v>16</v>
      </c>
      <c r="F98" s="50">
        <f>ROUND(G98*0.35+H98*0.65,0)</f>
        <v>1616</v>
      </c>
      <c r="G98">
        <f>ROUND((E98+(30+30)/2)*AN98*兵攻防!A98/基本公式!$B$53,0)</f>
        <v>690</v>
      </c>
      <c r="H98" s="51">
        <f>ROUND((E98+(基本公式!$B$181+基本公式!$B$31)/2)*AN98*兵攻防!A98/基本公式!$B$53,0)</f>
        <v>2115</v>
      </c>
      <c r="I98" s="9">
        <v>20</v>
      </c>
      <c r="J98">
        <f>ROUND(POWER($A$26*I98/100,$AM$26),0)</f>
        <v>10</v>
      </c>
      <c r="K98" s="2">
        <v>3</v>
      </c>
      <c r="L98">
        <f ca="1">ROUND(30/K98*P98*N98,2)</f>
        <v>13.2</v>
      </c>
      <c r="M98" s="9">
        <v>550</v>
      </c>
      <c r="N98" s="12">
        <f ca="1">OFFSET(其他表格!$G$2,M98/100,0)</f>
        <v>1.2000000000000002</v>
      </c>
      <c r="O98" s="9">
        <v>2</v>
      </c>
      <c r="P98" s="12">
        <f ca="1">OFFSET(其他表格!$B$1,O98,0)</f>
        <v>1.1000000000000001</v>
      </c>
      <c r="Q98">
        <f>ROUND((E98+200)*AN98,2)</f>
        <v>32.4</v>
      </c>
      <c r="R98">
        <f>ROUND(($E$26+200)*$AN$26,2)</f>
        <v>30</v>
      </c>
      <c r="S98">
        <f>ROUND(POWER((E98+200-$J$26-200+AP98),2)/AO98,2)</f>
        <v>44.38</v>
      </c>
      <c r="T98">
        <f>ROUND(POWER(($E$26+200-J98-200+AP98),2)/AO98,2)</f>
        <v>40.020000000000003</v>
      </c>
      <c r="U98">
        <f ca="1">ROUND((Q98+S98)*(A98+A98)/AQ98*L98,0)</f>
        <v>51</v>
      </c>
      <c r="V98">
        <f ca="1">ROUND((R98+T98)*(A98+A98)/AQ98*L98,0)</f>
        <v>46</v>
      </c>
      <c r="W98" s="65">
        <f ca="1">MIN(ROUND(U98/A98,4),1)</f>
        <v>0.10199999999999999</v>
      </c>
      <c r="X98" s="65">
        <f ca="1">MIN(ROUND(V98/A98,4),1)</f>
        <v>9.1999999999999998E-2</v>
      </c>
      <c r="Y98"/>
      <c r="Z98"/>
      <c r="AA98"/>
      <c r="AB98" s="65"/>
      <c r="AC98"/>
      <c r="AD98" s="66"/>
      <c r="AE98" s="66"/>
      <c r="AF98" s="65"/>
      <c r="AG98" s="66"/>
      <c r="AH98" s="66"/>
      <c r="AI98" s="65"/>
      <c r="AJ98" s="66"/>
      <c r="AK98" s="66"/>
      <c r="AL98" s="65"/>
      <c r="AM98" s="52">
        <v>0.5</v>
      </c>
      <c r="AN98" s="52">
        <v>0.15</v>
      </c>
      <c r="AO98" s="52">
        <v>6000</v>
      </c>
      <c r="AP98" s="52">
        <v>500</v>
      </c>
      <c r="AQ98" s="52">
        <v>20000</v>
      </c>
      <c r="AS98">
        <f ca="1">ROUND(AT98*AV98,0)</f>
        <v>49</v>
      </c>
      <c r="AT98">
        <f>ROUND(AY98*0.35+AZ98*0.65,0)</f>
        <v>298</v>
      </c>
      <c r="AU98" s="65">
        <f ca="1">ROUND(AS98/A98,4)</f>
        <v>9.8000000000000004E-2</v>
      </c>
      <c r="AV98" s="8">
        <f ca="1">ROUND((AW98+其他表格!K6+基本公式!$B$87)*OFFSET(其他表格!$N$1,兵攻防!O98,0)+OFFSET(其他表格!$P$1,M98/100,0),4)</f>
        <v>0.16400000000000001</v>
      </c>
      <c r="AW98" s="54">
        <v>0.1</v>
      </c>
      <c r="AX98" s="9">
        <v>195</v>
      </c>
      <c r="AY98">
        <f t="shared" si="181"/>
        <v>46</v>
      </c>
      <c r="AZ98">
        <f t="shared" si="181"/>
        <v>434</v>
      </c>
      <c r="BA98">
        <f>ROUND(POWER(AX98/10*(BE98+BG98),2)/BH98*(A98+A98)/AQ98,0)</f>
        <v>35</v>
      </c>
      <c r="BB98" s="17">
        <f>ROUND(POWER(AX98/10*(BF98*2+BG98),2)/BH98*(A98+A98)/AQ98,0)</f>
        <v>114</v>
      </c>
      <c r="BC98">
        <f>ROUND(POWER(AX98/10*(BE98-BF98+BI98),2)/BJ98*(A98+A98)/AQ98,0)</f>
        <v>11</v>
      </c>
      <c r="BD98" s="17">
        <f>ROUND(POWER(AX98/10*(BF98*2-BE98*2+BI98),2)/BJ98*(A98+A98)/AQ98,0)</f>
        <v>320</v>
      </c>
      <c r="BE98">
        <f>基本公式!$B$184</f>
        <v>30</v>
      </c>
      <c r="BF98">
        <f>基本公式!$B$183</f>
        <v>150</v>
      </c>
      <c r="BG98" s="52">
        <v>300</v>
      </c>
      <c r="BH98" s="52">
        <v>60000</v>
      </c>
      <c r="BI98" s="52">
        <v>200</v>
      </c>
      <c r="BJ98" s="52">
        <v>11500</v>
      </c>
    </row>
    <row r="99" spans="1:62">
      <c r="A99">
        <v>1000</v>
      </c>
      <c r="B99" s="48">
        <f ca="1">ROUND(((U99-$U$29)+($V$29-V99)),0)</f>
        <v>12</v>
      </c>
      <c r="C99" s="49">
        <f ca="1">C51</f>
        <v>15</v>
      </c>
      <c r="D99" s="9">
        <v>54</v>
      </c>
      <c r="E99">
        <f>ROUND(POWER(A99*D99/100,AM99),0)</f>
        <v>23</v>
      </c>
      <c r="F99" s="50">
        <f>ROUND(G99*0.35+H99*0.65,0)</f>
        <v>3443</v>
      </c>
      <c r="G99">
        <f>ROUND((E99+(30+30)/2)*AN99*兵攻防!A99/基本公式!$B$53,0)</f>
        <v>1590</v>
      </c>
      <c r="H99" s="51">
        <f>ROUND((E99+(基本公式!$B$181+基本公式!$B$31)/2)*AN99*兵攻防!A99/基本公式!$B$53,0)</f>
        <v>4440</v>
      </c>
      <c r="I99" s="9">
        <v>20</v>
      </c>
      <c r="J99">
        <f>ROUND(POWER($A$27*I99/100,$AM$27),0)</f>
        <v>14</v>
      </c>
      <c r="K99" s="2">
        <v>3</v>
      </c>
      <c r="L99">
        <f ca="1">ROUND(30/K99*P99*N99,2)</f>
        <v>13.2</v>
      </c>
      <c r="M99" s="9">
        <v>550</v>
      </c>
      <c r="N99" s="12">
        <f ca="1">OFFSET(其他表格!$G$2,M99/100,0)</f>
        <v>1.2000000000000002</v>
      </c>
      <c r="O99" s="9">
        <v>2</v>
      </c>
      <c r="P99" s="12">
        <f ca="1">OFFSET(其他表格!$B$1,O99,0)</f>
        <v>1.1000000000000001</v>
      </c>
      <c r="Q99">
        <f>ROUND((E99+200)*AN99,2)</f>
        <v>33.450000000000003</v>
      </c>
      <c r="R99">
        <f>ROUND(($E$27+200)*$AN$27,2)</f>
        <v>30</v>
      </c>
      <c r="S99">
        <f>ROUND(POWER((E99+200-$J$27-200+AP99),2)/AO99,2)</f>
        <v>45.59</v>
      </c>
      <c r="T99">
        <f>ROUND(POWER(($E$27+200-J99-200+AP99),2)/AO99,2)</f>
        <v>39.369999999999997</v>
      </c>
      <c r="U99">
        <f ca="1">ROUND((Q99+S99)*(A99+A99)/AQ99*L99,0)</f>
        <v>104</v>
      </c>
      <c r="V99">
        <f ca="1">ROUND((R99+T99)*(A99+A99)/AQ99*L99,0)</f>
        <v>92</v>
      </c>
      <c r="W99" s="65">
        <f ca="1">MIN(ROUND(U99/A99,4),1)</f>
        <v>0.104</v>
      </c>
      <c r="X99" s="65">
        <f ca="1">MIN(ROUND(V99/A99,4),1)</f>
        <v>9.1999999999999998E-2</v>
      </c>
      <c r="Y99"/>
      <c r="Z99"/>
      <c r="AA99"/>
      <c r="AB99" s="65"/>
      <c r="AC99"/>
      <c r="AD99" s="66"/>
      <c r="AE99" s="66"/>
      <c r="AF99" s="65"/>
      <c r="AG99" s="66"/>
      <c r="AH99" s="66"/>
      <c r="AI99" s="65"/>
      <c r="AJ99" s="66"/>
      <c r="AK99" s="66"/>
      <c r="AL99" s="65"/>
      <c r="AM99" s="52">
        <v>0.5</v>
      </c>
      <c r="AN99" s="52">
        <v>0.15</v>
      </c>
      <c r="AO99" s="52">
        <v>6000</v>
      </c>
      <c r="AP99" s="52">
        <v>500</v>
      </c>
      <c r="AQ99" s="52">
        <v>20000</v>
      </c>
      <c r="AS99">
        <f ca="1">ROUND(AT99*AV99,0)</f>
        <v>104</v>
      </c>
      <c r="AT99">
        <f>ROUND(AY99*0.35+AZ99*0.65,0)</f>
        <v>596</v>
      </c>
      <c r="AU99" s="65">
        <f ca="1">ROUND(AS99/A99,4)</f>
        <v>0.104</v>
      </c>
      <c r="AV99" s="8">
        <f ca="1">ROUND((AW99+其他表格!K7+基本公式!$B$87)*OFFSET(其他表格!$N$1,兵攻防!O99,0)+OFFSET(其他表格!$P$1,M99/100,0),4)</f>
        <v>0.17510000000000001</v>
      </c>
      <c r="AW99" s="54">
        <v>0.1</v>
      </c>
      <c r="AX99" s="9">
        <v>195</v>
      </c>
      <c r="AY99">
        <f t="shared" si="181"/>
        <v>90</v>
      </c>
      <c r="AZ99">
        <f t="shared" si="181"/>
        <v>868</v>
      </c>
      <c r="BA99">
        <f>ROUND(POWER(AX99/10*(BE99+BG99),2)/BH99*(A99+A99)/AQ99,0)</f>
        <v>69</v>
      </c>
      <c r="BB99" s="17">
        <f>ROUND(POWER(AX99/10*(BF99*2+BG99),2)/BH99*(A99+A99)/AQ99,0)</f>
        <v>228</v>
      </c>
      <c r="BC99">
        <f>ROUND(POWER(AX99/10*(BE99-BF99+BI99),2)/BJ99*(A99+A99)/AQ99,0)</f>
        <v>21</v>
      </c>
      <c r="BD99" s="17">
        <f>ROUND(POWER(AX99/10*(BF99*2-BE99*2+BI99),2)/BJ99*(A99+A99)/AQ99,0)</f>
        <v>640</v>
      </c>
      <c r="BE99">
        <f>基本公式!$B$184</f>
        <v>30</v>
      </c>
      <c r="BF99">
        <f>基本公式!$B$183</f>
        <v>150</v>
      </c>
      <c r="BG99" s="52">
        <v>300</v>
      </c>
      <c r="BH99" s="52">
        <v>60000</v>
      </c>
      <c r="BI99" s="52">
        <v>200</v>
      </c>
      <c r="BJ99" s="52">
        <v>11500</v>
      </c>
    </row>
    <row r="100" spans="1:62">
      <c r="A100">
        <v>2000</v>
      </c>
      <c r="B100" s="48">
        <f ca="1">ROUND(((U100-$U$29)+($V$29-V100)),0)</f>
        <v>36</v>
      </c>
      <c r="C100" s="49">
        <f ca="1">C52</f>
        <v>37</v>
      </c>
      <c r="D100" s="9">
        <v>54</v>
      </c>
      <c r="E100">
        <f>ROUND(POWER(A100*D100/100,AM100),0)</f>
        <v>33</v>
      </c>
      <c r="F100" s="50">
        <f>ROUND(G100*0.35+H100*0.65,0)</f>
        <v>7485</v>
      </c>
      <c r="G100">
        <f>ROUND((E100+(30+30)/2)*AN100*兵攻防!A100/基本公式!$B$53,0)</f>
        <v>3780</v>
      </c>
      <c r="H100" s="51">
        <f>ROUND((E100+(基本公式!$B$181+基本公式!$B$31)/2)*AN100*兵攻防!A100/基本公式!$B$53,0)</f>
        <v>9480</v>
      </c>
      <c r="I100" s="9">
        <v>20</v>
      </c>
      <c r="J100">
        <f>ROUND(POWER($A$28*I100/100,$AM$28),0)</f>
        <v>20</v>
      </c>
      <c r="K100" s="2">
        <v>3</v>
      </c>
      <c r="L100">
        <f ca="1">ROUND(30/K100*P100*N100,2)</f>
        <v>13.2</v>
      </c>
      <c r="M100" s="9">
        <v>550</v>
      </c>
      <c r="N100" s="12">
        <f ca="1">OFFSET(其他表格!$G$2,M100/100,0)</f>
        <v>1.2000000000000002</v>
      </c>
      <c r="O100" s="9">
        <v>2</v>
      </c>
      <c r="P100" s="12">
        <f ca="1">OFFSET(其他表格!$B$1,O100,0)</f>
        <v>1.1000000000000001</v>
      </c>
      <c r="Q100">
        <f>ROUND((E100+200)*AN100,2)</f>
        <v>34.950000000000003</v>
      </c>
      <c r="R100">
        <f>ROUND(($E$28+200)*$AN$28,2)</f>
        <v>30</v>
      </c>
      <c r="S100">
        <f>ROUND(POWER((E100+200-$J$28-200+AP100),2)/AO100,2)</f>
        <v>47.35</v>
      </c>
      <c r="T100">
        <f>ROUND(POWER(($E$28+200-J100-200+AP100),2)/AO100,2)</f>
        <v>38.4</v>
      </c>
      <c r="U100">
        <f ca="1">ROUND((Q100+S100)*(A100+A100)/AQ100*L100,0)</f>
        <v>217</v>
      </c>
      <c r="V100">
        <f ca="1">ROUND((R100+T100)*(A100+A100)/AQ100*L100,0)</f>
        <v>181</v>
      </c>
      <c r="W100" s="65">
        <f ca="1">MIN(ROUND(U100/A100,4),1)</f>
        <v>0.1085</v>
      </c>
      <c r="X100" s="65">
        <f ca="1">MIN(ROUND(V100/A100,4),1)</f>
        <v>9.0499999999999997E-2</v>
      </c>
      <c r="Y100"/>
      <c r="Z100"/>
      <c r="AA100"/>
      <c r="AB100" s="65"/>
      <c r="AC100"/>
      <c r="AD100" s="66"/>
      <c r="AE100" s="66"/>
      <c r="AF100" s="65"/>
      <c r="AG100" s="66"/>
      <c r="AH100" s="66"/>
      <c r="AI100" s="65"/>
      <c r="AJ100" s="66"/>
      <c r="AK100" s="66"/>
      <c r="AL100" s="65"/>
      <c r="AM100" s="52">
        <v>0.5</v>
      </c>
      <c r="AN100" s="52">
        <v>0.15</v>
      </c>
      <c r="AO100" s="52">
        <v>6000</v>
      </c>
      <c r="AP100" s="52">
        <v>500</v>
      </c>
      <c r="AQ100" s="52">
        <v>20000</v>
      </c>
      <c r="AS100">
        <f ca="1">ROUND(AT100*AV100,0)</f>
        <v>224</v>
      </c>
      <c r="AT100">
        <f>ROUND(AY100*0.35+AZ100*0.65,0)</f>
        <v>1191</v>
      </c>
      <c r="AU100" s="65">
        <f ca="1">ROUND(AS100/A100,4)</f>
        <v>0.112</v>
      </c>
      <c r="AV100" s="8">
        <f ca="1">ROUND((AW100+其他表格!K8+基本公式!$B$87)*OFFSET(其他表格!$N$1,兵攻防!O100,0)+OFFSET(其他表格!$P$1,M100/100,0),4)</f>
        <v>0.188</v>
      </c>
      <c r="AW100" s="54">
        <v>0.1</v>
      </c>
      <c r="AX100" s="9">
        <v>195</v>
      </c>
      <c r="AY100">
        <f t="shared" si="181"/>
        <v>180</v>
      </c>
      <c r="AZ100">
        <f t="shared" si="181"/>
        <v>1736</v>
      </c>
      <c r="BA100">
        <f>ROUND(POWER(AX100/10*(BE100+BG100),2)/BH100*(A100+A100)/AQ100,0)</f>
        <v>138</v>
      </c>
      <c r="BB100" s="17">
        <f>ROUND(POWER(AX100/10*(BF100*2+BG100),2)/BH100*(A100+A100)/AQ100,0)</f>
        <v>456</v>
      </c>
      <c r="BC100">
        <f>ROUND(POWER(AX100/10*(BE100-BF100+BI100),2)/BJ100*(A100+A100)/AQ100,0)</f>
        <v>42</v>
      </c>
      <c r="BD100" s="17">
        <f>ROUND(POWER(AX100/10*(BF100*2-BE100*2+BI100),2)/BJ100*(A100+A100)/AQ100,0)</f>
        <v>1280</v>
      </c>
      <c r="BE100">
        <f>基本公式!$B$184</f>
        <v>30</v>
      </c>
      <c r="BF100">
        <f>基本公式!$B$183</f>
        <v>150</v>
      </c>
      <c r="BG100" s="52">
        <v>300</v>
      </c>
      <c r="BH100" s="52">
        <v>60000</v>
      </c>
      <c r="BI100" s="52">
        <v>200</v>
      </c>
      <c r="BJ100" s="52">
        <v>11500</v>
      </c>
    </row>
    <row r="101" spans="1:62">
      <c r="A101">
        <v>5000</v>
      </c>
      <c r="B101" s="48">
        <f ca="1">ROUND(((U101-$U$29)+($V$29-V101)),0)</f>
        <v>146</v>
      </c>
      <c r="C101" s="49">
        <f ca="1">C53</f>
        <v>145</v>
      </c>
      <c r="D101" s="9">
        <v>54</v>
      </c>
      <c r="E101">
        <f>ROUND(POWER(A101*D101/100,AM101),0)</f>
        <v>52</v>
      </c>
      <c r="F101" s="50">
        <f>ROUND(G101*0.35+H101*0.65,0)</f>
        <v>21563</v>
      </c>
      <c r="G101">
        <f>ROUND((E101+(30+30)/2)*AN101*兵攻防!A101/基本公式!$B$53,0)</f>
        <v>12300</v>
      </c>
      <c r="H101" s="51">
        <f>ROUND((E101+(基本公式!$B$181+基本公式!$B$31)/2)*AN101*兵攻防!A101/基本公式!$B$53,0)</f>
        <v>26550</v>
      </c>
      <c r="I101" s="9">
        <v>20</v>
      </c>
      <c r="J101">
        <f>ROUND(POWER($A$29*I101/100,$AM$29),0)</f>
        <v>32</v>
      </c>
      <c r="K101" s="2">
        <v>3</v>
      </c>
      <c r="L101">
        <f ca="1">ROUND(30/K101*P101*N101,2)</f>
        <v>13.2</v>
      </c>
      <c r="M101" s="9">
        <v>550</v>
      </c>
      <c r="N101" s="12">
        <f ca="1">OFFSET(其他表格!$G$2,M101/100,0)</f>
        <v>1.2000000000000002</v>
      </c>
      <c r="O101" s="9">
        <v>2</v>
      </c>
      <c r="P101" s="12">
        <f ca="1">OFFSET(其他表格!$B$1,O101,0)</f>
        <v>1.1000000000000001</v>
      </c>
      <c r="Q101">
        <f>ROUND((E101+200)*AN101,2)</f>
        <v>37.799999999999997</v>
      </c>
      <c r="R101">
        <f>ROUND(($E$29+200)*$AN$29,2)</f>
        <v>30</v>
      </c>
      <c r="S101">
        <f>ROUND(POWER((E101+200-$J$29-200+AP101),2)/AO101,2)</f>
        <v>50.78</v>
      </c>
      <c r="T101">
        <f>ROUND(POWER(($E$29+200-J101-200+AP101),2)/AO101,2)</f>
        <v>36.5</v>
      </c>
      <c r="U101">
        <f ca="1">ROUND((Q101+S101)*(A101+A101)/AQ101*L101,0)</f>
        <v>585</v>
      </c>
      <c r="V101">
        <f ca="1">ROUND((R101+T101)*(A101+A101)/AQ101*L101,0)</f>
        <v>439</v>
      </c>
      <c r="W101" s="65">
        <f ca="1">MIN(ROUND(U101/A101,4),1)</f>
        <v>0.11700000000000001</v>
      </c>
      <c r="X101" s="65">
        <f ca="1">MIN(ROUND(V101/A101,4),1)</f>
        <v>8.7800000000000003E-2</v>
      </c>
      <c r="Y101"/>
      <c r="Z101"/>
      <c r="AA101"/>
      <c r="AB101" s="65"/>
      <c r="AC101"/>
      <c r="AD101" s="66"/>
      <c r="AE101" s="66"/>
      <c r="AF101" s="65"/>
      <c r="AG101" s="66"/>
      <c r="AH101" s="66"/>
      <c r="AI101" s="65"/>
      <c r="AJ101" s="66"/>
      <c r="AK101" s="66"/>
      <c r="AL101" s="65"/>
      <c r="AM101" s="52">
        <v>0.5</v>
      </c>
      <c r="AN101" s="52">
        <v>0.15</v>
      </c>
      <c r="AO101" s="52">
        <v>6000</v>
      </c>
      <c r="AP101" s="52">
        <v>500</v>
      </c>
      <c r="AQ101" s="52">
        <v>20000</v>
      </c>
      <c r="AS101">
        <f ca="1">ROUND(AT101*AV101,0)</f>
        <v>604</v>
      </c>
      <c r="AT101">
        <f>ROUND(AY101*0.35+AZ101*0.65,0)</f>
        <v>2980</v>
      </c>
      <c r="AU101" s="65">
        <f ca="1">ROUND(AS101/A101,4)</f>
        <v>0.1208</v>
      </c>
      <c r="AV101" s="8">
        <f ca="1">ROUND((AW101+其他表格!K9+基本公式!$B$87)*OFFSET(其他表格!$N$1,兵攻防!O101,0)+OFFSET(其他表格!$P$1,M101/100,0),4)</f>
        <v>0.20280000000000001</v>
      </c>
      <c r="AW101" s="54">
        <v>0.1</v>
      </c>
      <c r="AX101" s="9">
        <v>195</v>
      </c>
      <c r="AY101">
        <f t="shared" si="181"/>
        <v>451</v>
      </c>
      <c r="AZ101">
        <f t="shared" si="181"/>
        <v>4342</v>
      </c>
      <c r="BA101">
        <f>ROUND(POWER(AX101/10*(BE101+BG101),2)/BH101*(A101+A101)/AQ101,0)</f>
        <v>345</v>
      </c>
      <c r="BB101" s="17">
        <f>ROUND(POWER(AX101/10*(BF101*2+BG101),2)/BH101*(A101+A101)/AQ101,0)</f>
        <v>1141</v>
      </c>
      <c r="BC101">
        <f>ROUND(POWER(AX101/10*(BE101-BF101+BI101),2)/BJ101*(A101+A101)/AQ101,0)</f>
        <v>106</v>
      </c>
      <c r="BD101" s="17">
        <f>ROUND(POWER(AX101/10*(BF101*2-BE101*2+BI101),2)/BJ101*(A101+A101)/AQ101,0)</f>
        <v>3201</v>
      </c>
      <c r="BE101">
        <f>基本公式!$B$184</f>
        <v>30</v>
      </c>
      <c r="BF101">
        <f>基本公式!$B$183</f>
        <v>150</v>
      </c>
      <c r="BG101" s="52">
        <v>300</v>
      </c>
      <c r="BH101" s="52">
        <v>60000</v>
      </c>
      <c r="BI101" s="52">
        <v>200</v>
      </c>
      <c r="BJ101" s="52">
        <v>11500</v>
      </c>
    </row>
    <row r="102" spans="1:62">
      <c r="D102" s="9"/>
      <c r="I102" s="9"/>
      <c r="M102" s="9"/>
      <c r="O102" s="9"/>
      <c r="P102" s="12"/>
      <c r="W102" s="65"/>
      <c r="X102" s="65"/>
      <c r="Y102"/>
      <c r="Z102"/>
      <c r="AA102"/>
      <c r="AB102" s="65"/>
      <c r="AC102"/>
      <c r="AD102" s="66"/>
      <c r="AE102" s="66"/>
      <c r="AF102" s="65"/>
      <c r="AG102" s="66"/>
      <c r="AH102" s="66"/>
      <c r="AI102" s="65"/>
      <c r="AJ102" s="66"/>
      <c r="AK102" s="66"/>
      <c r="AL102" s="65"/>
      <c r="AU102" s="65"/>
      <c r="AV102" s="8"/>
      <c r="BI102" s="52"/>
      <c r="BJ102" s="52"/>
    </row>
    <row r="103" spans="1:62" s="47" customFormat="1">
      <c r="A103" s="47" t="s">
        <v>181</v>
      </c>
      <c r="B103" s="61"/>
      <c r="C103" s="61"/>
      <c r="F103" s="62"/>
      <c r="H103" s="63"/>
      <c r="K103" s="64"/>
      <c r="AR103" s="69"/>
      <c r="AV103" s="49"/>
      <c r="AW103" s="72"/>
      <c r="AX103" s="73"/>
      <c r="BB103" s="74"/>
      <c r="BD103" s="74"/>
      <c r="BG103" s="52"/>
      <c r="BH103" s="52"/>
    </row>
    <row r="104" spans="1:62">
      <c r="A104">
        <v>100</v>
      </c>
      <c r="B104" s="48">
        <f t="shared" ref="B104" ca="1" si="182">ROUND(((U104-$U$29)+($V$29-V104)),0)</f>
        <v>1</v>
      </c>
      <c r="C104" s="49">
        <f t="shared" ref="C104" ca="1" si="183">B32</f>
        <v>0</v>
      </c>
      <c r="D104" s="9">
        <v>12</v>
      </c>
      <c r="E104">
        <f t="shared" ref="E104" si="184">ROUND(POWER(A104*D104/100,AM104),0)</f>
        <v>3</v>
      </c>
      <c r="I104" s="9">
        <v>8</v>
      </c>
      <c r="J104">
        <f>ROUND(POWER($A$24*I104/100,$AM$24),0)</f>
        <v>3</v>
      </c>
      <c r="K104" s="2">
        <v>3</v>
      </c>
      <c r="L104">
        <f t="shared" ref="L104" ca="1" si="185">ROUND(30/K104*P104*N104,2)</f>
        <v>9.1</v>
      </c>
      <c r="M104" s="9">
        <v>0</v>
      </c>
      <c r="N104" s="12">
        <f ca="1">OFFSET(其他表格!$G$2,M104/100,0)</f>
        <v>0.7</v>
      </c>
      <c r="O104" s="9">
        <v>4</v>
      </c>
      <c r="P104" s="12">
        <f ca="1">OFFSET(其他表格!$B$1,O104,0)</f>
        <v>1.3</v>
      </c>
      <c r="Q104">
        <f t="shared" ref="Q104" si="186">ROUND((E104+200)*AN104,2)</f>
        <v>30.45</v>
      </c>
      <c r="R104">
        <f>ROUND(($E$24+200)*$AN$24,2)</f>
        <v>30</v>
      </c>
      <c r="S104">
        <f>ROUND(POWER((E104+200-$J$24-200+AP104),2)/AO104,2)</f>
        <v>42.17</v>
      </c>
      <c r="T104">
        <f>ROUND(POWER(($E$24+200-J104-200+AP104),2)/AO104,2)</f>
        <v>41.17</v>
      </c>
      <c r="U104">
        <f t="shared" ref="U104" ca="1" si="187">ROUND((Q104+S104)*(A104+A104)/AQ104*L104,0)</f>
        <v>7</v>
      </c>
      <c r="V104">
        <f t="shared" ref="V104" ca="1" si="188">ROUND((R104+T104)*(A104+A104)/AQ104*L104,0)</f>
        <v>6</v>
      </c>
      <c r="W104" s="65">
        <f t="shared" ref="W104" ca="1" si="189">MIN(ROUND(U104/A104,4),1)</f>
        <v>7.0000000000000007E-2</v>
      </c>
      <c r="X104" s="65">
        <f t="shared" ref="X104" ca="1" si="190">MIN(ROUND(V104/A104,4),1)</f>
        <v>0.06</v>
      </c>
      <c r="Y104"/>
      <c r="Z104"/>
      <c r="AA104"/>
      <c r="AB104" s="65"/>
      <c r="AC104"/>
      <c r="AD104" s="66"/>
      <c r="AE104" s="66"/>
      <c r="AF104" s="65"/>
      <c r="AG104" s="66"/>
      <c r="AH104" s="66"/>
      <c r="AI104" s="65"/>
      <c r="AJ104" s="66"/>
      <c r="AK104" s="66"/>
      <c r="AL104" s="65"/>
      <c r="AM104" s="52">
        <v>0.5</v>
      </c>
      <c r="AN104" s="52">
        <v>0.15</v>
      </c>
      <c r="AO104" s="52">
        <v>6000</v>
      </c>
      <c r="AP104" s="52">
        <v>500</v>
      </c>
      <c r="AQ104" s="52">
        <v>20000</v>
      </c>
      <c r="AU104" s="65"/>
      <c r="AV104" s="8"/>
      <c r="BI104" s="52"/>
      <c r="BJ104" s="52"/>
    </row>
    <row r="105" spans="1:62">
      <c r="A105">
        <v>200</v>
      </c>
      <c r="B105" s="48">
        <f ca="1">ROUND(((U105-$U$29)+($V$29-V105)),0)</f>
        <v>0</v>
      </c>
      <c r="C105" s="49">
        <f ca="1">B33</f>
        <v>1</v>
      </c>
      <c r="D105" s="9">
        <v>12</v>
      </c>
      <c r="E105">
        <f>ROUND(POWER(A105*D105/100,AM105),0)</f>
        <v>5</v>
      </c>
      <c r="I105" s="9">
        <v>8</v>
      </c>
      <c r="J105">
        <f>ROUND(POWER($A$25*I105/100,$AM$25),0)</f>
        <v>4</v>
      </c>
      <c r="K105" s="2">
        <v>3</v>
      </c>
      <c r="L105">
        <f ca="1">ROUND(30/K105*P105*N105,2)</f>
        <v>9.1</v>
      </c>
      <c r="M105" s="9">
        <v>0</v>
      </c>
      <c r="N105" s="12">
        <f ca="1">OFFSET(其他表格!$G$2,M105/100,0)</f>
        <v>0.7</v>
      </c>
      <c r="O105" s="9">
        <v>4</v>
      </c>
      <c r="P105" s="12">
        <f ca="1">OFFSET(其他表格!$B$1,O105,0)</f>
        <v>1.3</v>
      </c>
      <c r="Q105">
        <f>ROUND((E105+200)*AN105,2)</f>
        <v>30.75</v>
      </c>
      <c r="R105">
        <f>ROUND(($E$25+200)*$AN$25,2)</f>
        <v>30</v>
      </c>
      <c r="S105">
        <f>ROUND(POWER((E105+200-$J$25-200+AP105),2)/AO105,2)</f>
        <v>42.5</v>
      </c>
      <c r="T105">
        <f>ROUND(POWER(($E$25+200-J105-200+AP105),2)/AO105,2)</f>
        <v>41</v>
      </c>
      <c r="U105">
        <f ca="1">ROUND((Q105+S105)*(A105+A105)/AQ105*L105,0)</f>
        <v>13</v>
      </c>
      <c r="V105">
        <f ca="1">ROUND((R105+T105)*(A105+A105)/AQ105*L105,0)</f>
        <v>13</v>
      </c>
      <c r="W105" s="65">
        <f ca="1">MIN(ROUND(U105/A105,4),1)</f>
        <v>6.5000000000000002E-2</v>
      </c>
      <c r="X105" s="65">
        <f ca="1">MIN(ROUND(V105/A105,4),1)</f>
        <v>6.5000000000000002E-2</v>
      </c>
      <c r="Y105"/>
      <c r="Z105"/>
      <c r="AA105"/>
      <c r="AB105" s="65"/>
      <c r="AC105"/>
      <c r="AD105" s="66"/>
      <c r="AE105" s="66"/>
      <c r="AF105" s="65"/>
      <c r="AG105" s="66"/>
      <c r="AH105" s="66"/>
      <c r="AI105" s="65"/>
      <c r="AJ105" s="66"/>
      <c r="AK105" s="66"/>
      <c r="AL105" s="65"/>
      <c r="AM105" s="52">
        <v>0.5</v>
      </c>
      <c r="AN105" s="52">
        <v>0.15</v>
      </c>
      <c r="AO105" s="52">
        <v>6000</v>
      </c>
      <c r="AP105" s="52">
        <v>500</v>
      </c>
      <c r="AQ105" s="52">
        <v>20000</v>
      </c>
      <c r="AU105" s="65"/>
      <c r="AV105" s="8"/>
      <c r="BI105" s="52"/>
      <c r="BJ105" s="52"/>
    </row>
    <row r="106" spans="1:62">
      <c r="A106">
        <v>500</v>
      </c>
      <c r="B106" s="48">
        <f ca="1">ROUND(((U106-$U$29)+($V$29-V106)),0)</f>
        <v>2</v>
      </c>
      <c r="C106" s="49">
        <f ca="1">B34</f>
        <v>2</v>
      </c>
      <c r="D106" s="9">
        <v>12</v>
      </c>
      <c r="E106">
        <f>ROUND(POWER(A106*D106/100,AM106),0)</f>
        <v>8</v>
      </c>
      <c r="I106" s="9">
        <v>8</v>
      </c>
      <c r="J106">
        <f>ROUND(POWER($A$26*I106/100,$AM$26),0)</f>
        <v>6</v>
      </c>
      <c r="K106" s="2">
        <v>3</v>
      </c>
      <c r="L106">
        <f ca="1">ROUND(30/K106*P106*N106,2)</f>
        <v>9.1</v>
      </c>
      <c r="M106" s="9">
        <v>0</v>
      </c>
      <c r="N106" s="12">
        <f ca="1">OFFSET(其他表格!$G$2,M106/100,0)</f>
        <v>0.7</v>
      </c>
      <c r="O106" s="9">
        <v>4</v>
      </c>
      <c r="P106" s="12">
        <f ca="1">OFFSET(其他表格!$B$1,O106,0)</f>
        <v>1.3</v>
      </c>
      <c r="Q106">
        <f>ROUND((E106+200)*AN106,2)</f>
        <v>31.2</v>
      </c>
      <c r="R106">
        <f>ROUND(($E$26+200)*$AN$26,2)</f>
        <v>30</v>
      </c>
      <c r="S106">
        <f>ROUND(POWER((E106+200-$J$26-200+AP106),2)/AO106,2)</f>
        <v>43.01</v>
      </c>
      <c r="T106">
        <f>ROUND(POWER(($E$26+200-J106-200+AP106),2)/AO106,2)</f>
        <v>40.67</v>
      </c>
      <c r="U106">
        <f ca="1">ROUND((Q106+S106)*(A106+A106)/AQ106*L106,0)</f>
        <v>34</v>
      </c>
      <c r="V106">
        <f ca="1">ROUND((R106+T106)*(A106+A106)/AQ106*L106,0)</f>
        <v>32</v>
      </c>
      <c r="W106" s="65">
        <f ca="1">MIN(ROUND(U106/A106,4),1)</f>
        <v>6.8000000000000005E-2</v>
      </c>
      <c r="X106" s="65">
        <f ca="1">MIN(ROUND(V106/A106,4),1)</f>
        <v>6.4000000000000001E-2</v>
      </c>
      <c r="Y106"/>
      <c r="Z106"/>
      <c r="AA106"/>
      <c r="AB106" s="65"/>
      <c r="AC106"/>
      <c r="AD106" s="66"/>
      <c r="AE106" s="66"/>
      <c r="AF106" s="65"/>
      <c r="AG106" s="66"/>
      <c r="AH106" s="66"/>
      <c r="AI106" s="65"/>
      <c r="AJ106" s="66"/>
      <c r="AK106" s="66"/>
      <c r="AL106" s="65"/>
      <c r="AM106" s="52">
        <v>0.5</v>
      </c>
      <c r="AN106" s="52">
        <v>0.15</v>
      </c>
      <c r="AO106" s="52">
        <v>6000</v>
      </c>
      <c r="AP106" s="52">
        <v>500</v>
      </c>
      <c r="AQ106" s="52">
        <v>20000</v>
      </c>
      <c r="AU106" s="65"/>
      <c r="AV106" s="8"/>
      <c r="BI106" s="52"/>
      <c r="BJ106" s="52"/>
    </row>
    <row r="107" spans="1:62">
      <c r="A107">
        <v>1000</v>
      </c>
      <c r="B107" s="48">
        <f ca="1">ROUND(((U107-$U$29)+($V$29-V107)),0)</f>
        <v>4</v>
      </c>
      <c r="C107" s="49">
        <f ca="1">B35</f>
        <v>5</v>
      </c>
      <c r="D107" s="9">
        <v>12</v>
      </c>
      <c r="E107">
        <f>ROUND(POWER(A107*D107/100,AM107),0)</f>
        <v>11</v>
      </c>
      <c r="I107" s="9">
        <v>8</v>
      </c>
      <c r="J107">
        <f>ROUND(POWER($A$27*I107/100,$AM$27),0)</f>
        <v>9</v>
      </c>
      <c r="K107" s="2">
        <v>3</v>
      </c>
      <c r="L107">
        <f ca="1">ROUND(30/K107*P107*N107,2)</f>
        <v>9.1</v>
      </c>
      <c r="M107" s="9">
        <v>0</v>
      </c>
      <c r="N107" s="12">
        <f ca="1">OFFSET(其他表格!$G$2,M107/100,0)</f>
        <v>0.7</v>
      </c>
      <c r="O107" s="9">
        <v>4</v>
      </c>
      <c r="P107" s="12">
        <f ca="1">OFFSET(其他表格!$B$1,O107,0)</f>
        <v>1.3</v>
      </c>
      <c r="Q107">
        <f>ROUND((E107+200)*AN107,2)</f>
        <v>31.65</v>
      </c>
      <c r="R107">
        <f>ROUND(($E$27+200)*$AN$27,2)</f>
        <v>30</v>
      </c>
      <c r="S107">
        <f>ROUND(POWER((E107+200-$J$27-200+AP107),2)/AO107,2)</f>
        <v>43.52</v>
      </c>
      <c r="T107">
        <f>ROUND(POWER(($E$27+200-J107-200+AP107),2)/AO107,2)</f>
        <v>40.18</v>
      </c>
      <c r="U107">
        <f ca="1">ROUND((Q107+S107)*(A107+A107)/AQ107*L107,0)</f>
        <v>68</v>
      </c>
      <c r="V107">
        <f ca="1">ROUND((R107+T107)*(A107+A107)/AQ107*L107,0)</f>
        <v>64</v>
      </c>
      <c r="W107" s="65">
        <f ca="1">MIN(ROUND(U107/A107,4),1)</f>
        <v>6.8000000000000005E-2</v>
      </c>
      <c r="X107" s="65">
        <f ca="1">MIN(ROUND(V107/A107,4),1)</f>
        <v>6.4000000000000001E-2</v>
      </c>
      <c r="Y107"/>
      <c r="Z107"/>
      <c r="AA107"/>
      <c r="AB107" s="65"/>
      <c r="AC107"/>
      <c r="AD107" s="66"/>
      <c r="AE107" s="66"/>
      <c r="AF107" s="65"/>
      <c r="AG107" s="66"/>
      <c r="AH107" s="66"/>
      <c r="AI107" s="65"/>
      <c r="AJ107" s="66"/>
      <c r="AK107" s="66"/>
      <c r="AL107" s="65"/>
      <c r="AM107" s="52">
        <v>0.5</v>
      </c>
      <c r="AN107" s="52">
        <v>0.15</v>
      </c>
      <c r="AO107" s="52">
        <v>6000</v>
      </c>
      <c r="AP107" s="52">
        <v>500</v>
      </c>
      <c r="AQ107" s="52">
        <v>20000</v>
      </c>
      <c r="AU107" s="65"/>
      <c r="AV107" s="8"/>
      <c r="BI107" s="52"/>
      <c r="BJ107" s="52"/>
    </row>
    <row r="108" spans="1:62">
      <c r="A108">
        <v>2000</v>
      </c>
      <c r="B108" s="48">
        <f ca="1">ROUND(((U108-$U$29)+($V$29-V108)),0)</f>
        <v>12</v>
      </c>
      <c r="C108" s="49">
        <f ca="1">B36</f>
        <v>13</v>
      </c>
      <c r="D108" s="9">
        <v>12</v>
      </c>
      <c r="E108">
        <f>ROUND(POWER(A108*D108/100,AM108),0)</f>
        <v>15</v>
      </c>
      <c r="I108" s="9">
        <v>8</v>
      </c>
      <c r="J108">
        <f>ROUND(POWER($A$28*I108/100,$AM$28),0)</f>
        <v>13</v>
      </c>
      <c r="K108" s="2">
        <v>3</v>
      </c>
      <c r="L108">
        <f ca="1">ROUND(30/K108*P108*N108,2)</f>
        <v>9.1</v>
      </c>
      <c r="M108" s="9">
        <v>0</v>
      </c>
      <c r="N108" s="12">
        <f ca="1">OFFSET(其他表格!$G$2,M108/100,0)</f>
        <v>0.7</v>
      </c>
      <c r="O108" s="9">
        <v>4</v>
      </c>
      <c r="P108" s="12">
        <f ca="1">OFFSET(其他表格!$B$1,O108,0)</f>
        <v>1.3</v>
      </c>
      <c r="Q108">
        <f>ROUND((E108+200)*AN108,2)</f>
        <v>32.25</v>
      </c>
      <c r="R108">
        <f>ROUND(($E$28+200)*$AN$28,2)</f>
        <v>30</v>
      </c>
      <c r="S108">
        <f>ROUND(POWER((E108+200-$J$28-200+AP108),2)/AO108,2)</f>
        <v>44.2</v>
      </c>
      <c r="T108">
        <f>ROUND(POWER(($E$28+200-J108-200+AP108),2)/AO108,2)</f>
        <v>39.53</v>
      </c>
      <c r="U108">
        <f ca="1">ROUND((Q108+S108)*(A108+A108)/AQ108*L108,0)</f>
        <v>139</v>
      </c>
      <c r="V108">
        <f ca="1">ROUND((R108+T108)*(A108+A108)/AQ108*L108,0)</f>
        <v>127</v>
      </c>
      <c r="W108" s="65">
        <f ca="1">MIN(ROUND(U108/A108,4),1)</f>
        <v>6.9500000000000006E-2</v>
      </c>
      <c r="X108" s="65">
        <f ca="1">MIN(ROUND(V108/A108,4),1)</f>
        <v>6.3500000000000001E-2</v>
      </c>
      <c r="Y108"/>
      <c r="Z108"/>
      <c r="AA108"/>
      <c r="AB108" s="65"/>
      <c r="AC108"/>
      <c r="AD108" s="66"/>
      <c r="AE108" s="66"/>
      <c r="AF108" s="65"/>
      <c r="AG108" s="66"/>
      <c r="AH108" s="66"/>
      <c r="AI108" s="65"/>
      <c r="AJ108" s="66"/>
      <c r="AK108" s="66"/>
      <c r="AL108" s="65"/>
      <c r="AM108" s="52">
        <v>0.5</v>
      </c>
      <c r="AN108" s="52">
        <v>0.15</v>
      </c>
      <c r="AO108" s="52">
        <v>6000</v>
      </c>
      <c r="AP108" s="52">
        <v>500</v>
      </c>
      <c r="AQ108" s="52">
        <v>20000</v>
      </c>
      <c r="AU108" s="65"/>
      <c r="AV108" s="8"/>
      <c r="BI108" s="52"/>
      <c r="BJ108" s="52"/>
    </row>
    <row r="109" spans="1:62">
      <c r="A109">
        <v>5000</v>
      </c>
      <c r="B109" s="48">
        <f ca="1">ROUND(((U109-$U$29)+($V$29-V109)),0)</f>
        <v>50</v>
      </c>
      <c r="C109" s="49">
        <f ca="1">B37</f>
        <v>50</v>
      </c>
      <c r="D109" s="9">
        <v>12</v>
      </c>
      <c r="E109">
        <f>ROUND(POWER(A109*D109/100,AM109),0)</f>
        <v>24</v>
      </c>
      <c r="I109" s="9">
        <v>8</v>
      </c>
      <c r="J109">
        <f>ROUND(POWER($A$29*I109/100,$AM$29),0)</f>
        <v>20</v>
      </c>
      <c r="K109" s="2">
        <v>3</v>
      </c>
      <c r="L109">
        <f ca="1">ROUND(30/K109*P109*N109,2)</f>
        <v>9.1</v>
      </c>
      <c r="M109" s="9">
        <v>0</v>
      </c>
      <c r="N109" s="12">
        <f ca="1">OFFSET(其他表格!$G$2,M109/100,0)</f>
        <v>0.7</v>
      </c>
      <c r="O109" s="9">
        <v>4</v>
      </c>
      <c r="P109" s="12">
        <f ca="1">OFFSET(其他表格!$B$1,O109,0)</f>
        <v>1.3</v>
      </c>
      <c r="Q109">
        <f>ROUND((E109+200)*AN109,2)</f>
        <v>33.6</v>
      </c>
      <c r="R109">
        <f>ROUND(($E$29+200)*$AN$29,2)</f>
        <v>30</v>
      </c>
      <c r="S109">
        <f>ROUND(POWER((E109+200-$J$29-200+AP109),2)/AO109,2)</f>
        <v>45.76</v>
      </c>
      <c r="T109">
        <f>ROUND(POWER(($E$29+200-J109-200+AP109),2)/AO109,2)</f>
        <v>38.4</v>
      </c>
      <c r="U109">
        <f ca="1">ROUND((Q109+S109)*(A109+A109)/AQ109*L109,0)</f>
        <v>361</v>
      </c>
      <c r="V109">
        <f ca="1">ROUND((R109+T109)*(A109+A109)/AQ109*L109,0)</f>
        <v>311</v>
      </c>
      <c r="W109" s="65">
        <f ca="1">MIN(ROUND(U109/A109,4),1)</f>
        <v>7.22E-2</v>
      </c>
      <c r="X109" s="65">
        <f ca="1">MIN(ROUND(V109/A109,4),1)</f>
        <v>6.2199999999999998E-2</v>
      </c>
      <c r="Y109"/>
      <c r="Z109"/>
      <c r="AA109"/>
      <c r="AB109" s="65"/>
      <c r="AC109"/>
      <c r="AD109" s="66"/>
      <c r="AE109" s="66"/>
      <c r="AF109" s="65"/>
      <c r="AG109" s="66"/>
      <c r="AH109" s="66"/>
      <c r="AI109" s="65"/>
      <c r="AJ109" s="66"/>
      <c r="AK109" s="66"/>
      <c r="AL109" s="65"/>
      <c r="AM109" s="52">
        <v>0.5</v>
      </c>
      <c r="AN109" s="52">
        <v>0.15</v>
      </c>
      <c r="AO109" s="52">
        <v>6000</v>
      </c>
      <c r="AP109" s="52">
        <v>500</v>
      </c>
      <c r="AQ109" s="52">
        <v>20000</v>
      </c>
      <c r="AU109" s="65"/>
      <c r="AV109" s="8"/>
      <c r="BI109" s="52"/>
      <c r="BJ109" s="52"/>
    </row>
    <row r="110" spans="1:62">
      <c r="D110" s="9"/>
      <c r="I110" s="9"/>
      <c r="M110" s="9"/>
      <c r="O110" s="9"/>
      <c r="P110" s="12"/>
      <c r="W110" s="65"/>
      <c r="X110" s="65"/>
      <c r="Y110"/>
      <c r="Z110"/>
      <c r="AA110"/>
      <c r="AB110" s="65"/>
      <c r="AC110"/>
      <c r="AD110" s="66"/>
      <c r="AE110" s="66"/>
      <c r="AF110" s="65"/>
      <c r="AG110" s="66"/>
      <c r="AH110" s="66"/>
      <c r="AI110" s="65"/>
      <c r="AJ110" s="66"/>
      <c r="AK110" s="66"/>
      <c r="AL110" s="65"/>
      <c r="AU110" s="65"/>
      <c r="AV110" s="8"/>
      <c r="BI110" s="52"/>
      <c r="BJ110" s="52"/>
    </row>
    <row r="111" spans="1:62" s="47" customFormat="1">
      <c r="A111" s="47" t="s">
        <v>182</v>
      </c>
      <c r="B111" s="61"/>
      <c r="C111" s="61"/>
      <c r="F111" s="62"/>
      <c r="H111" s="63"/>
      <c r="K111" s="64"/>
      <c r="AR111" s="69"/>
      <c r="AV111" s="49"/>
      <c r="AW111" s="72"/>
      <c r="AX111" s="73"/>
      <c r="BB111" s="74"/>
      <c r="BD111" s="74"/>
      <c r="BG111" s="52"/>
      <c r="BH111" s="52"/>
    </row>
    <row r="112" spans="1:62">
      <c r="A112">
        <v>100</v>
      </c>
      <c r="B112" s="48">
        <f t="shared" ref="B112" ca="1" si="191">ROUND(((U112-$U$29)+($V$29-V112)),0)</f>
        <v>0</v>
      </c>
      <c r="C112" s="49">
        <f t="shared" ref="C112" si="192">C40</f>
        <v>13</v>
      </c>
      <c r="D112" s="9">
        <v>32</v>
      </c>
      <c r="E112">
        <f t="shared" ref="E112" si="193">ROUND(POWER(A112*D112/100,AM112),0)</f>
        <v>6</v>
      </c>
      <c r="I112" s="9">
        <v>12</v>
      </c>
      <c r="J112">
        <f>ROUND(POWER($A$24*I112/100,$AM$24),0)</f>
        <v>3</v>
      </c>
      <c r="K112" s="2">
        <v>3</v>
      </c>
      <c r="L112">
        <f t="shared" ref="L112" ca="1" si="194">ROUND(30/K112*P112*N112,2)</f>
        <v>10.15</v>
      </c>
      <c r="M112" s="9">
        <v>0</v>
      </c>
      <c r="N112" s="12">
        <f ca="1">OFFSET(其他表格!$G$2,M112/100,0)</f>
        <v>0.7</v>
      </c>
      <c r="O112" s="9">
        <v>7</v>
      </c>
      <c r="P112" s="12">
        <f ca="1">OFFSET(其他表格!$B$1,O112,0)</f>
        <v>1.45</v>
      </c>
      <c r="Q112">
        <f t="shared" ref="Q112" si="195">ROUND((E112+200)*AN112,2)</f>
        <v>30.9</v>
      </c>
      <c r="R112">
        <f>ROUND(($E$24+200)*$AN$24,2)</f>
        <v>30</v>
      </c>
      <c r="S112">
        <f>ROUND(POWER((E112+200-$J$24-200+AP112),2)/AO112,2)</f>
        <v>42.67</v>
      </c>
      <c r="T112">
        <f>ROUND(POWER(($E$24+200-J112-200+AP112),2)/AO112,2)</f>
        <v>41.17</v>
      </c>
      <c r="U112">
        <f t="shared" ref="U112" ca="1" si="196">ROUND((Q112+S112)*(A112+A112)/AQ112*L112,0)</f>
        <v>7</v>
      </c>
      <c r="V112">
        <f t="shared" ref="V112" ca="1" si="197">ROUND((R112+T112)*(A112+A112)/AQ112*L112,0)</f>
        <v>7</v>
      </c>
      <c r="W112" s="65">
        <f t="shared" ref="W112" ca="1" si="198">MIN(ROUND(U112/A112,4),1)</f>
        <v>7.0000000000000007E-2</v>
      </c>
      <c r="X112" s="65">
        <f t="shared" ref="X112" ca="1" si="199">MIN(ROUND(V112/A112,4),1)</f>
        <v>7.0000000000000007E-2</v>
      </c>
      <c r="Y112"/>
      <c r="Z112"/>
      <c r="AA112"/>
      <c r="AB112" s="65"/>
      <c r="AC112"/>
      <c r="AD112" s="66"/>
      <c r="AE112" s="66"/>
      <c r="AF112" s="65"/>
      <c r="AG112" s="66"/>
      <c r="AH112" s="66"/>
      <c r="AI112" s="65"/>
      <c r="AJ112" s="66"/>
      <c r="AK112" s="66"/>
      <c r="AL112" s="65"/>
      <c r="AM112" s="52">
        <v>0.5</v>
      </c>
      <c r="AN112" s="52">
        <v>0.15</v>
      </c>
      <c r="AO112" s="52">
        <v>6000</v>
      </c>
      <c r="AP112" s="52">
        <v>500</v>
      </c>
      <c r="AQ112" s="52">
        <v>20000</v>
      </c>
      <c r="AU112" s="65"/>
      <c r="AV112" s="8"/>
      <c r="BI112" s="52"/>
      <c r="BJ112" s="52"/>
    </row>
    <row r="113" spans="1:62">
      <c r="A113">
        <v>200</v>
      </c>
      <c r="B113" s="48">
        <f ca="1">ROUND(((U113-$U$29)+($V$29-V113)),0)</f>
        <v>1</v>
      </c>
      <c r="C113" s="49">
        <f ca="1">C41</f>
        <v>2</v>
      </c>
      <c r="D113" s="9">
        <v>32</v>
      </c>
      <c r="E113">
        <f>ROUND(POWER(A113*D113/100,AM113),0)</f>
        <v>8</v>
      </c>
      <c r="I113" s="9">
        <v>12</v>
      </c>
      <c r="J113">
        <f>ROUND(POWER($A$25*I113/100,$AM$25),0)</f>
        <v>5</v>
      </c>
      <c r="K113" s="2">
        <v>3</v>
      </c>
      <c r="L113">
        <f ca="1">ROUND(30/K113*P113*N113,2)</f>
        <v>10.15</v>
      </c>
      <c r="M113" s="9">
        <v>0</v>
      </c>
      <c r="N113" s="12">
        <f ca="1">OFFSET(其他表格!$G$2,M113/100,0)</f>
        <v>0.7</v>
      </c>
      <c r="O113" s="9">
        <v>7</v>
      </c>
      <c r="P113" s="12">
        <f ca="1">OFFSET(其他表格!$B$1,O113,0)</f>
        <v>1.45</v>
      </c>
      <c r="Q113">
        <f>ROUND((E113+200)*AN113,2)</f>
        <v>31.2</v>
      </c>
      <c r="R113">
        <f>ROUND(($E$25+200)*$AN$25,2)</f>
        <v>30</v>
      </c>
      <c r="S113">
        <f>ROUND(POWER((E113+200-$J$25-200+AP113),2)/AO113,2)</f>
        <v>43.01</v>
      </c>
      <c r="T113">
        <f>ROUND(POWER(($E$25+200-J113-200+AP113),2)/AO113,2)</f>
        <v>40.840000000000003</v>
      </c>
      <c r="U113">
        <f ca="1">ROUND((Q113+S113)*(A113+A113)/AQ113*L113,0)</f>
        <v>15</v>
      </c>
      <c r="V113">
        <f ca="1">ROUND((R113+T113)*(A113+A113)/AQ113*L113,0)</f>
        <v>14</v>
      </c>
      <c r="W113" s="65">
        <f ca="1">MIN(ROUND(U113/A113,4),1)</f>
        <v>7.4999999999999997E-2</v>
      </c>
      <c r="X113" s="65">
        <f ca="1">MIN(ROUND(V113/A113,4),1)</f>
        <v>7.0000000000000007E-2</v>
      </c>
      <c r="Y113"/>
      <c r="Z113"/>
      <c r="AA113"/>
      <c r="AB113" s="65"/>
      <c r="AC113"/>
      <c r="AD113" s="66"/>
      <c r="AE113" s="66"/>
      <c r="AF113" s="65"/>
      <c r="AG113" s="66"/>
      <c r="AH113" s="66"/>
      <c r="AI113" s="65"/>
      <c r="AJ113" s="66"/>
      <c r="AK113" s="66"/>
      <c r="AL113" s="65"/>
      <c r="AM113" s="52">
        <v>0.5</v>
      </c>
      <c r="AN113" s="52">
        <v>0.15</v>
      </c>
      <c r="AO113" s="52">
        <v>6000</v>
      </c>
      <c r="AP113" s="52">
        <v>500</v>
      </c>
      <c r="AQ113" s="52">
        <v>20000</v>
      </c>
      <c r="AU113" s="65"/>
      <c r="AV113" s="8"/>
      <c r="BI113" s="52"/>
      <c r="BJ113" s="52"/>
    </row>
    <row r="114" spans="1:62">
      <c r="A114">
        <v>500</v>
      </c>
      <c r="B114" s="48">
        <f ca="1">ROUND(((U114-$U$29)+($V$29-V114)),0)</f>
        <v>2</v>
      </c>
      <c r="C114" s="49">
        <f ca="1">C42</f>
        <v>3</v>
      </c>
      <c r="D114" s="9">
        <v>32</v>
      </c>
      <c r="E114">
        <f>ROUND(POWER(A114*D114/100,AM114),0)</f>
        <v>13</v>
      </c>
      <c r="I114" s="9">
        <v>12</v>
      </c>
      <c r="J114">
        <f>ROUND(POWER($A$26*I114/100,$AM$26),0)</f>
        <v>8</v>
      </c>
      <c r="K114" s="2">
        <v>3</v>
      </c>
      <c r="L114">
        <f ca="1">ROUND(30/K114*P114*N114,2)</f>
        <v>10.15</v>
      </c>
      <c r="M114" s="9">
        <v>0</v>
      </c>
      <c r="N114" s="12">
        <f ca="1">OFFSET(其他表格!$G$2,M114/100,0)</f>
        <v>0.7</v>
      </c>
      <c r="O114" s="9">
        <v>7</v>
      </c>
      <c r="P114" s="12">
        <f ca="1">OFFSET(其他表格!$B$1,O114,0)</f>
        <v>1.45</v>
      </c>
      <c r="Q114">
        <f>ROUND((E114+200)*AN114,2)</f>
        <v>31.95</v>
      </c>
      <c r="R114">
        <f>ROUND(($E$26+200)*$AN$26,2)</f>
        <v>30</v>
      </c>
      <c r="S114">
        <f>ROUND(POWER((E114+200-$J$26-200+AP114),2)/AO114,2)</f>
        <v>43.86</v>
      </c>
      <c r="T114">
        <f>ROUND(POWER(($E$26+200-J114-200+AP114),2)/AO114,2)</f>
        <v>40.340000000000003</v>
      </c>
      <c r="U114">
        <f ca="1">ROUND((Q114+S114)*(A114+A114)/AQ114*L114,0)</f>
        <v>38</v>
      </c>
      <c r="V114">
        <f ca="1">ROUND((R114+T114)*(A114+A114)/AQ114*L114,0)</f>
        <v>36</v>
      </c>
      <c r="W114" s="65">
        <f ca="1">MIN(ROUND(U114/A114,4),1)</f>
        <v>7.5999999999999998E-2</v>
      </c>
      <c r="X114" s="65">
        <f ca="1">MIN(ROUND(V114/A114,4),1)</f>
        <v>7.1999999999999995E-2</v>
      </c>
      <c r="Y114"/>
      <c r="Z114"/>
      <c r="AA114"/>
      <c r="AB114" s="65"/>
      <c r="AC114"/>
      <c r="AD114" s="66"/>
      <c r="AE114" s="66"/>
      <c r="AF114" s="65"/>
      <c r="AG114" s="66"/>
      <c r="AH114" s="66"/>
      <c r="AI114" s="65"/>
      <c r="AJ114" s="66"/>
      <c r="AK114" s="66"/>
      <c r="AL114" s="65"/>
      <c r="AM114" s="52">
        <v>0.5</v>
      </c>
      <c r="AN114" s="52">
        <v>0.15</v>
      </c>
      <c r="AO114" s="52">
        <v>6000</v>
      </c>
      <c r="AP114" s="52">
        <v>500</v>
      </c>
      <c r="AQ114" s="52">
        <v>20000</v>
      </c>
      <c r="AU114" s="65"/>
      <c r="AV114" s="8"/>
      <c r="BI114" s="52"/>
      <c r="BJ114" s="52"/>
    </row>
    <row r="115" spans="1:62">
      <c r="A115">
        <v>1000</v>
      </c>
      <c r="B115" s="48">
        <f ca="1">ROUND(((U115-$U$29)+($V$29-V115)),0)</f>
        <v>8</v>
      </c>
      <c r="C115" s="49">
        <f ca="1">C43</f>
        <v>9</v>
      </c>
      <c r="D115" s="9">
        <v>32</v>
      </c>
      <c r="E115">
        <f>ROUND(POWER(A115*D115/100,AM115),0)</f>
        <v>18</v>
      </c>
      <c r="I115" s="9">
        <v>12</v>
      </c>
      <c r="J115">
        <f>ROUND(POWER($A$27*I115/100,$AM$27),0)</f>
        <v>11</v>
      </c>
      <c r="K115" s="2">
        <v>3</v>
      </c>
      <c r="L115">
        <f ca="1">ROUND(30/K115*P115*N115,2)</f>
        <v>10.15</v>
      </c>
      <c r="M115" s="9">
        <v>0</v>
      </c>
      <c r="N115" s="12">
        <f ca="1">OFFSET(其他表格!$G$2,M115/100,0)</f>
        <v>0.7</v>
      </c>
      <c r="O115" s="9">
        <v>7</v>
      </c>
      <c r="P115" s="12">
        <f ca="1">OFFSET(其他表格!$B$1,O115,0)</f>
        <v>1.45</v>
      </c>
      <c r="Q115">
        <f>ROUND((E115+200)*AN115,2)</f>
        <v>32.700000000000003</v>
      </c>
      <c r="R115">
        <f>ROUND(($E$27+200)*$AN$27,2)</f>
        <v>30</v>
      </c>
      <c r="S115">
        <f>ROUND(POWER((E115+200-$J$27-200+AP115),2)/AO115,2)</f>
        <v>44.72</v>
      </c>
      <c r="T115">
        <f>ROUND(POWER(($E$27+200-J115-200+AP115),2)/AO115,2)</f>
        <v>39.85</v>
      </c>
      <c r="U115">
        <f ca="1">ROUND((Q115+S115)*(A115+A115)/AQ115*L115,0)</f>
        <v>79</v>
      </c>
      <c r="V115">
        <f ca="1">ROUND((R115+T115)*(A115+A115)/AQ115*L115,0)</f>
        <v>71</v>
      </c>
      <c r="W115" s="65">
        <f ca="1">MIN(ROUND(U115/A115,4),1)</f>
        <v>7.9000000000000001E-2</v>
      </c>
      <c r="X115" s="65">
        <f ca="1">MIN(ROUND(V115/A115,4),1)</f>
        <v>7.0999999999999994E-2</v>
      </c>
      <c r="Y115"/>
      <c r="Z115"/>
      <c r="AA115"/>
      <c r="AB115" s="65"/>
      <c r="AC115"/>
      <c r="AD115" s="66"/>
      <c r="AE115" s="66"/>
      <c r="AF115" s="65"/>
      <c r="AG115" s="66"/>
      <c r="AH115" s="66"/>
      <c r="AI115" s="65"/>
      <c r="AJ115" s="66"/>
      <c r="AK115" s="66"/>
      <c r="AL115" s="65"/>
      <c r="AM115" s="52">
        <v>0.5</v>
      </c>
      <c r="AN115" s="52">
        <v>0.15</v>
      </c>
      <c r="AO115" s="52">
        <v>6000</v>
      </c>
      <c r="AP115" s="52">
        <v>500</v>
      </c>
      <c r="AQ115" s="52">
        <v>20000</v>
      </c>
      <c r="AU115" s="65"/>
      <c r="AV115" s="8"/>
      <c r="BI115" s="52"/>
      <c r="BJ115" s="52"/>
    </row>
    <row r="116" spans="1:62">
      <c r="A116">
        <v>2000</v>
      </c>
      <c r="B116" s="48">
        <f ca="1">ROUND(((U116-$U$29)+($V$29-V116)),0)</f>
        <v>22</v>
      </c>
      <c r="C116" s="49">
        <f ca="1">C44</f>
        <v>22</v>
      </c>
      <c r="D116" s="9">
        <v>32</v>
      </c>
      <c r="E116">
        <f>ROUND(POWER(A116*D116/100,AM116),0)</f>
        <v>25</v>
      </c>
      <c r="I116" s="9">
        <v>12</v>
      </c>
      <c r="J116">
        <f>ROUND(POWER($A$28*I116/100,$AM$28),0)</f>
        <v>15</v>
      </c>
      <c r="K116" s="2">
        <v>3</v>
      </c>
      <c r="L116">
        <f ca="1">ROUND(30/K116*P116*N116,2)</f>
        <v>10.15</v>
      </c>
      <c r="M116" s="9">
        <v>0</v>
      </c>
      <c r="N116" s="12">
        <f ca="1">OFFSET(其他表格!$G$2,M116/100,0)</f>
        <v>0.7</v>
      </c>
      <c r="O116" s="9">
        <v>7</v>
      </c>
      <c r="P116" s="12">
        <f ca="1">OFFSET(其他表格!$B$1,O116,0)</f>
        <v>1.45</v>
      </c>
      <c r="Q116">
        <f>ROUND((E116+200)*AN116,2)</f>
        <v>33.75</v>
      </c>
      <c r="R116">
        <f>ROUND(($E$28+200)*$AN$28,2)</f>
        <v>30</v>
      </c>
      <c r="S116">
        <f>ROUND(POWER((E116+200-$J$28-200+AP116),2)/AO116,2)</f>
        <v>45.94</v>
      </c>
      <c r="T116">
        <f>ROUND(POWER(($E$28+200-J116-200+AP116),2)/AO116,2)</f>
        <v>39.200000000000003</v>
      </c>
      <c r="U116">
        <f ca="1">ROUND((Q116+S116)*(A116+A116)/AQ116*L116,0)</f>
        <v>162</v>
      </c>
      <c r="V116">
        <f ca="1">ROUND((R116+T116)*(A116+A116)/AQ116*L116,0)</f>
        <v>140</v>
      </c>
      <c r="W116" s="65">
        <f ca="1">MIN(ROUND(U116/A116,4),1)</f>
        <v>8.1000000000000003E-2</v>
      </c>
      <c r="X116" s="65">
        <f ca="1">MIN(ROUND(V116/A116,4),1)</f>
        <v>7.0000000000000007E-2</v>
      </c>
      <c r="Y116"/>
      <c r="Z116"/>
      <c r="AA116"/>
      <c r="AB116" s="65"/>
      <c r="AC116"/>
      <c r="AD116" s="66"/>
      <c r="AE116" s="66"/>
      <c r="AF116" s="65"/>
      <c r="AG116" s="66"/>
      <c r="AH116" s="66"/>
      <c r="AI116" s="65"/>
      <c r="AJ116" s="66"/>
      <c r="AK116" s="66"/>
      <c r="AL116" s="65"/>
      <c r="AM116" s="52">
        <v>0.5</v>
      </c>
      <c r="AN116" s="52">
        <v>0.15</v>
      </c>
      <c r="AO116" s="52">
        <v>6000</v>
      </c>
      <c r="AP116" s="52">
        <v>500</v>
      </c>
      <c r="AQ116" s="52">
        <v>20000</v>
      </c>
      <c r="AU116" s="65"/>
      <c r="AV116" s="8"/>
      <c r="BI116" s="52"/>
      <c r="BJ116" s="52"/>
    </row>
    <row r="117" spans="1:62">
      <c r="A117">
        <v>5000</v>
      </c>
      <c r="B117" s="48">
        <f ca="1">ROUND(((U117-$U$29)+($V$29-V117)),0)</f>
        <v>85</v>
      </c>
      <c r="C117" s="49">
        <f ca="1">C45</f>
        <v>85</v>
      </c>
      <c r="D117" s="9">
        <v>32</v>
      </c>
      <c r="E117">
        <f>ROUND(POWER(A117*D117/100,AM117),0)</f>
        <v>40</v>
      </c>
      <c r="I117" s="9">
        <v>12</v>
      </c>
      <c r="J117">
        <f>ROUND(POWER($A$29*I117/100,$AM$29),0)</f>
        <v>24</v>
      </c>
      <c r="K117" s="2">
        <v>3</v>
      </c>
      <c r="L117">
        <f ca="1">ROUND(30/K117*P117*N117,2)</f>
        <v>10.15</v>
      </c>
      <c r="M117" s="9">
        <v>0</v>
      </c>
      <c r="N117" s="12">
        <f ca="1">OFFSET(其他表格!$G$2,M117/100,0)</f>
        <v>0.7</v>
      </c>
      <c r="O117" s="9">
        <v>7</v>
      </c>
      <c r="P117" s="12">
        <f ca="1">OFFSET(其他表格!$B$1,O117,0)</f>
        <v>1.45</v>
      </c>
      <c r="Q117">
        <f>ROUND((E117+200)*AN117,2)</f>
        <v>36</v>
      </c>
      <c r="R117">
        <f>ROUND(($E$29+200)*$AN$29,2)</f>
        <v>30</v>
      </c>
      <c r="S117">
        <f>ROUND(POWER((E117+200-$J$29-200+AP117),2)/AO117,2)</f>
        <v>48.6</v>
      </c>
      <c r="T117">
        <f>ROUND(POWER(($E$29+200-J117-200+AP117),2)/AO117,2)</f>
        <v>37.76</v>
      </c>
      <c r="U117">
        <f ca="1">ROUND((Q117+S117)*(A117+A117)/AQ117*L117,0)</f>
        <v>429</v>
      </c>
      <c r="V117">
        <f ca="1">ROUND((R117+T117)*(A117+A117)/AQ117*L117,0)</f>
        <v>344</v>
      </c>
      <c r="W117" s="65">
        <f ca="1">MIN(ROUND(U117/A117,4),1)</f>
        <v>8.5800000000000001E-2</v>
      </c>
      <c r="X117" s="65">
        <f ca="1">MIN(ROUND(V117/A117,4),1)</f>
        <v>6.88E-2</v>
      </c>
      <c r="Y117"/>
      <c r="Z117"/>
      <c r="AA117"/>
      <c r="AB117" s="65"/>
      <c r="AC117"/>
      <c r="AD117" s="66"/>
      <c r="AE117" s="66"/>
      <c r="AF117" s="65"/>
      <c r="AG117" s="66"/>
      <c r="AH117" s="66"/>
      <c r="AI117" s="65"/>
      <c r="AJ117" s="66"/>
      <c r="AK117" s="66"/>
      <c r="AL117" s="65"/>
      <c r="AM117" s="52">
        <v>0.5</v>
      </c>
      <c r="AN117" s="52">
        <v>0.15</v>
      </c>
      <c r="AO117" s="52">
        <v>6000</v>
      </c>
      <c r="AP117" s="52">
        <v>500</v>
      </c>
      <c r="AQ117" s="52">
        <v>20000</v>
      </c>
      <c r="AU117" s="65"/>
      <c r="AV117" s="8"/>
      <c r="BI117" s="52"/>
      <c r="BJ117" s="52"/>
    </row>
    <row r="118" spans="1:62">
      <c r="D118" s="9"/>
      <c r="I118" s="9"/>
      <c r="M118" s="9"/>
      <c r="O118" s="9"/>
      <c r="P118" s="12"/>
      <c r="W118" s="65"/>
      <c r="X118" s="65"/>
      <c r="Y118"/>
      <c r="Z118"/>
      <c r="AA118"/>
      <c r="AB118" s="65"/>
      <c r="AC118"/>
      <c r="AD118" s="66"/>
      <c r="AE118" s="66"/>
      <c r="AF118" s="65"/>
      <c r="AG118" s="66"/>
      <c r="AH118" s="66"/>
      <c r="AI118" s="65"/>
      <c r="AJ118" s="66"/>
      <c r="AK118" s="66"/>
      <c r="AL118" s="65"/>
      <c r="AU118" s="65"/>
      <c r="AV118" s="8"/>
      <c r="BI118" s="52"/>
      <c r="BJ118" s="52"/>
    </row>
    <row r="119" spans="1:62" s="47" customFormat="1">
      <c r="A119" s="47" t="s">
        <v>183</v>
      </c>
      <c r="B119" s="61"/>
      <c r="C119" s="61"/>
      <c r="F119" s="62"/>
      <c r="H119" s="63"/>
      <c r="K119" s="64"/>
      <c r="AR119" s="69"/>
      <c r="AV119" s="49"/>
      <c r="AW119" s="72"/>
      <c r="AX119" s="73"/>
      <c r="BB119" s="74"/>
      <c r="BD119" s="74"/>
      <c r="BG119" s="52"/>
      <c r="BH119" s="52"/>
    </row>
    <row r="120" spans="1:62">
      <c r="A120">
        <v>100</v>
      </c>
      <c r="B120" s="48">
        <f t="shared" ref="B120" ca="1" si="200">ROUND(((U120-$U$29)+($V$29-V120)),0)</f>
        <v>0</v>
      </c>
      <c r="C120" s="49">
        <f t="shared" ref="C120" si="201">C48</f>
        <v>22</v>
      </c>
      <c r="D120" s="9">
        <v>77</v>
      </c>
      <c r="E120">
        <f t="shared" ref="E120" si="202">ROUND(POWER(A120*D120/100,AM120),0)</f>
        <v>9</v>
      </c>
      <c r="I120" s="9">
        <v>25</v>
      </c>
      <c r="J120">
        <f>ROUND(POWER($A$24*I120/100,$AM$24),0)</f>
        <v>5</v>
      </c>
      <c r="K120" s="2">
        <v>3</v>
      </c>
      <c r="L120">
        <f t="shared" ref="L120" ca="1" si="203">ROUND(30/K120*P120*N120,2)</f>
        <v>11.2</v>
      </c>
      <c r="M120" s="9">
        <v>0</v>
      </c>
      <c r="N120" s="12">
        <f ca="1">OFFSET(其他表格!$G$2,M120/100,0)</f>
        <v>0.7</v>
      </c>
      <c r="O120" s="9">
        <v>10</v>
      </c>
      <c r="P120" s="12">
        <f ca="1">OFFSET(其他表格!$B$1,O120,0)</f>
        <v>1.6</v>
      </c>
      <c r="Q120">
        <f t="shared" ref="Q120" si="204">ROUND((E120+200)*AN120,2)</f>
        <v>31.35</v>
      </c>
      <c r="R120">
        <f>ROUND(($E$24+200)*$AN$24,2)</f>
        <v>30</v>
      </c>
      <c r="S120">
        <f>ROUND(POWER((E120+200-$J$24-200+AP120),2)/AO120,2)</f>
        <v>43.18</v>
      </c>
      <c r="T120">
        <f>ROUND(POWER(($E$24+200-J120-200+AP120),2)/AO120,2)</f>
        <v>40.840000000000003</v>
      </c>
      <c r="U120">
        <f t="shared" ref="U120" ca="1" si="205">ROUND((Q120+S120)*(A120+A120)/AQ120*L120,0)</f>
        <v>8</v>
      </c>
      <c r="V120">
        <f t="shared" ref="V120" ca="1" si="206">ROUND((R120+T120)*(A120+A120)/AQ120*L120,0)</f>
        <v>8</v>
      </c>
      <c r="W120" s="65">
        <f t="shared" ref="W120" ca="1" si="207">MIN(ROUND(U120/A120,4),1)</f>
        <v>0.08</v>
      </c>
      <c r="X120" s="65">
        <f t="shared" ref="X120" ca="1" si="208">MIN(ROUND(V120/A120,4),1)</f>
        <v>0.08</v>
      </c>
      <c r="Y120"/>
      <c r="Z120"/>
      <c r="AA120"/>
      <c r="AB120" s="65"/>
      <c r="AC120"/>
      <c r="AD120" s="66"/>
      <c r="AE120" s="66"/>
      <c r="AF120" s="65"/>
      <c r="AG120" s="66"/>
      <c r="AH120" s="66"/>
      <c r="AI120" s="65"/>
      <c r="AJ120" s="66"/>
      <c r="AK120" s="66"/>
      <c r="AL120" s="65"/>
      <c r="AM120" s="52">
        <v>0.5</v>
      </c>
      <c r="AN120" s="52">
        <v>0.15</v>
      </c>
      <c r="AO120" s="52">
        <v>6000</v>
      </c>
      <c r="AP120" s="52">
        <v>500</v>
      </c>
      <c r="AQ120" s="52">
        <v>20000</v>
      </c>
      <c r="AU120" s="65"/>
      <c r="AV120" s="8"/>
      <c r="BI120" s="52"/>
      <c r="BJ120" s="52"/>
    </row>
    <row r="121" spans="1:62">
      <c r="A121">
        <v>200</v>
      </c>
      <c r="B121" s="48">
        <f ca="1">ROUND(((U121-$U$29)+($V$29-V121)),0)</f>
        <v>1</v>
      </c>
      <c r="C121" s="49">
        <f ca="1">C49</f>
        <v>3</v>
      </c>
      <c r="D121" s="9">
        <v>77</v>
      </c>
      <c r="E121">
        <f>ROUND(POWER(A121*D121/100,AM121),0)</f>
        <v>12</v>
      </c>
      <c r="I121" s="9">
        <v>25</v>
      </c>
      <c r="J121">
        <f>ROUND(POWER($A$25*I121/100,$AM$25),0)</f>
        <v>7</v>
      </c>
      <c r="K121" s="2">
        <v>3</v>
      </c>
      <c r="L121">
        <f ca="1">ROUND(30/K121*P121*N121,2)</f>
        <v>11.2</v>
      </c>
      <c r="M121" s="9">
        <v>0</v>
      </c>
      <c r="N121" s="12">
        <f ca="1">OFFSET(其他表格!$G$2,M121/100,0)</f>
        <v>0.7</v>
      </c>
      <c r="O121" s="9">
        <v>10</v>
      </c>
      <c r="P121" s="12">
        <f ca="1">OFFSET(其他表格!$B$1,O121,0)</f>
        <v>1.6</v>
      </c>
      <c r="Q121">
        <f>ROUND((E121+200)*AN121,2)</f>
        <v>31.8</v>
      </c>
      <c r="R121">
        <f>ROUND(($E$25+200)*$AN$25,2)</f>
        <v>30</v>
      </c>
      <c r="S121">
        <f>ROUND(POWER((E121+200-$J$25-200+AP121),2)/AO121,2)</f>
        <v>43.69</v>
      </c>
      <c r="T121">
        <f>ROUND(POWER(($E$25+200-J121-200+AP121),2)/AO121,2)</f>
        <v>40.51</v>
      </c>
      <c r="U121">
        <f ca="1">ROUND((Q121+S121)*(A121+A121)/AQ121*L121,0)</f>
        <v>17</v>
      </c>
      <c r="V121">
        <f ca="1">ROUND((R121+T121)*(A121+A121)/AQ121*L121,0)</f>
        <v>16</v>
      </c>
      <c r="W121" s="65">
        <f ca="1">MIN(ROUND(U121/A121,4),1)</f>
        <v>8.5000000000000006E-2</v>
      </c>
      <c r="X121" s="65">
        <f ca="1">MIN(ROUND(V121/A121,4),1)</f>
        <v>0.08</v>
      </c>
      <c r="Y121"/>
      <c r="Z121"/>
      <c r="AA121"/>
      <c r="AB121" s="65"/>
      <c r="AC121"/>
      <c r="AD121" s="66"/>
      <c r="AE121" s="66"/>
      <c r="AF121" s="65"/>
      <c r="AG121" s="66"/>
      <c r="AH121" s="66"/>
      <c r="AI121" s="65"/>
      <c r="AJ121" s="66"/>
      <c r="AK121" s="66"/>
      <c r="AL121" s="65"/>
      <c r="AM121" s="52">
        <v>0.5</v>
      </c>
      <c r="AN121" s="52">
        <v>0.15</v>
      </c>
      <c r="AO121" s="52">
        <v>6000</v>
      </c>
      <c r="AP121" s="52">
        <v>500</v>
      </c>
      <c r="AQ121" s="52">
        <v>20000</v>
      </c>
      <c r="AU121" s="65"/>
      <c r="AV121" s="8"/>
      <c r="BI121" s="52"/>
      <c r="BJ121" s="52"/>
    </row>
    <row r="122" spans="1:62">
      <c r="A122">
        <v>500</v>
      </c>
      <c r="B122" s="48">
        <f ca="1">ROUND(((U122-$U$29)+($V$29-V122)),0)</f>
        <v>5</v>
      </c>
      <c r="C122" s="49">
        <f ca="1">C50</f>
        <v>5</v>
      </c>
      <c r="D122" s="9">
        <v>77</v>
      </c>
      <c r="E122">
        <f>ROUND(POWER(A122*D122/100,AM122),0)</f>
        <v>20</v>
      </c>
      <c r="I122" s="9">
        <v>25</v>
      </c>
      <c r="J122">
        <f>ROUND(POWER($A$26*I122/100,$AM$26),0)</f>
        <v>11</v>
      </c>
      <c r="K122" s="2">
        <v>3</v>
      </c>
      <c r="L122">
        <f ca="1">ROUND(30/K122*P122*N122,2)</f>
        <v>11.2</v>
      </c>
      <c r="M122" s="9">
        <v>0</v>
      </c>
      <c r="N122" s="12">
        <f ca="1">OFFSET(其他表格!$G$2,M122/100,0)</f>
        <v>0.7</v>
      </c>
      <c r="O122" s="9">
        <v>10</v>
      </c>
      <c r="P122" s="12">
        <f ca="1">OFFSET(其他表格!$B$1,O122,0)</f>
        <v>1.6</v>
      </c>
      <c r="Q122">
        <f>ROUND((E122+200)*AN122,2)</f>
        <v>33</v>
      </c>
      <c r="R122">
        <f>ROUND(($E$26+200)*$AN$26,2)</f>
        <v>30</v>
      </c>
      <c r="S122">
        <f>ROUND(POWER((E122+200-$J$26-200+AP122),2)/AO122,2)</f>
        <v>45.07</v>
      </c>
      <c r="T122">
        <f>ROUND(POWER(($E$26+200-J122-200+AP122),2)/AO122,2)</f>
        <v>39.85</v>
      </c>
      <c r="U122">
        <f ca="1">ROUND((Q122+S122)*(A122+A122)/AQ122*L122,0)</f>
        <v>44</v>
      </c>
      <c r="V122">
        <f ca="1">ROUND((R122+T122)*(A122+A122)/AQ122*L122,0)</f>
        <v>39</v>
      </c>
      <c r="W122" s="65">
        <f ca="1">MIN(ROUND(U122/A122,4),1)</f>
        <v>8.7999999999999995E-2</v>
      </c>
      <c r="X122" s="65">
        <f ca="1">MIN(ROUND(V122/A122,4),1)</f>
        <v>7.8E-2</v>
      </c>
      <c r="Y122"/>
      <c r="Z122"/>
      <c r="AA122"/>
      <c r="AB122" s="65"/>
      <c r="AC122"/>
      <c r="AD122" s="66"/>
      <c r="AE122" s="66"/>
      <c r="AF122" s="65"/>
      <c r="AG122" s="66"/>
      <c r="AH122" s="66"/>
      <c r="AI122" s="65"/>
      <c r="AJ122" s="66"/>
      <c r="AK122" s="66"/>
      <c r="AL122" s="65"/>
      <c r="AM122" s="52">
        <v>0.5</v>
      </c>
      <c r="AN122" s="52">
        <v>0.15</v>
      </c>
      <c r="AO122" s="52">
        <v>6000</v>
      </c>
      <c r="AP122" s="52">
        <v>500</v>
      </c>
      <c r="AQ122" s="52">
        <v>20000</v>
      </c>
      <c r="AU122" s="65"/>
      <c r="AV122" s="8"/>
      <c r="BI122" s="52"/>
      <c r="BJ122" s="52"/>
    </row>
    <row r="123" spans="1:62">
      <c r="A123">
        <v>1000</v>
      </c>
      <c r="B123" s="48">
        <f ca="1">ROUND(((U123-$U$29)+($V$29-V123)),0)</f>
        <v>13</v>
      </c>
      <c r="C123" s="49">
        <f ca="1">C51</f>
        <v>15</v>
      </c>
      <c r="D123" s="9">
        <v>77</v>
      </c>
      <c r="E123">
        <f>ROUND(POWER(A123*D123/100,AM123),0)</f>
        <v>28</v>
      </c>
      <c r="I123" s="9">
        <v>25</v>
      </c>
      <c r="J123">
        <f>ROUND(POWER($A$27*I123/100,$AM$27),0)</f>
        <v>16</v>
      </c>
      <c r="K123" s="2">
        <v>3</v>
      </c>
      <c r="L123">
        <f ca="1">ROUND(30/K123*P123*N123,2)</f>
        <v>11.2</v>
      </c>
      <c r="M123" s="9">
        <v>0</v>
      </c>
      <c r="N123" s="12">
        <f ca="1">OFFSET(其他表格!$G$2,M123/100,0)</f>
        <v>0.7</v>
      </c>
      <c r="O123" s="9">
        <v>10</v>
      </c>
      <c r="P123" s="12">
        <f ca="1">OFFSET(其他表格!$B$1,O123,0)</f>
        <v>1.6</v>
      </c>
      <c r="Q123">
        <f>ROUND((E123+200)*AN123,2)</f>
        <v>34.200000000000003</v>
      </c>
      <c r="R123">
        <f>ROUND(($E$27+200)*$AN$27,2)</f>
        <v>30</v>
      </c>
      <c r="S123">
        <f>ROUND(POWER((E123+200-$J$27-200+AP123),2)/AO123,2)</f>
        <v>46.46</v>
      </c>
      <c r="T123">
        <f>ROUND(POWER(($E$27+200-J123-200+AP123),2)/AO123,2)</f>
        <v>39.04</v>
      </c>
      <c r="U123">
        <f ca="1">ROUND((Q123+S123)*(A123+A123)/AQ123*L123,0)</f>
        <v>90</v>
      </c>
      <c r="V123">
        <f ca="1">ROUND((R123+T123)*(A123+A123)/AQ123*L123,0)</f>
        <v>77</v>
      </c>
      <c r="W123" s="65">
        <f ca="1">MIN(ROUND(U123/A123,4),1)</f>
        <v>0.09</v>
      </c>
      <c r="X123" s="65">
        <f ca="1">MIN(ROUND(V123/A123,4),1)</f>
        <v>7.6999999999999999E-2</v>
      </c>
      <c r="Y123"/>
      <c r="Z123"/>
      <c r="AA123"/>
      <c r="AB123" s="65"/>
      <c r="AC123"/>
      <c r="AD123" s="66"/>
      <c r="AE123" s="66"/>
      <c r="AF123" s="65"/>
      <c r="AG123" s="66"/>
      <c r="AH123" s="66"/>
      <c r="AI123" s="65"/>
      <c r="AJ123" s="66"/>
      <c r="AK123" s="66"/>
      <c r="AL123" s="65"/>
      <c r="AM123" s="52">
        <v>0.5</v>
      </c>
      <c r="AN123" s="52">
        <v>0.15</v>
      </c>
      <c r="AO123" s="52">
        <v>6000</v>
      </c>
      <c r="AP123" s="52">
        <v>500</v>
      </c>
      <c r="AQ123" s="52">
        <v>20000</v>
      </c>
      <c r="AU123" s="65"/>
      <c r="AV123" s="8"/>
      <c r="BI123" s="52"/>
      <c r="BJ123" s="52"/>
    </row>
    <row r="124" spans="1:62">
      <c r="A124">
        <v>2000</v>
      </c>
      <c r="B124" s="48">
        <f ca="1">ROUND(((U124-$U$29)+($V$29-V124)),0)</f>
        <v>37</v>
      </c>
      <c r="C124" s="49">
        <f ca="1">C52</f>
        <v>37</v>
      </c>
      <c r="D124" s="9">
        <v>77</v>
      </c>
      <c r="E124">
        <f>ROUND(POWER(A124*D124/100,AM124),0)</f>
        <v>39</v>
      </c>
      <c r="I124" s="9">
        <v>25</v>
      </c>
      <c r="J124">
        <f>ROUND(POWER($A$28*I124/100,$AM$28),0)</f>
        <v>22</v>
      </c>
      <c r="K124" s="2">
        <v>3</v>
      </c>
      <c r="L124">
        <f ca="1">ROUND(30/K124*P124*N124,2)</f>
        <v>11.2</v>
      </c>
      <c r="M124" s="9">
        <v>0</v>
      </c>
      <c r="N124" s="12">
        <f ca="1">OFFSET(其他表格!$G$2,M124/100,0)</f>
        <v>0.7</v>
      </c>
      <c r="O124" s="9">
        <v>10</v>
      </c>
      <c r="P124" s="12">
        <f ca="1">OFFSET(其他表格!$B$1,O124,0)</f>
        <v>1.6</v>
      </c>
      <c r="Q124">
        <f>ROUND((E124+200)*AN124,2)</f>
        <v>35.85</v>
      </c>
      <c r="R124">
        <f>ROUND(($E$28+200)*$AN$28,2)</f>
        <v>30</v>
      </c>
      <c r="S124">
        <f>ROUND(POWER((E124+200-$J$28-200+AP124),2)/AO124,2)</f>
        <v>48.42</v>
      </c>
      <c r="T124">
        <f>ROUND(POWER(($E$28+200-J124-200+AP124),2)/AO124,2)</f>
        <v>38.08</v>
      </c>
      <c r="U124">
        <f ca="1">ROUND((Q124+S124)*(A124+A124)/AQ124*L124,0)</f>
        <v>189</v>
      </c>
      <c r="V124">
        <f ca="1">ROUND((R124+T124)*(A124+A124)/AQ124*L124,0)</f>
        <v>152</v>
      </c>
      <c r="W124" s="65">
        <f ca="1">MIN(ROUND(U124/A124,4),1)</f>
        <v>9.4500000000000001E-2</v>
      </c>
      <c r="X124" s="65">
        <f ca="1">MIN(ROUND(V124/A124,4),1)</f>
        <v>7.5999999999999998E-2</v>
      </c>
      <c r="Y124"/>
      <c r="Z124"/>
      <c r="AA124"/>
      <c r="AB124" s="65"/>
      <c r="AC124"/>
      <c r="AD124" s="66"/>
      <c r="AE124" s="66"/>
      <c r="AF124" s="65"/>
      <c r="AG124" s="66"/>
      <c r="AH124" s="66"/>
      <c r="AI124" s="65"/>
      <c r="AJ124" s="66"/>
      <c r="AK124" s="66"/>
      <c r="AL124" s="65"/>
      <c r="AM124" s="52">
        <v>0.5</v>
      </c>
      <c r="AN124" s="52">
        <v>0.15</v>
      </c>
      <c r="AO124" s="52">
        <v>6000</v>
      </c>
      <c r="AP124" s="52">
        <v>500</v>
      </c>
      <c r="AQ124" s="52">
        <v>20000</v>
      </c>
      <c r="AU124" s="65"/>
      <c r="AV124" s="8"/>
      <c r="BI124" s="52"/>
      <c r="BJ124" s="52"/>
    </row>
    <row r="125" spans="1:62">
      <c r="A125">
        <v>5000</v>
      </c>
      <c r="B125" s="48">
        <f ca="1">ROUND(((U125-$U$29)+($V$29-V125)),0)</f>
        <v>145</v>
      </c>
      <c r="C125" s="49">
        <f ca="1">C53</f>
        <v>145</v>
      </c>
      <c r="D125" s="9">
        <v>77</v>
      </c>
      <c r="E125">
        <f>ROUND(POWER(A125*D125/100,AM125),0)</f>
        <v>62</v>
      </c>
      <c r="I125" s="9">
        <v>25</v>
      </c>
      <c r="J125">
        <f>ROUND(POWER($A$29*I125/100,$AM$29),0)</f>
        <v>35</v>
      </c>
      <c r="K125" s="2">
        <v>3</v>
      </c>
      <c r="L125">
        <f ca="1">ROUND(30/K125*P125*N125,2)</f>
        <v>11.2</v>
      </c>
      <c r="M125" s="9">
        <v>0</v>
      </c>
      <c r="N125" s="12">
        <f ca="1">OFFSET(其他表格!$G$2,M125/100,0)</f>
        <v>0.7</v>
      </c>
      <c r="O125" s="9">
        <v>10</v>
      </c>
      <c r="P125" s="12">
        <f ca="1">OFFSET(其他表格!$B$1,O125,0)</f>
        <v>1.6</v>
      </c>
      <c r="Q125">
        <f>ROUND((E125+200)*AN125,2)</f>
        <v>39.299999999999997</v>
      </c>
      <c r="R125">
        <f>ROUND(($E$29+200)*$AN$29,2)</f>
        <v>30</v>
      </c>
      <c r="S125">
        <f>ROUND(POWER((E125+200-$J$29-200+AP125),2)/AO125,2)</f>
        <v>52.64</v>
      </c>
      <c r="T125">
        <f>ROUND(POWER(($E$29+200-J125-200+AP125),2)/AO125,2)</f>
        <v>36.04</v>
      </c>
      <c r="U125">
        <f ca="1">ROUND((Q125+S125)*(A125+A125)/AQ125*L125,0)</f>
        <v>515</v>
      </c>
      <c r="V125">
        <f ca="1">ROUND((R125+T125)*(A125+A125)/AQ125*L125,0)</f>
        <v>370</v>
      </c>
      <c r="W125" s="65">
        <f ca="1">MIN(ROUND(U125/A125,4),1)</f>
        <v>0.10299999999999999</v>
      </c>
      <c r="X125" s="65">
        <f ca="1">MIN(ROUND(V125/A125,4),1)</f>
        <v>7.3999999999999996E-2</v>
      </c>
      <c r="Y125"/>
      <c r="Z125"/>
      <c r="AA125"/>
      <c r="AB125" s="65"/>
      <c r="AC125"/>
      <c r="AD125" s="66"/>
      <c r="AE125" s="66"/>
      <c r="AF125" s="65"/>
      <c r="AG125" s="66"/>
      <c r="AH125" s="66"/>
      <c r="AI125" s="65"/>
      <c r="AJ125" s="66"/>
      <c r="AK125" s="66"/>
      <c r="AL125" s="65"/>
      <c r="AM125" s="52">
        <v>0.5</v>
      </c>
      <c r="AN125" s="52">
        <v>0.15</v>
      </c>
      <c r="AO125" s="52">
        <v>6000</v>
      </c>
      <c r="AP125" s="52">
        <v>500</v>
      </c>
      <c r="AQ125" s="52">
        <v>20000</v>
      </c>
      <c r="AU125" s="65"/>
      <c r="AV125" s="8"/>
      <c r="BI125" s="52"/>
      <c r="BJ125" s="52"/>
    </row>
  </sheetData>
  <phoneticPr fontId="8" type="noConversion"/>
  <pageMargins left="0.69930555555555596" right="0.69930555555555596" top="0.75" bottom="0.75" header="0.3" footer="0.3"/>
  <pageSetup paperSize="9" orientation="portrait" horizontalDpi="200" verticalDpi="300"/>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88"/>
  <sheetViews>
    <sheetView workbookViewId="0">
      <pane xSplit="1" ySplit="1" topLeftCell="B2" activePane="bottomRight" state="frozen"/>
      <selection pane="topRight" activeCell="B1" sqref="B1"/>
      <selection pane="bottomLeft" activeCell="A2" sqref="A2"/>
      <selection pane="bottomRight" activeCell="C22" sqref="C22"/>
    </sheetView>
  </sheetViews>
  <sheetFormatPr defaultColWidth="9" defaultRowHeight="13.5"/>
  <cols>
    <col min="1" max="1" width="8.25" customWidth="1"/>
    <col min="2" max="2" width="9" style="12"/>
    <col min="3" max="3" width="7.5" style="12" customWidth="1"/>
    <col min="4" max="4" width="10.375" style="40" customWidth="1"/>
    <col min="5" max="5" width="13" style="40" customWidth="1"/>
    <col min="6" max="6" width="12.5" style="40" customWidth="1"/>
    <col min="7" max="7" width="10.375" style="40" customWidth="1"/>
    <col min="8" max="8" width="13.25" style="40" customWidth="1"/>
    <col min="9" max="9" width="9.875" style="41" customWidth="1"/>
    <col min="10" max="10" width="7.5" style="40" customWidth="1"/>
    <col min="11" max="13" width="9" style="12"/>
    <col min="14" max="14" width="20.125" style="12" customWidth="1"/>
    <col min="15" max="15" width="17.75" style="12" customWidth="1"/>
    <col min="16" max="16" width="15.125" style="40" customWidth="1"/>
    <col min="17" max="17" width="16" style="42" customWidth="1"/>
    <col min="18" max="18" width="15.75" style="42" customWidth="1"/>
    <col min="19" max="19" width="16.875" style="42" customWidth="1"/>
    <col min="20" max="20" width="16.125" style="42" customWidth="1"/>
    <col min="21" max="21" width="15.875" style="40" customWidth="1"/>
    <col min="22" max="22" width="14.375" style="12" customWidth="1"/>
    <col min="23" max="23" width="13" style="12" customWidth="1"/>
    <col min="24" max="24" width="12.75" style="12" bestFit="1" customWidth="1"/>
    <col min="25" max="25" width="16.25" style="12" customWidth="1"/>
    <col min="26" max="16384" width="9" style="12"/>
  </cols>
  <sheetData>
    <row r="1" spans="1:25" s="4" customFormat="1" ht="27">
      <c r="B1" s="4" t="s">
        <v>184</v>
      </c>
      <c r="C1" s="4" t="s">
        <v>185</v>
      </c>
      <c r="D1" s="43" t="s">
        <v>186</v>
      </c>
      <c r="E1" s="43" t="s">
        <v>187</v>
      </c>
      <c r="F1" s="43" t="s">
        <v>188</v>
      </c>
      <c r="G1" s="43" t="s">
        <v>1180</v>
      </c>
      <c r="H1" s="43" t="s">
        <v>189</v>
      </c>
      <c r="I1" s="44" t="s">
        <v>190</v>
      </c>
      <c r="K1" s="4" t="s">
        <v>191</v>
      </c>
      <c r="L1" s="4" t="s">
        <v>192</v>
      </c>
      <c r="M1" s="4" t="s">
        <v>193</v>
      </c>
      <c r="O1" s="4" t="s">
        <v>1071</v>
      </c>
      <c r="P1" s="40" t="s">
        <v>194</v>
      </c>
      <c r="Q1" s="45" t="str">
        <f>基本公式!A91</f>
        <v>建造</v>
      </c>
      <c r="R1" s="45" t="str">
        <f>基本公式!A92</f>
        <v>部队运输</v>
      </c>
      <c r="S1" s="45" t="str">
        <f>基本公式!A93</f>
        <v>训练</v>
      </c>
      <c r="T1" s="45" t="str">
        <f>基本公式!A94</f>
        <v>人口的基本消费</v>
      </c>
      <c r="U1" s="43" t="str">
        <f>基本公式!A100</f>
        <v>科研</v>
      </c>
      <c r="V1" s="4" t="str">
        <f>基本公式!A110</f>
        <v>武将俸禄</v>
      </c>
      <c r="W1" s="4" t="str">
        <f>基本公式!A111</f>
        <v>武将招募</v>
      </c>
      <c r="X1" s="4" t="str">
        <f>基本公式!A112</f>
        <v>武将赏赐</v>
      </c>
      <c r="Y1" s="4" t="str">
        <f>基本公式!A113</f>
        <v>武将技能</v>
      </c>
    </row>
    <row r="2" spans="1:25" s="7" customFormat="1">
      <c r="A2" s="28" t="s">
        <v>91</v>
      </c>
      <c r="D2" s="24"/>
      <c r="E2" s="24"/>
      <c r="F2" s="24"/>
      <c r="G2" s="24"/>
      <c r="H2" s="24"/>
      <c r="I2" s="37"/>
      <c r="J2" s="24"/>
      <c r="P2" s="38"/>
      <c r="Q2" s="36"/>
      <c r="R2" s="36"/>
      <c r="S2" s="36"/>
      <c r="T2" s="36"/>
      <c r="U2" s="24"/>
    </row>
    <row r="3" spans="1:25">
      <c r="B3" s="12">
        <v>1</v>
      </c>
      <c r="C3" s="12">
        <v>0.1</v>
      </c>
      <c r="D3" s="26">
        <f t="shared" ref="D3" si="0">ROUND(C3*3600*(1+I3),0)</f>
        <v>396</v>
      </c>
      <c r="E3" s="40">
        <f>24*D3</f>
        <v>9504</v>
      </c>
      <c r="F3" s="40">
        <f t="shared" ref="F3" si="1">E3*G3</f>
        <v>9504</v>
      </c>
      <c r="G3" s="40">
        <v>1</v>
      </c>
      <c r="H3" s="26">
        <f>3*F3</f>
        <v>28512</v>
      </c>
      <c r="I3" s="41">
        <f t="shared" ref="I3" si="2">I4-0.1</f>
        <v>9.9999999999999367E-2</v>
      </c>
      <c r="K3" s="12">
        <f>C3+C25+C47</f>
        <v>0.30000000000000004</v>
      </c>
      <c r="L3" s="12">
        <f t="shared" ref="L3" si="3">M3-M2</f>
        <v>0.01</v>
      </c>
      <c r="M3" s="12">
        <v>0.01</v>
      </c>
      <c r="O3" s="40">
        <f>P3*(1+其他表格!X28)</f>
        <v>190.08</v>
      </c>
      <c r="P3" s="40">
        <f>M3*F3*基本公式!$B$151</f>
        <v>190.08</v>
      </c>
      <c r="Q3" s="42">
        <f>ROUND(O3*基本公式!$B$91,0)</f>
        <v>95</v>
      </c>
      <c r="R3" s="42">
        <f>ROUND(O3*基本公式!$B$92,0)</f>
        <v>6</v>
      </c>
      <c r="S3" s="42">
        <f>ROUND(O3*基本公式!$B$93+其他表格!S2,0)</f>
        <v>7013</v>
      </c>
      <c r="T3" s="42">
        <f>ROUND(O3*基本公式!$B$94,0)</f>
        <v>38</v>
      </c>
    </row>
    <row r="4" spans="1:25">
      <c r="B4" s="12">
        <v>2</v>
      </c>
      <c r="C4" s="12">
        <f>C3+C3</f>
        <v>0.2</v>
      </c>
      <c r="D4" s="26">
        <f t="shared" ref="D4:D22" si="4">ROUND(C4*3600*(1+I4),0)</f>
        <v>864</v>
      </c>
      <c r="E4" s="40">
        <f t="shared" ref="E4" si="5">24*D4</f>
        <v>20736</v>
      </c>
      <c r="F4" s="40">
        <f t="shared" ref="F4:F12" si="6">E4*G4</f>
        <v>20736</v>
      </c>
      <c r="G4" s="40">
        <v>1</v>
      </c>
      <c r="H4" s="26">
        <f t="shared" ref="H4" si="7">3*F4</f>
        <v>62208</v>
      </c>
      <c r="I4" s="41">
        <f t="shared" ref="I4:I21" si="8">I5-0.1</f>
        <v>0.19999999999999937</v>
      </c>
      <c r="K4" s="12">
        <f t="shared" ref="K4" si="9">C4+C26+C48</f>
        <v>0.60000000000000009</v>
      </c>
      <c r="L4" s="12">
        <f t="shared" ref="L4:L9" si="10">M4-M3</f>
        <v>0.04</v>
      </c>
      <c r="M4" s="12">
        <v>0.05</v>
      </c>
      <c r="O4" s="40">
        <f>P4*(1+其他表格!X29)</f>
        <v>2073.6</v>
      </c>
      <c r="P4" s="40">
        <f>M4*F4*基本公式!$B$151</f>
        <v>2073.6</v>
      </c>
      <c r="Q4" s="42">
        <f>ROUND(O4*基本公式!$B$91,0)</f>
        <v>1037</v>
      </c>
      <c r="R4" s="42">
        <f>ROUND(O4*基本公式!$B$92,0)</f>
        <v>62</v>
      </c>
      <c r="S4" s="42">
        <f>ROUND(O4*基本公式!$B$93+其他表格!S3,0)</f>
        <v>10145</v>
      </c>
      <c r="T4" s="42">
        <f>ROUND(O4*基本公式!$B$94,0)</f>
        <v>415</v>
      </c>
    </row>
    <row r="5" spans="1:25">
      <c r="B5" s="12">
        <v>3</v>
      </c>
      <c r="C5" s="12">
        <f t="shared" ref="C5" si="11">C4+C3</f>
        <v>0.30000000000000004</v>
      </c>
      <c r="D5" s="26">
        <f t="shared" si="4"/>
        <v>1404</v>
      </c>
      <c r="E5" s="40">
        <f t="shared" ref="E5:E22" si="12">24*D5</f>
        <v>33696</v>
      </c>
      <c r="F5" s="40">
        <f t="shared" si="6"/>
        <v>33696</v>
      </c>
      <c r="G5" s="40">
        <v>1</v>
      </c>
      <c r="H5" s="26">
        <f t="shared" ref="H5:H12" si="13">3*F5</f>
        <v>101088</v>
      </c>
      <c r="I5" s="41">
        <f t="shared" si="8"/>
        <v>0.29999999999999938</v>
      </c>
      <c r="K5" s="12">
        <f t="shared" ref="K5:K22" si="14">C5+C27+C49</f>
        <v>0.90000000000000013</v>
      </c>
      <c r="L5" s="12">
        <f t="shared" si="10"/>
        <v>0.15000000000000002</v>
      </c>
      <c r="M5" s="12">
        <v>0.2</v>
      </c>
      <c r="O5" s="40">
        <f>P5*(1+其他表格!X30)</f>
        <v>13478.400000000001</v>
      </c>
      <c r="P5" s="40">
        <f>M5*F5*基本公式!$B$151</f>
        <v>13478.400000000001</v>
      </c>
      <c r="Q5" s="42">
        <f>ROUND(O5*基本公式!$B$91,0)</f>
        <v>6739</v>
      </c>
      <c r="R5" s="42">
        <f>ROUND(O5*基本公式!$B$92,0)</f>
        <v>404</v>
      </c>
      <c r="S5" s="42">
        <f>ROUND(O5*基本公式!$B$93+其他表格!S4,0)</f>
        <v>13943</v>
      </c>
      <c r="T5" s="42">
        <f>ROUND(O5*基本公式!$B$94,0)</f>
        <v>2696</v>
      </c>
    </row>
    <row r="6" spans="1:25">
      <c r="B6" s="12">
        <v>4</v>
      </c>
      <c r="C6" s="12">
        <f>C5+C4</f>
        <v>0.5</v>
      </c>
      <c r="D6" s="26">
        <f t="shared" si="4"/>
        <v>2520</v>
      </c>
      <c r="E6" s="40">
        <f t="shared" si="12"/>
        <v>60480</v>
      </c>
      <c r="F6" s="40">
        <f t="shared" si="6"/>
        <v>60480</v>
      </c>
      <c r="G6" s="40">
        <v>1</v>
      </c>
      <c r="H6" s="26">
        <f t="shared" si="13"/>
        <v>181440</v>
      </c>
      <c r="I6" s="41">
        <f t="shared" si="8"/>
        <v>0.39999999999999936</v>
      </c>
      <c r="K6" s="12">
        <f t="shared" si="14"/>
        <v>1.5</v>
      </c>
      <c r="L6" s="12">
        <f t="shared" si="10"/>
        <v>0.25</v>
      </c>
      <c r="M6" s="12">
        <v>0.45</v>
      </c>
      <c r="O6" s="40">
        <f>P6*(1+其他表格!X31)</f>
        <v>54432</v>
      </c>
      <c r="P6" s="40">
        <f>M6*F6*基本公式!$B$151</f>
        <v>54432</v>
      </c>
      <c r="Q6" s="42">
        <f>ROUND(O6*基本公式!$B$91,0)</f>
        <v>27216</v>
      </c>
      <c r="R6" s="42">
        <f>ROUND(O6*基本公式!$B$92,0)</f>
        <v>1633</v>
      </c>
      <c r="S6" s="42">
        <f>ROUND(O6*基本公式!$B$93+其他表格!S5,0)</f>
        <v>18810</v>
      </c>
      <c r="T6" s="42">
        <f>ROUND(O6*基本公式!$B$94,0)</f>
        <v>10886</v>
      </c>
    </row>
    <row r="7" spans="1:25">
      <c r="B7" s="12">
        <v>5</v>
      </c>
      <c r="C7" s="12">
        <f>C6+C5</f>
        <v>0.8</v>
      </c>
      <c r="D7" s="26">
        <f t="shared" si="4"/>
        <v>4320</v>
      </c>
      <c r="E7" s="40">
        <f t="shared" si="12"/>
        <v>103680</v>
      </c>
      <c r="F7" s="40">
        <f t="shared" si="6"/>
        <v>103680</v>
      </c>
      <c r="G7" s="40">
        <v>1</v>
      </c>
      <c r="H7" s="26">
        <f t="shared" si="13"/>
        <v>311040</v>
      </c>
      <c r="I7" s="41">
        <f t="shared" si="8"/>
        <v>0.49999999999999933</v>
      </c>
      <c r="K7" s="12">
        <f t="shared" si="14"/>
        <v>2.4000000000000004</v>
      </c>
      <c r="L7" s="12">
        <f t="shared" si="10"/>
        <v>0.39999999999999997</v>
      </c>
      <c r="M7" s="12">
        <v>0.85</v>
      </c>
      <c r="O7" s="40">
        <f>P7*(1+其他表格!X32)</f>
        <v>176256</v>
      </c>
      <c r="P7" s="40">
        <f>M7*F7*基本公式!$B$151</f>
        <v>176256</v>
      </c>
      <c r="Q7" s="42">
        <f>ROUND(O7*基本公式!$B$91,0)</f>
        <v>88128</v>
      </c>
      <c r="R7" s="42">
        <f>ROUND(O7*基本公式!$B$92,0)</f>
        <v>5288</v>
      </c>
      <c r="S7" s="42">
        <f>ROUND(O7*基本公式!$B$93+其他表格!S6,0)</f>
        <v>27338</v>
      </c>
      <c r="T7" s="42">
        <f>ROUND(O7*基本公式!$B$94,0)</f>
        <v>35251</v>
      </c>
    </row>
    <row r="8" spans="1:25">
      <c r="B8" s="12">
        <v>6</v>
      </c>
      <c r="C8" s="12">
        <f>C7+C6</f>
        <v>1.3</v>
      </c>
      <c r="D8" s="26">
        <f t="shared" si="4"/>
        <v>7488</v>
      </c>
      <c r="E8" s="40">
        <f t="shared" si="12"/>
        <v>179712</v>
      </c>
      <c r="F8" s="40">
        <f t="shared" si="6"/>
        <v>179712</v>
      </c>
      <c r="G8" s="40">
        <v>1</v>
      </c>
      <c r="H8" s="26">
        <f t="shared" si="13"/>
        <v>539136</v>
      </c>
      <c r="I8" s="41">
        <f t="shared" si="8"/>
        <v>0.59999999999999931</v>
      </c>
      <c r="K8" s="12">
        <f t="shared" si="14"/>
        <v>3.9000000000000004</v>
      </c>
      <c r="L8" s="12">
        <f t="shared" si="10"/>
        <v>0.54999999999999993</v>
      </c>
      <c r="M8" s="12">
        <v>1.4</v>
      </c>
      <c r="O8" s="40">
        <f>P8*(1+其他表格!X33)</f>
        <v>503193.59999999998</v>
      </c>
      <c r="P8" s="40">
        <f>M8*F8*基本公式!$B$151</f>
        <v>503193.59999999998</v>
      </c>
      <c r="Q8" s="42">
        <f>ROUND(O8*基本公式!$B$91,0)</f>
        <v>251597</v>
      </c>
      <c r="R8" s="42">
        <f>ROUND(O8*基本公式!$B$92,0)</f>
        <v>15096</v>
      </c>
      <c r="S8" s="42">
        <f>ROUND(O8*基本公式!$B$93+其他表格!S7,0)</f>
        <v>63224</v>
      </c>
      <c r="T8" s="42">
        <f>ROUND(O8*基本公式!$B$94,0)</f>
        <v>100639</v>
      </c>
    </row>
    <row r="9" spans="1:25">
      <c r="B9" s="12">
        <v>7</v>
      </c>
      <c r="C9" s="12">
        <f>C8+C7</f>
        <v>2.1</v>
      </c>
      <c r="D9" s="26">
        <f t="shared" si="4"/>
        <v>12852</v>
      </c>
      <c r="E9" s="40">
        <f t="shared" si="12"/>
        <v>308448</v>
      </c>
      <c r="F9" s="40">
        <f t="shared" si="6"/>
        <v>308448</v>
      </c>
      <c r="G9" s="40">
        <v>1</v>
      </c>
      <c r="H9" s="26">
        <f t="shared" si="13"/>
        <v>925344</v>
      </c>
      <c r="I9" s="41">
        <f t="shared" si="8"/>
        <v>0.69999999999999929</v>
      </c>
      <c r="K9" s="12">
        <f t="shared" si="14"/>
        <v>6.3000000000000007</v>
      </c>
      <c r="L9" s="12">
        <f t="shared" si="10"/>
        <v>0.89999999999999991</v>
      </c>
      <c r="M9" s="12">
        <v>2.2999999999999998</v>
      </c>
      <c r="O9" s="40">
        <f>P9*(1+其他表格!X34)</f>
        <v>1418860.7999999998</v>
      </c>
      <c r="P9" s="40">
        <f>M9*F9*基本公式!$B$151</f>
        <v>1418860.7999999998</v>
      </c>
      <c r="Q9" s="42">
        <f>ROUND(O9*基本公式!$B$91,0)</f>
        <v>709430</v>
      </c>
      <c r="R9" s="42">
        <f>ROUND(O9*基本公式!$B$92,0)</f>
        <v>42566</v>
      </c>
      <c r="S9" s="42">
        <f>ROUND(O9*基本公式!$B$93+其他表格!S8,0)</f>
        <v>127320</v>
      </c>
      <c r="T9" s="42">
        <f>ROUND(O9*基本公式!$B$94,0)</f>
        <v>283772</v>
      </c>
    </row>
    <row r="10" spans="1:25">
      <c r="A10" s="12"/>
      <c r="B10" s="12">
        <v>8</v>
      </c>
      <c r="C10" s="12">
        <f>C9+C8</f>
        <v>3.4000000000000004</v>
      </c>
      <c r="D10" s="26">
        <f t="shared" si="4"/>
        <v>22032</v>
      </c>
      <c r="E10" s="40">
        <f t="shared" si="12"/>
        <v>528768</v>
      </c>
      <c r="F10" s="40">
        <f t="shared" si="6"/>
        <v>528768</v>
      </c>
      <c r="G10" s="40">
        <v>1</v>
      </c>
      <c r="H10" s="26">
        <f t="shared" si="13"/>
        <v>1586304</v>
      </c>
      <c r="I10" s="41">
        <f t="shared" si="8"/>
        <v>0.79999999999999927</v>
      </c>
      <c r="K10" s="12">
        <f t="shared" si="14"/>
        <v>10.200000000000001</v>
      </c>
      <c r="L10" s="12">
        <f t="shared" ref="L10" si="15">M10-M9</f>
        <v>2</v>
      </c>
      <c r="M10" s="12">
        <v>4.3</v>
      </c>
      <c r="O10" s="40">
        <f>P10*(1+其他表格!X35)</f>
        <v>7160646.7583999997</v>
      </c>
      <c r="P10" s="40">
        <f>M10*F10*基本公式!$B$151</f>
        <v>4547404.8</v>
      </c>
      <c r="Q10" s="42">
        <f>ROUND(O10*基本公式!$B$91,0)</f>
        <v>3580323</v>
      </c>
      <c r="R10" s="42">
        <f>ROUND(O10*基本公式!$B$92,0)</f>
        <v>214819</v>
      </c>
      <c r="S10" s="42">
        <f>ROUND(O10*基本公式!$B$93+其他表格!S9,0)</f>
        <v>529245</v>
      </c>
      <c r="T10" s="42">
        <f>ROUND(O10*基本公式!$B$94,0)</f>
        <v>1432129</v>
      </c>
    </row>
    <row r="11" spans="1:25">
      <c r="B11" s="12">
        <v>9</v>
      </c>
      <c r="C11" s="12">
        <f>C10+C8</f>
        <v>4.7</v>
      </c>
      <c r="D11" s="26">
        <f t="shared" si="4"/>
        <v>32148</v>
      </c>
      <c r="E11" s="40">
        <f t="shared" si="12"/>
        <v>771552</v>
      </c>
      <c r="F11" s="40">
        <f t="shared" si="6"/>
        <v>771552</v>
      </c>
      <c r="G11" s="40">
        <v>1</v>
      </c>
      <c r="H11" s="26">
        <f t="shared" si="13"/>
        <v>2314656</v>
      </c>
      <c r="I11" s="41">
        <f t="shared" si="8"/>
        <v>0.89999999999999925</v>
      </c>
      <c r="K11" s="12">
        <f t="shared" si="14"/>
        <v>14.100000000000001</v>
      </c>
      <c r="L11" s="12">
        <f t="shared" ref="L11:L22" si="16">M11-M10</f>
        <v>2.7</v>
      </c>
      <c r="M11" s="12">
        <v>7</v>
      </c>
      <c r="O11" s="40">
        <f>P11*(1+其他表格!X36)</f>
        <v>17009121.024</v>
      </c>
      <c r="P11" s="40">
        <f>M11*F11*基本公式!$B$151</f>
        <v>10801728</v>
      </c>
      <c r="Q11" s="42">
        <f>ROUND(O11*基本公式!$B$91,0)</f>
        <v>8504561</v>
      </c>
      <c r="R11" s="42">
        <f>ROUND(O11*基本公式!$B$92,0)</f>
        <v>510274</v>
      </c>
      <c r="S11" s="42">
        <f>ROUND(O11*基本公式!$B$93+其他表格!S10,0)</f>
        <v>1218638</v>
      </c>
      <c r="T11" s="42">
        <f>ROUND(O11*基本公式!$B$94,0)</f>
        <v>3401824</v>
      </c>
    </row>
    <row r="12" spans="1:25">
      <c r="A12" s="17" t="s">
        <v>195</v>
      </c>
      <c r="B12" s="12">
        <v>10</v>
      </c>
      <c r="C12" s="12">
        <f>C11+C9</f>
        <v>6.8000000000000007</v>
      </c>
      <c r="D12" s="26">
        <f t="shared" si="4"/>
        <v>48960</v>
      </c>
      <c r="E12" s="40">
        <f t="shared" si="12"/>
        <v>1175040</v>
      </c>
      <c r="F12" s="40">
        <f t="shared" si="6"/>
        <v>1175040</v>
      </c>
      <c r="G12" s="40">
        <v>1</v>
      </c>
      <c r="H12" s="26">
        <f t="shared" si="13"/>
        <v>3525120</v>
      </c>
      <c r="I12" s="41">
        <f t="shared" si="8"/>
        <v>0.99999999999999922</v>
      </c>
      <c r="K12" s="12">
        <f t="shared" si="14"/>
        <v>20.400000000000002</v>
      </c>
      <c r="L12" s="12">
        <f t="shared" si="16"/>
        <v>4</v>
      </c>
      <c r="M12" s="12">
        <v>11</v>
      </c>
      <c r="O12" s="40">
        <f>P12*(1+其他表格!X37)</f>
        <v>55562158.079999998</v>
      </c>
      <c r="P12" s="40">
        <f>M12*F12*基本公式!$B$151</f>
        <v>25850880</v>
      </c>
      <c r="Q12" s="42">
        <f>ROUND(O12*基本公式!$B$91,0)</f>
        <v>27781079</v>
      </c>
      <c r="R12" s="42">
        <f>ROUND(O12*基本公式!$B$92,0)</f>
        <v>1666865</v>
      </c>
      <c r="S12" s="42">
        <f>ROUND(O12*基本公式!$B$93+其他表格!S11,0)</f>
        <v>3917351</v>
      </c>
      <c r="T12" s="42">
        <f>ROUND(O12*基本公式!$B$94,0)</f>
        <v>11112432</v>
      </c>
    </row>
    <row r="13" spans="1:25">
      <c r="B13" s="12">
        <v>11</v>
      </c>
      <c r="C13" s="12">
        <f>C11+C10</f>
        <v>8.1000000000000014</v>
      </c>
      <c r="D13" s="26">
        <f t="shared" si="4"/>
        <v>61236</v>
      </c>
      <c r="E13" s="40">
        <f t="shared" si="12"/>
        <v>1469664</v>
      </c>
      <c r="F13" s="40">
        <f t="shared" ref="F13" si="17">E13*G13</f>
        <v>1469664</v>
      </c>
      <c r="G13" s="40">
        <v>1</v>
      </c>
      <c r="H13" s="26">
        <f t="shared" ref="H13" si="18">3*F13</f>
        <v>4408992</v>
      </c>
      <c r="I13" s="41">
        <f t="shared" si="8"/>
        <v>1.0999999999999992</v>
      </c>
      <c r="K13" s="12">
        <f t="shared" si="14"/>
        <v>24.300000000000004</v>
      </c>
      <c r="L13" s="12">
        <f t="shared" si="16"/>
        <v>7</v>
      </c>
      <c r="M13" s="12">
        <v>18</v>
      </c>
      <c r="O13" s="40">
        <f>P13*(1+其他表格!X38)</f>
        <v>113716721.664</v>
      </c>
      <c r="P13" s="40">
        <f>M13*F13*基本公式!$B$151</f>
        <v>52907904</v>
      </c>
      <c r="Q13" s="42">
        <f>ROUND(O13*基本公式!$B$91,0)</f>
        <v>56858361</v>
      </c>
      <c r="R13" s="42">
        <f>ROUND(O13*基本公式!$B$92,0)</f>
        <v>3411502</v>
      </c>
      <c r="S13" s="42">
        <f>ROUND(O13*基本公式!$B$93+其他表格!S12,0)</f>
        <v>7988171</v>
      </c>
      <c r="T13" s="42">
        <f>ROUND(O13*基本公式!$B$94,0)</f>
        <v>22743344</v>
      </c>
    </row>
    <row r="14" spans="1:25">
      <c r="B14" s="12">
        <v>12</v>
      </c>
      <c r="C14" s="12">
        <f>C12+C11</f>
        <v>11.5</v>
      </c>
      <c r="D14" s="26">
        <f t="shared" si="4"/>
        <v>91080</v>
      </c>
      <c r="E14" s="40">
        <f t="shared" si="12"/>
        <v>2185920</v>
      </c>
      <c r="F14" s="40">
        <f t="shared" ref="F14:F22" si="19">E14*G14</f>
        <v>2185920</v>
      </c>
      <c r="G14" s="40">
        <v>1</v>
      </c>
      <c r="H14" s="26">
        <f t="shared" ref="H14:H22" si="20">3*F14</f>
        <v>6557760</v>
      </c>
      <c r="I14" s="41">
        <f t="shared" si="8"/>
        <v>1.1999999999999993</v>
      </c>
      <c r="K14" s="12">
        <f t="shared" si="14"/>
        <v>34.5</v>
      </c>
      <c r="L14" s="12">
        <f t="shared" si="16"/>
        <v>9</v>
      </c>
      <c r="M14" s="12">
        <v>27</v>
      </c>
      <c r="O14" s="40">
        <f>P14*(1+其他表格!X39)</f>
        <v>321540088.32000005</v>
      </c>
      <c r="P14" s="40">
        <f>M14*F14*基本公式!$B$151</f>
        <v>118039680</v>
      </c>
      <c r="Q14" s="42">
        <f>ROUND(O14*基本公式!$B$91,0)</f>
        <v>160770044</v>
      </c>
      <c r="R14" s="42">
        <f>ROUND(O14*基本公式!$B$92,0)</f>
        <v>9646203</v>
      </c>
      <c r="S14" s="42">
        <f>ROUND(O14*基本公式!$B$93+其他表格!S13,0)</f>
        <v>22535806</v>
      </c>
      <c r="T14" s="42">
        <f>ROUND(O14*基本公式!$B$94,0)</f>
        <v>64308018</v>
      </c>
    </row>
    <row r="15" spans="1:25">
      <c r="A15" s="12"/>
      <c r="B15" s="12">
        <v>13</v>
      </c>
      <c r="C15" s="12">
        <v>14.4</v>
      </c>
      <c r="D15" s="26">
        <f t="shared" si="4"/>
        <v>119232</v>
      </c>
      <c r="E15" s="40">
        <f t="shared" si="12"/>
        <v>2861568</v>
      </c>
      <c r="F15" s="40">
        <f t="shared" si="19"/>
        <v>2861568</v>
      </c>
      <c r="G15" s="40">
        <v>1</v>
      </c>
      <c r="H15" s="26">
        <f t="shared" si="20"/>
        <v>8584704</v>
      </c>
      <c r="I15" s="41">
        <f t="shared" si="8"/>
        <v>1.2999999999999994</v>
      </c>
      <c r="K15" s="12">
        <f t="shared" si="14"/>
        <v>43.2</v>
      </c>
      <c r="L15" s="12">
        <f t="shared" si="16"/>
        <v>13</v>
      </c>
      <c r="M15" s="12">
        <v>40</v>
      </c>
      <c r="O15" s="40">
        <f>P15*(1+其他表格!X40)</f>
        <v>623592898.56000006</v>
      </c>
      <c r="P15" s="40">
        <f>M15*F15*基本公式!$B$151</f>
        <v>228925440</v>
      </c>
      <c r="Q15" s="42">
        <f>ROUND(O15*基本公式!$B$91,0)</f>
        <v>311796449</v>
      </c>
      <c r="R15" s="42">
        <f>ROUND(O15*基本公式!$B$92,0)</f>
        <v>18707787</v>
      </c>
      <c r="S15" s="42">
        <f>ROUND(O15*基本公式!$B$93+其他表格!S14,0)</f>
        <v>43679503</v>
      </c>
      <c r="T15" s="42">
        <f>ROUND(O15*基本公式!$B$94,0)</f>
        <v>124718580</v>
      </c>
    </row>
    <row r="16" spans="1:25">
      <c r="A16" s="17" t="s">
        <v>196</v>
      </c>
      <c r="B16" s="12">
        <v>14</v>
      </c>
      <c r="C16" s="12">
        <v>17</v>
      </c>
      <c r="D16" s="26">
        <f t="shared" si="4"/>
        <v>146880</v>
      </c>
      <c r="E16" s="40">
        <f t="shared" si="12"/>
        <v>3525120</v>
      </c>
      <c r="F16" s="40">
        <f t="shared" si="19"/>
        <v>3525120</v>
      </c>
      <c r="G16" s="40">
        <v>1</v>
      </c>
      <c r="H16" s="26">
        <f t="shared" si="20"/>
        <v>10575360</v>
      </c>
      <c r="I16" s="41">
        <f t="shared" si="8"/>
        <v>1.3999999999999995</v>
      </c>
      <c r="K16" s="12">
        <f t="shared" si="14"/>
        <v>51</v>
      </c>
      <c r="L16" s="12">
        <f t="shared" si="16"/>
        <v>16</v>
      </c>
      <c r="M16" s="12">
        <f>L15+M15+3</f>
        <v>56</v>
      </c>
      <c r="O16" s="40">
        <f>P16*(1+其他表格!X41)</f>
        <v>1302357934.0799999</v>
      </c>
      <c r="P16" s="40">
        <f>M16*F16*基本公式!$B$151</f>
        <v>394813440</v>
      </c>
      <c r="Q16" s="42">
        <f>ROUND(O16*基本公式!$B$91,0)</f>
        <v>651178967</v>
      </c>
      <c r="R16" s="42">
        <f>ROUND(O16*基本公式!$B$92,0)</f>
        <v>39070738</v>
      </c>
      <c r="S16" s="42">
        <f>ROUND(O16*基本公式!$B$93+其他表格!S15,0)</f>
        <v>91193055</v>
      </c>
      <c r="T16" s="42">
        <f>ROUND(O16*基本公式!$B$94,0)</f>
        <v>260471587</v>
      </c>
    </row>
    <row r="17" spans="1:21">
      <c r="B17" s="12">
        <v>15</v>
      </c>
      <c r="C17" s="12">
        <v>20</v>
      </c>
      <c r="D17" s="26">
        <f t="shared" si="4"/>
        <v>180000</v>
      </c>
      <c r="E17" s="40">
        <f t="shared" si="12"/>
        <v>4320000</v>
      </c>
      <c r="F17" s="40">
        <f t="shared" si="19"/>
        <v>4320000</v>
      </c>
      <c r="G17" s="40">
        <v>1</v>
      </c>
      <c r="H17" s="26">
        <f t="shared" si="20"/>
        <v>12960000</v>
      </c>
      <c r="I17" s="41">
        <f t="shared" si="8"/>
        <v>1.4999999999999996</v>
      </c>
      <c r="K17" s="12">
        <f t="shared" si="14"/>
        <v>60</v>
      </c>
      <c r="L17" s="12">
        <f t="shared" si="16"/>
        <v>19</v>
      </c>
      <c r="M17" s="12">
        <f t="shared" ref="M17" si="21">M16+L16+3</f>
        <v>75</v>
      </c>
      <c r="O17" s="40">
        <f>P17*(1+其他表格!X42)</f>
        <v>2137536000</v>
      </c>
      <c r="P17" s="40">
        <f>M17*F17*基本公式!$B$151</f>
        <v>648000000</v>
      </c>
      <c r="Q17" s="42">
        <f>ROUND(O17*基本公式!$B$91,0)</f>
        <v>1068768000</v>
      </c>
      <c r="R17" s="42">
        <f>ROUND(O17*基本公式!$B$92,0)</f>
        <v>64126080</v>
      </c>
      <c r="S17" s="42">
        <f>ROUND(O17*基本公式!$B$93+其他表格!S16,0)</f>
        <v>149655520</v>
      </c>
      <c r="T17" s="42">
        <f>ROUND(O17*基本公式!$B$94,0)</f>
        <v>427507200</v>
      </c>
    </row>
    <row r="18" spans="1:21">
      <c r="B18" s="12">
        <v>16</v>
      </c>
      <c r="C18" s="12">
        <v>23</v>
      </c>
      <c r="D18" s="26">
        <f t="shared" si="4"/>
        <v>215280</v>
      </c>
      <c r="E18" s="40">
        <f t="shared" si="12"/>
        <v>5166720</v>
      </c>
      <c r="F18" s="40">
        <f t="shared" si="19"/>
        <v>5166720</v>
      </c>
      <c r="G18" s="40">
        <v>1</v>
      </c>
      <c r="H18" s="26">
        <f t="shared" si="20"/>
        <v>15500160</v>
      </c>
      <c r="I18" s="41">
        <f t="shared" si="8"/>
        <v>1.5999999999999996</v>
      </c>
      <c r="K18" s="12">
        <f t="shared" si="14"/>
        <v>69</v>
      </c>
      <c r="L18" s="12">
        <f t="shared" si="16"/>
        <v>22</v>
      </c>
      <c r="M18" s="12">
        <f>M17+L17+3</f>
        <v>97</v>
      </c>
      <c r="O18" s="40">
        <f>P18*(1+其他表格!X43)</f>
        <v>3882411187.1999998</v>
      </c>
      <c r="P18" s="40">
        <f>M18*F18*基本公式!$B$151</f>
        <v>1002343680</v>
      </c>
      <c r="Q18" s="42">
        <f>ROUND(O18*基本公式!$B$91,0)</f>
        <v>1941205594</v>
      </c>
      <c r="R18" s="42">
        <f>ROUND(O18*基本公式!$B$92,0)</f>
        <v>116472336</v>
      </c>
      <c r="S18" s="42">
        <f>ROUND(O18*基本公式!$B$93+其他表格!S17,0)</f>
        <v>271796783</v>
      </c>
      <c r="T18" s="42">
        <f>ROUND(O18*基本公式!$B$94,0)</f>
        <v>776482237</v>
      </c>
    </row>
    <row r="19" spans="1:21">
      <c r="B19" s="12">
        <v>17</v>
      </c>
      <c r="C19" s="12">
        <v>26.3</v>
      </c>
      <c r="D19" s="26">
        <f t="shared" si="4"/>
        <v>255636</v>
      </c>
      <c r="E19" s="40">
        <f t="shared" si="12"/>
        <v>6135264</v>
      </c>
      <c r="F19" s="40">
        <f t="shared" si="19"/>
        <v>6135264</v>
      </c>
      <c r="G19" s="40">
        <v>1</v>
      </c>
      <c r="H19" s="26">
        <f t="shared" si="20"/>
        <v>18405792</v>
      </c>
      <c r="I19" s="41">
        <f t="shared" si="8"/>
        <v>1.6999999999999997</v>
      </c>
      <c r="K19" s="12">
        <f t="shared" si="14"/>
        <v>78.900000000000006</v>
      </c>
      <c r="L19" s="12">
        <f t="shared" si="16"/>
        <v>25</v>
      </c>
      <c r="M19" s="12">
        <f>M18+L18+3</f>
        <v>122</v>
      </c>
      <c r="O19" s="40">
        <f>P19*(1+其他表格!X44)</f>
        <v>5798397104.6399994</v>
      </c>
      <c r="P19" s="40">
        <f>M19*F19*基本公式!$B$151</f>
        <v>1497004416</v>
      </c>
      <c r="Q19" s="42">
        <f>ROUND(O19*基本公式!$B$91,0)</f>
        <v>2899198552</v>
      </c>
      <c r="R19" s="42">
        <f>ROUND(O19*基本公式!$B$92,0)</f>
        <v>173951913</v>
      </c>
      <c r="S19" s="42">
        <f>ROUND(O19*基本公式!$B$93+其他表格!S18,0)</f>
        <v>405915797</v>
      </c>
      <c r="T19" s="42">
        <f>ROUND(O19*基本公式!$B$94,0)</f>
        <v>1159679421</v>
      </c>
    </row>
    <row r="20" spans="1:21">
      <c r="B20" s="12">
        <v>18</v>
      </c>
      <c r="C20" s="12">
        <v>30</v>
      </c>
      <c r="D20" s="26">
        <f t="shared" si="4"/>
        <v>302400</v>
      </c>
      <c r="E20" s="40">
        <f t="shared" si="12"/>
        <v>7257600</v>
      </c>
      <c r="F20" s="40">
        <f t="shared" si="19"/>
        <v>7257600</v>
      </c>
      <c r="G20" s="40">
        <v>1</v>
      </c>
      <c r="H20" s="26">
        <f t="shared" si="20"/>
        <v>21772800</v>
      </c>
      <c r="I20" s="41">
        <f t="shared" si="8"/>
        <v>1.7999999999999998</v>
      </c>
      <c r="K20" s="12">
        <f t="shared" si="14"/>
        <v>90</v>
      </c>
      <c r="L20" s="12">
        <f t="shared" si="16"/>
        <v>28</v>
      </c>
      <c r="M20" s="12">
        <f>M19+L19+3</f>
        <v>150</v>
      </c>
      <c r="O20" s="40">
        <f>P20*(1+其他表格!X45)</f>
        <v>9684541440</v>
      </c>
      <c r="P20" s="40">
        <f>M20*F20*基本公式!$B$151</f>
        <v>2177280000</v>
      </c>
      <c r="Q20" s="42">
        <f>ROUND(O20*基本公式!$B$91,0)</f>
        <v>4842270720</v>
      </c>
      <c r="R20" s="42">
        <f>ROUND(O20*基本公式!$B$92,0)</f>
        <v>290536243</v>
      </c>
      <c r="S20" s="42">
        <f>ROUND(O20*基本公式!$B$93+其他表格!S19,0)</f>
        <v>677945901</v>
      </c>
      <c r="T20" s="42">
        <f>ROUND(O20*基本公式!$B$94,0)</f>
        <v>1936908288</v>
      </c>
    </row>
    <row r="21" spans="1:21">
      <c r="A21" s="18" t="s">
        <v>197</v>
      </c>
      <c r="B21" s="12">
        <v>19</v>
      </c>
      <c r="C21" s="12">
        <v>34</v>
      </c>
      <c r="D21" s="26">
        <f t="shared" si="4"/>
        <v>354960</v>
      </c>
      <c r="E21" s="40">
        <f t="shared" si="12"/>
        <v>8519040</v>
      </c>
      <c r="F21" s="40">
        <f t="shared" si="19"/>
        <v>8519040</v>
      </c>
      <c r="G21" s="40">
        <v>1</v>
      </c>
      <c r="H21" s="26">
        <f t="shared" si="20"/>
        <v>25557120</v>
      </c>
      <c r="I21" s="41">
        <f t="shared" si="8"/>
        <v>1.9</v>
      </c>
      <c r="K21" s="12">
        <f t="shared" si="14"/>
        <v>102</v>
      </c>
      <c r="L21" s="12">
        <f t="shared" si="16"/>
        <v>31</v>
      </c>
      <c r="M21" s="12">
        <f>M20+L20+3</f>
        <v>181</v>
      </c>
      <c r="O21" s="40">
        <f>P21*(1+其他表格!X46)</f>
        <v>15489363962.880001</v>
      </c>
      <c r="P21" s="40">
        <f>M21*F21*基本公式!$B$151</f>
        <v>3083892480</v>
      </c>
      <c r="Q21" s="42">
        <f>ROUND(O21*基本公式!$B$91,0)</f>
        <v>7744681981</v>
      </c>
      <c r="R21" s="42">
        <f>ROUND(O21*基本公式!$B$92,0)</f>
        <v>464680919</v>
      </c>
      <c r="S21" s="42">
        <f>ROUND(O21*基本公式!$B$93+其他表格!S20,0)</f>
        <v>1084283477</v>
      </c>
      <c r="T21" s="42">
        <f>ROUND(O21*基本公式!$B$94,0)</f>
        <v>3097872793</v>
      </c>
    </row>
    <row r="22" spans="1:21">
      <c r="B22" s="12">
        <v>20</v>
      </c>
      <c r="C22" s="12">
        <v>40</v>
      </c>
      <c r="D22" s="26">
        <f t="shared" si="4"/>
        <v>432000</v>
      </c>
      <c r="E22" s="40">
        <f t="shared" si="12"/>
        <v>10368000</v>
      </c>
      <c r="F22" s="40">
        <f t="shared" si="19"/>
        <v>10368000</v>
      </c>
      <c r="G22" s="40">
        <v>1</v>
      </c>
      <c r="H22" s="26">
        <f t="shared" si="20"/>
        <v>31104000</v>
      </c>
      <c r="I22" s="41">
        <v>2</v>
      </c>
      <c r="K22" s="12">
        <f t="shared" si="14"/>
        <v>120</v>
      </c>
      <c r="L22" s="12">
        <f t="shared" si="16"/>
        <v>34</v>
      </c>
      <c r="M22" s="12">
        <f>M21+L21+3</f>
        <v>215</v>
      </c>
      <c r="O22" s="40">
        <f>P22*(1+其他表格!X47)</f>
        <v>24954255360</v>
      </c>
      <c r="P22" s="40">
        <f>M22*F22*基本公式!$B$151</f>
        <v>4458240000</v>
      </c>
      <c r="Q22" s="42">
        <f>ROUND(O22*基本公式!$B$91,0)</f>
        <v>12477127680</v>
      </c>
      <c r="R22" s="42">
        <f>ROUND(O22*基本公式!$B$92,0)</f>
        <v>748627661</v>
      </c>
      <c r="S22" s="42">
        <f>ROUND(O22*基本公式!$B$93+其他表格!S21,0)</f>
        <v>1746825875</v>
      </c>
      <c r="T22" s="42">
        <f>ROUND(O22*基本公式!$B$94,0)</f>
        <v>4990851072</v>
      </c>
    </row>
    <row r="24" spans="1:21" s="7" customFormat="1">
      <c r="A24" s="28" t="s">
        <v>92</v>
      </c>
      <c r="D24" s="24"/>
      <c r="E24" s="24"/>
      <c r="F24" s="24"/>
      <c r="G24" s="24"/>
      <c r="H24" s="24"/>
      <c r="I24" s="37"/>
      <c r="J24" s="24"/>
      <c r="P24" s="38"/>
      <c r="Q24" s="36"/>
      <c r="R24" s="36"/>
      <c r="S24" s="36"/>
      <c r="T24" s="36"/>
      <c r="U24" s="24"/>
    </row>
    <row r="25" spans="1:21">
      <c r="B25" s="12">
        <v>1</v>
      </c>
      <c r="C25" s="12">
        <v>0.1</v>
      </c>
      <c r="D25" s="26">
        <f t="shared" ref="D25" si="22">ROUND(C25*3600*(1+I25),0)</f>
        <v>396</v>
      </c>
      <c r="E25" s="40">
        <f>24*D25</f>
        <v>9504</v>
      </c>
      <c r="F25" s="40">
        <f t="shared" ref="F25" si="23">E25*G25</f>
        <v>9504</v>
      </c>
      <c r="G25" s="40">
        <v>1</v>
      </c>
      <c r="H25" s="26">
        <f>3*F25</f>
        <v>28512</v>
      </c>
      <c r="I25" s="41">
        <f t="shared" ref="I25" si="24">I26-0.1</f>
        <v>9.9999999999999367E-2</v>
      </c>
      <c r="L25" s="12">
        <f t="shared" ref="L25" si="25">M25-M24</f>
        <v>0.01</v>
      </c>
      <c r="M25" s="12">
        <v>0.01</v>
      </c>
      <c r="O25" s="40">
        <f>P25*(1+其他表格!X28)</f>
        <v>190.08</v>
      </c>
      <c r="P25" s="40">
        <f>M25*F25*基本公式!$B$152</f>
        <v>190.08</v>
      </c>
      <c r="Q25" s="42">
        <f>ROUND(O25*基本公式!$B$97,0)</f>
        <v>105</v>
      </c>
      <c r="R25" s="42">
        <f>ROUND(O25*基本公式!$B$98,0)</f>
        <v>4</v>
      </c>
      <c r="S25" s="42">
        <f>ROUND(O25*基本公式!$B$99+其他表格!T2,0)</f>
        <v>8013</v>
      </c>
      <c r="U25" s="40">
        <f>ROUND(O25*基本公式!$B$100,0)</f>
        <v>38</v>
      </c>
    </row>
    <row r="26" spans="1:21">
      <c r="B26" s="12">
        <v>2</v>
      </c>
      <c r="C26" s="12">
        <f>C25+C25</f>
        <v>0.2</v>
      </c>
      <c r="D26" s="26">
        <f t="shared" ref="D26:D44" si="26">ROUND(C26*3600*(1+I26),0)</f>
        <v>864</v>
      </c>
      <c r="E26" s="40">
        <f t="shared" ref="E26" si="27">24*D26</f>
        <v>20736</v>
      </c>
      <c r="F26" s="40">
        <f t="shared" ref="F26:F34" si="28">E26*G26</f>
        <v>20736</v>
      </c>
      <c r="G26" s="40">
        <v>1</v>
      </c>
      <c r="H26" s="26">
        <f t="shared" ref="H26" si="29">3*F26</f>
        <v>62208</v>
      </c>
      <c r="I26" s="41">
        <f t="shared" ref="I26:I43" si="30">I27-0.1</f>
        <v>0.19999999999999937</v>
      </c>
      <c r="L26" s="12">
        <f t="shared" ref="L26:L44" si="31">M26-M25</f>
        <v>0.04</v>
      </c>
      <c r="M26" s="12">
        <v>0.05</v>
      </c>
      <c r="O26" s="40">
        <f>P26*(1+其他表格!X29)</f>
        <v>2073.6</v>
      </c>
      <c r="P26" s="40">
        <f>M26*F26*基本公式!$B$152</f>
        <v>2073.6</v>
      </c>
      <c r="Q26" s="42">
        <f>ROUND(O26*基本公式!$B$97,0)</f>
        <v>1140</v>
      </c>
      <c r="R26" s="42">
        <f>ROUND(O26*基本公式!$B$98,0)</f>
        <v>41</v>
      </c>
      <c r="S26" s="42">
        <f>ROUND(O26*基本公式!$B$99+其他表格!T3,0)</f>
        <v>11145</v>
      </c>
      <c r="U26" s="40">
        <f>ROUND(O26*基本公式!$B$100,0)</f>
        <v>415</v>
      </c>
    </row>
    <row r="27" spans="1:21">
      <c r="B27" s="12">
        <v>3</v>
      </c>
      <c r="C27" s="12">
        <f t="shared" ref="C27" si="32">C26+C25</f>
        <v>0.30000000000000004</v>
      </c>
      <c r="D27" s="26">
        <f t="shared" si="26"/>
        <v>1404</v>
      </c>
      <c r="E27" s="40">
        <f t="shared" ref="E27:E44" si="33">24*D27</f>
        <v>33696</v>
      </c>
      <c r="F27" s="40">
        <f t="shared" si="28"/>
        <v>33696</v>
      </c>
      <c r="G27" s="40">
        <v>1</v>
      </c>
      <c r="H27" s="26">
        <f t="shared" ref="H27:H44" si="34">3*F27</f>
        <v>101088</v>
      </c>
      <c r="I27" s="41">
        <f t="shared" si="30"/>
        <v>0.29999999999999938</v>
      </c>
      <c r="L27" s="12">
        <f t="shared" si="31"/>
        <v>0.15000000000000002</v>
      </c>
      <c r="M27" s="12">
        <v>0.2</v>
      </c>
      <c r="O27" s="40">
        <f>P27*(1+其他表格!X30)</f>
        <v>13478.400000000001</v>
      </c>
      <c r="P27" s="40">
        <f>M27*F27*基本公式!$B$152</f>
        <v>13478.400000000001</v>
      </c>
      <c r="Q27" s="42">
        <f>ROUND(O27*基本公式!$B$97,0)</f>
        <v>7413</v>
      </c>
      <c r="R27" s="42">
        <f>ROUND(O27*基本公式!$B$98,0)</f>
        <v>270</v>
      </c>
      <c r="S27" s="42">
        <f>ROUND(O27*基本公式!$B$99+其他表格!T4,0)</f>
        <v>14943</v>
      </c>
      <c r="U27" s="40">
        <f>ROUND(O27*基本公式!$B$100,0)</f>
        <v>2696</v>
      </c>
    </row>
    <row r="28" spans="1:21">
      <c r="B28" s="12">
        <v>4</v>
      </c>
      <c r="C28" s="12">
        <f>C27+C26</f>
        <v>0.5</v>
      </c>
      <c r="D28" s="26">
        <f t="shared" si="26"/>
        <v>2520</v>
      </c>
      <c r="E28" s="40">
        <f t="shared" si="33"/>
        <v>60480</v>
      </c>
      <c r="F28" s="40">
        <f t="shared" si="28"/>
        <v>60480</v>
      </c>
      <c r="G28" s="40">
        <v>1</v>
      </c>
      <c r="H28" s="26">
        <f t="shared" si="34"/>
        <v>181440</v>
      </c>
      <c r="I28" s="41">
        <f t="shared" si="30"/>
        <v>0.39999999999999936</v>
      </c>
      <c r="L28" s="12">
        <f t="shared" si="31"/>
        <v>0.25</v>
      </c>
      <c r="M28" s="12">
        <v>0.45</v>
      </c>
      <c r="O28" s="40">
        <f>P28*(1+其他表格!X31)</f>
        <v>54432</v>
      </c>
      <c r="P28" s="40">
        <f>M28*F28*基本公式!$B$152</f>
        <v>54432</v>
      </c>
      <c r="Q28" s="42">
        <f>ROUND(O28*基本公式!$B$97,0)</f>
        <v>29938</v>
      </c>
      <c r="R28" s="42">
        <f>ROUND(O28*基本公式!$B$98,0)</f>
        <v>1089</v>
      </c>
      <c r="S28" s="42">
        <f>ROUND(O28*基本公式!$B$99+其他表格!T5,0)</f>
        <v>19810</v>
      </c>
      <c r="U28" s="40">
        <f>ROUND(O28*基本公式!$B$100,0)</f>
        <v>10886</v>
      </c>
    </row>
    <row r="29" spans="1:21">
      <c r="B29" s="12">
        <v>5</v>
      </c>
      <c r="C29" s="12">
        <f>C28+C27</f>
        <v>0.8</v>
      </c>
      <c r="D29" s="26">
        <f t="shared" si="26"/>
        <v>4320</v>
      </c>
      <c r="E29" s="40">
        <f t="shared" si="33"/>
        <v>103680</v>
      </c>
      <c r="F29" s="40">
        <f t="shared" si="28"/>
        <v>103680</v>
      </c>
      <c r="G29" s="40">
        <v>1</v>
      </c>
      <c r="H29" s="26">
        <f t="shared" si="34"/>
        <v>311040</v>
      </c>
      <c r="I29" s="41">
        <f t="shared" si="30"/>
        <v>0.49999999999999933</v>
      </c>
      <c r="L29" s="12">
        <f t="shared" si="31"/>
        <v>0.39999999999999997</v>
      </c>
      <c r="M29" s="12">
        <v>0.85</v>
      </c>
      <c r="O29" s="40">
        <f>P29*(1+其他表格!X32)</f>
        <v>176256</v>
      </c>
      <c r="P29" s="40">
        <f>M29*F29*基本公式!$B$152</f>
        <v>176256</v>
      </c>
      <c r="Q29" s="42">
        <f>ROUND(O29*基本公式!$B$97,0)</f>
        <v>96941</v>
      </c>
      <c r="R29" s="42">
        <f>ROUND(O29*基本公式!$B$98,0)</f>
        <v>3525</v>
      </c>
      <c r="S29" s="42">
        <f>ROUND(O29*基本公式!$B$99+其他表格!T6,0)</f>
        <v>27338</v>
      </c>
      <c r="U29" s="40">
        <f>ROUND(O29*基本公式!$B$100,0)</f>
        <v>35251</v>
      </c>
    </row>
    <row r="30" spans="1:21">
      <c r="B30" s="12">
        <v>6</v>
      </c>
      <c r="C30" s="12">
        <f>C29+C28</f>
        <v>1.3</v>
      </c>
      <c r="D30" s="26">
        <f t="shared" si="26"/>
        <v>7488</v>
      </c>
      <c r="E30" s="40">
        <f t="shared" si="33"/>
        <v>179712</v>
      </c>
      <c r="F30" s="40">
        <f t="shared" si="28"/>
        <v>179712</v>
      </c>
      <c r="G30" s="40">
        <v>1</v>
      </c>
      <c r="H30" s="26">
        <f t="shared" si="34"/>
        <v>539136</v>
      </c>
      <c r="I30" s="41">
        <f t="shared" si="30"/>
        <v>0.59999999999999931</v>
      </c>
      <c r="L30" s="12">
        <f t="shared" si="31"/>
        <v>0.54999999999999993</v>
      </c>
      <c r="M30" s="12">
        <v>1.4</v>
      </c>
      <c r="O30" s="40">
        <f>P30*(1+其他表格!X33)</f>
        <v>503193.59999999998</v>
      </c>
      <c r="P30" s="40">
        <f>M30*F30*基本公式!$B$152</f>
        <v>503193.59999999998</v>
      </c>
      <c r="Q30" s="42">
        <f>ROUND(O30*基本公式!$B$97,0)</f>
        <v>276756</v>
      </c>
      <c r="R30" s="42">
        <f>ROUND(O30*基本公式!$B$98,0)</f>
        <v>10064</v>
      </c>
      <c r="S30" s="42">
        <f>ROUND(O30*基本公式!$B$99+其他表格!T7,0)</f>
        <v>63224</v>
      </c>
      <c r="U30" s="40">
        <f>ROUND(O30*基本公式!$B$100,0)</f>
        <v>100639</v>
      </c>
    </row>
    <row r="31" spans="1:21">
      <c r="B31" s="12">
        <v>7</v>
      </c>
      <c r="C31" s="12">
        <f>C30+C29</f>
        <v>2.1</v>
      </c>
      <c r="D31" s="26">
        <f t="shared" si="26"/>
        <v>12852</v>
      </c>
      <c r="E31" s="40">
        <f t="shared" si="33"/>
        <v>308448</v>
      </c>
      <c r="F31" s="40">
        <f t="shared" si="28"/>
        <v>308448</v>
      </c>
      <c r="G31" s="40">
        <v>1</v>
      </c>
      <c r="H31" s="26">
        <f t="shared" si="34"/>
        <v>925344</v>
      </c>
      <c r="I31" s="41">
        <f t="shared" si="30"/>
        <v>0.69999999999999929</v>
      </c>
      <c r="L31" s="12">
        <f t="shared" si="31"/>
        <v>0.89999999999999991</v>
      </c>
      <c r="M31" s="12">
        <v>2.2999999999999998</v>
      </c>
      <c r="O31" s="40">
        <f>P31*(1+其他表格!X34)</f>
        <v>1418860.7999999998</v>
      </c>
      <c r="P31" s="40">
        <f>M31*F31*基本公式!$B$152</f>
        <v>1418860.7999999998</v>
      </c>
      <c r="Q31" s="42">
        <f>ROUND(O31*基本公式!$B$97,0)</f>
        <v>780373</v>
      </c>
      <c r="R31" s="42">
        <f>ROUND(O31*基本公式!$B$98,0)</f>
        <v>28377</v>
      </c>
      <c r="S31" s="42">
        <f>ROUND(O31*基本公式!$B$99+其他表格!T8,0)</f>
        <v>127320</v>
      </c>
      <c r="U31" s="40">
        <f>ROUND(O31*基本公式!$B$100,0)</f>
        <v>283772</v>
      </c>
    </row>
    <row r="32" spans="1:21">
      <c r="A32" s="12"/>
      <c r="B32" s="12">
        <v>8</v>
      </c>
      <c r="C32" s="12">
        <f>C31+C30</f>
        <v>3.4000000000000004</v>
      </c>
      <c r="D32" s="26">
        <f t="shared" si="26"/>
        <v>22032</v>
      </c>
      <c r="E32" s="40">
        <f t="shared" si="33"/>
        <v>528768</v>
      </c>
      <c r="F32" s="40">
        <f t="shared" si="28"/>
        <v>528768</v>
      </c>
      <c r="G32" s="40">
        <v>1</v>
      </c>
      <c r="H32" s="26">
        <f t="shared" si="34"/>
        <v>1586304</v>
      </c>
      <c r="I32" s="41">
        <f t="shared" si="30"/>
        <v>0.79999999999999927</v>
      </c>
      <c r="L32" s="12">
        <f t="shared" si="31"/>
        <v>2</v>
      </c>
      <c r="M32" s="12">
        <v>4.3</v>
      </c>
      <c r="O32" s="40">
        <f>P32*(1+其他表格!X35)</f>
        <v>7160646.7583999997</v>
      </c>
      <c r="P32" s="40">
        <f>M32*F32*基本公式!$B$152</f>
        <v>4547404.8</v>
      </c>
      <c r="Q32" s="42">
        <f>ROUND(O32*基本公式!$B$97,0)</f>
        <v>3938356</v>
      </c>
      <c r="R32" s="42">
        <f>ROUND(O32*基本公式!$B$98,0)</f>
        <v>143213</v>
      </c>
      <c r="S32" s="42">
        <f>ROUND(O32*基本公式!$B$99+其他表格!T9,0)</f>
        <v>529245</v>
      </c>
      <c r="U32" s="40">
        <f>ROUND(O32*基本公式!$B$100,0)</f>
        <v>1432129</v>
      </c>
    </row>
    <row r="33" spans="1:21">
      <c r="B33" s="12">
        <v>9</v>
      </c>
      <c r="C33" s="12">
        <f>C32+C30</f>
        <v>4.7</v>
      </c>
      <c r="D33" s="26">
        <f t="shared" si="26"/>
        <v>32148</v>
      </c>
      <c r="E33" s="40">
        <f t="shared" si="33"/>
        <v>771552</v>
      </c>
      <c r="F33" s="40">
        <f t="shared" si="28"/>
        <v>771552</v>
      </c>
      <c r="G33" s="40">
        <v>1</v>
      </c>
      <c r="H33" s="26">
        <f t="shared" si="34"/>
        <v>2314656</v>
      </c>
      <c r="I33" s="41">
        <f t="shared" si="30"/>
        <v>0.89999999999999925</v>
      </c>
      <c r="L33" s="12">
        <f t="shared" si="31"/>
        <v>2.7</v>
      </c>
      <c r="M33" s="12">
        <v>7</v>
      </c>
      <c r="O33" s="40">
        <f>P33*(1+其他表格!X36)</f>
        <v>17009121.024</v>
      </c>
      <c r="P33" s="40">
        <f>M33*F33*基本公式!$B$152</f>
        <v>10801728</v>
      </c>
      <c r="Q33" s="42">
        <f>ROUND(O33*基本公式!$B$97,0)</f>
        <v>9355017</v>
      </c>
      <c r="R33" s="42">
        <f>ROUND(O33*基本公式!$B$98,0)</f>
        <v>340182</v>
      </c>
      <c r="S33" s="42">
        <f>ROUND(O33*基本公式!$B$99+其他表格!T10,0)</f>
        <v>1218638</v>
      </c>
      <c r="U33" s="40">
        <f>ROUND(O33*基本公式!$B$100,0)</f>
        <v>3401824</v>
      </c>
    </row>
    <row r="34" spans="1:21">
      <c r="A34" s="17" t="s">
        <v>195</v>
      </c>
      <c r="B34" s="12">
        <v>10</v>
      </c>
      <c r="C34" s="12">
        <f>C33+C31</f>
        <v>6.8000000000000007</v>
      </c>
      <c r="D34" s="26">
        <f t="shared" si="26"/>
        <v>48960</v>
      </c>
      <c r="E34" s="40">
        <f t="shared" si="33"/>
        <v>1175040</v>
      </c>
      <c r="F34" s="40">
        <f t="shared" si="28"/>
        <v>1175040</v>
      </c>
      <c r="G34" s="40">
        <v>1</v>
      </c>
      <c r="H34" s="26">
        <f t="shared" si="34"/>
        <v>3525120</v>
      </c>
      <c r="I34" s="41">
        <f t="shared" si="30"/>
        <v>0.99999999999999922</v>
      </c>
      <c r="L34" s="12">
        <f t="shared" si="31"/>
        <v>4</v>
      </c>
      <c r="M34" s="12">
        <v>11</v>
      </c>
      <c r="O34" s="40">
        <f>P34*(1+其他表格!X37)</f>
        <v>55562158.079999998</v>
      </c>
      <c r="P34" s="40">
        <f>M34*F34*基本公式!$B$152</f>
        <v>25850880</v>
      </c>
      <c r="Q34" s="42">
        <f>ROUND(O34*基本公式!$B$97,0)</f>
        <v>30559187</v>
      </c>
      <c r="R34" s="42">
        <f>ROUND(O34*基本公式!$B$98,0)</f>
        <v>1111243</v>
      </c>
      <c r="S34" s="42">
        <f>ROUND(O34*基本公式!$B$99+其他表格!T11,0)</f>
        <v>3917351</v>
      </c>
      <c r="U34" s="40">
        <f>ROUND(O34*基本公式!$B$100,0)</f>
        <v>11112432</v>
      </c>
    </row>
    <row r="35" spans="1:21">
      <c r="B35" s="12">
        <v>11</v>
      </c>
      <c r="C35" s="12">
        <f>C33+C32</f>
        <v>8.1000000000000014</v>
      </c>
      <c r="D35" s="26">
        <f t="shared" si="26"/>
        <v>61236</v>
      </c>
      <c r="E35" s="40">
        <f t="shared" si="33"/>
        <v>1469664</v>
      </c>
      <c r="F35" s="40">
        <f t="shared" ref="F35" si="35">E35*G35</f>
        <v>1469664</v>
      </c>
      <c r="G35" s="40">
        <v>1</v>
      </c>
      <c r="H35" s="26">
        <f t="shared" si="34"/>
        <v>4408992</v>
      </c>
      <c r="I35" s="41">
        <f t="shared" si="30"/>
        <v>1.0999999999999992</v>
      </c>
      <c r="L35" s="12">
        <f t="shared" si="31"/>
        <v>7</v>
      </c>
      <c r="M35" s="12">
        <v>18</v>
      </c>
      <c r="O35" s="40">
        <f>P35*(1+其他表格!X38)</f>
        <v>113716721.664</v>
      </c>
      <c r="P35" s="40">
        <f>M35*F35*基本公式!$B$152</f>
        <v>52907904</v>
      </c>
      <c r="Q35" s="42">
        <f>ROUND(O35*基本公式!$B$97,0)</f>
        <v>62544197</v>
      </c>
      <c r="R35" s="42">
        <f>ROUND(O35*基本公式!$B$98,0)</f>
        <v>2274334</v>
      </c>
      <c r="S35" s="42">
        <f>ROUND(O35*基本公式!$B$99+其他表格!T12,0)</f>
        <v>7988171</v>
      </c>
      <c r="U35" s="40">
        <f>ROUND(O35*基本公式!$B$100,0)</f>
        <v>22743344</v>
      </c>
    </row>
    <row r="36" spans="1:21">
      <c r="B36" s="12">
        <v>12</v>
      </c>
      <c r="C36" s="12">
        <f>C34+C33</f>
        <v>11.5</v>
      </c>
      <c r="D36" s="26">
        <f t="shared" si="26"/>
        <v>91080</v>
      </c>
      <c r="E36" s="40">
        <f t="shared" si="33"/>
        <v>2185920</v>
      </c>
      <c r="F36" s="40">
        <f t="shared" ref="F36:F44" si="36">E36*G36</f>
        <v>2185920</v>
      </c>
      <c r="G36" s="40">
        <v>1</v>
      </c>
      <c r="H36" s="26">
        <f t="shared" si="34"/>
        <v>6557760</v>
      </c>
      <c r="I36" s="41">
        <f t="shared" si="30"/>
        <v>1.1999999999999993</v>
      </c>
      <c r="L36" s="12">
        <f t="shared" si="31"/>
        <v>9</v>
      </c>
      <c r="M36" s="12">
        <v>27</v>
      </c>
      <c r="O36" s="40">
        <f>P36*(1+其他表格!X39)</f>
        <v>321540088.32000005</v>
      </c>
      <c r="P36" s="40">
        <f>M36*F36*基本公式!$B$152</f>
        <v>118039680</v>
      </c>
      <c r="Q36" s="42">
        <f>ROUND(O36*基本公式!$B$97,0)</f>
        <v>176847049</v>
      </c>
      <c r="R36" s="42">
        <f>ROUND(O36*基本公式!$B$98,0)</f>
        <v>6430802</v>
      </c>
      <c r="S36" s="42">
        <f>ROUND(O36*基本公式!$B$99+其他表格!T13,0)</f>
        <v>22535806</v>
      </c>
      <c r="U36" s="40">
        <f>ROUND(O36*基本公式!$B$100,0)</f>
        <v>64308018</v>
      </c>
    </row>
    <row r="37" spans="1:21">
      <c r="A37" s="12"/>
      <c r="B37" s="12">
        <v>13</v>
      </c>
      <c r="C37" s="12">
        <v>14.4</v>
      </c>
      <c r="D37" s="26">
        <f t="shared" si="26"/>
        <v>119232</v>
      </c>
      <c r="E37" s="40">
        <f t="shared" si="33"/>
        <v>2861568</v>
      </c>
      <c r="F37" s="40">
        <f t="shared" si="36"/>
        <v>2861568</v>
      </c>
      <c r="G37" s="40">
        <v>1</v>
      </c>
      <c r="H37" s="26">
        <f t="shared" si="34"/>
        <v>8584704</v>
      </c>
      <c r="I37" s="41">
        <f t="shared" si="30"/>
        <v>1.2999999999999994</v>
      </c>
      <c r="L37" s="12">
        <f t="shared" si="31"/>
        <v>13</v>
      </c>
      <c r="M37" s="12">
        <v>40</v>
      </c>
      <c r="O37" s="40">
        <f>P37*(1+其他表格!X40)</f>
        <v>623592898.56000006</v>
      </c>
      <c r="P37" s="40">
        <f>M37*F37*基本公式!$B$152</f>
        <v>228925440</v>
      </c>
      <c r="Q37" s="42">
        <f>ROUND(O37*基本公式!$B$97,0)</f>
        <v>342976094</v>
      </c>
      <c r="R37" s="42">
        <f>ROUND(O37*基本公式!$B$98,0)</f>
        <v>12471858</v>
      </c>
      <c r="S37" s="42">
        <f>ROUND(O37*基本公式!$B$99+其他表格!T14,0)</f>
        <v>43679503</v>
      </c>
      <c r="U37" s="40">
        <f>ROUND(O37*基本公式!$B$100,0)</f>
        <v>124718580</v>
      </c>
    </row>
    <row r="38" spans="1:21">
      <c r="A38" s="17" t="s">
        <v>196</v>
      </c>
      <c r="B38" s="12">
        <v>14</v>
      </c>
      <c r="C38" s="12">
        <v>17</v>
      </c>
      <c r="D38" s="26">
        <f t="shared" si="26"/>
        <v>146880</v>
      </c>
      <c r="E38" s="40">
        <f t="shared" si="33"/>
        <v>3525120</v>
      </c>
      <c r="F38" s="40">
        <f t="shared" si="36"/>
        <v>3525120</v>
      </c>
      <c r="G38" s="40">
        <v>1</v>
      </c>
      <c r="H38" s="26">
        <f t="shared" si="34"/>
        <v>10575360</v>
      </c>
      <c r="I38" s="41">
        <f t="shared" si="30"/>
        <v>1.3999999999999995</v>
      </c>
      <c r="L38" s="12">
        <f t="shared" si="31"/>
        <v>16</v>
      </c>
      <c r="M38" s="12">
        <f>L37+M37+3</f>
        <v>56</v>
      </c>
      <c r="O38" s="40">
        <f>P38*(1+其他表格!X41)</f>
        <v>1302357934.0799999</v>
      </c>
      <c r="P38" s="40">
        <f>M38*F38*基本公式!$B$152</f>
        <v>394813440</v>
      </c>
      <c r="Q38" s="42">
        <f>ROUND(O38*基本公式!$B$97,0)</f>
        <v>716296864</v>
      </c>
      <c r="R38" s="42">
        <f>ROUND(O38*基本公式!$B$98,0)</f>
        <v>26047159</v>
      </c>
      <c r="S38" s="42">
        <f>ROUND(O38*基本公式!$B$99+其他表格!T15,0)</f>
        <v>91193055</v>
      </c>
      <c r="U38" s="40">
        <f>ROUND(O38*基本公式!$B$100,0)</f>
        <v>260471587</v>
      </c>
    </row>
    <row r="39" spans="1:21">
      <c r="B39" s="12">
        <v>15</v>
      </c>
      <c r="C39" s="12">
        <v>20</v>
      </c>
      <c r="D39" s="26">
        <f t="shared" si="26"/>
        <v>180000</v>
      </c>
      <c r="E39" s="40">
        <f t="shared" si="33"/>
        <v>4320000</v>
      </c>
      <c r="F39" s="40">
        <f t="shared" si="36"/>
        <v>4320000</v>
      </c>
      <c r="G39" s="40">
        <v>1</v>
      </c>
      <c r="H39" s="26">
        <f t="shared" si="34"/>
        <v>12960000</v>
      </c>
      <c r="I39" s="41">
        <f t="shared" si="30"/>
        <v>1.4999999999999996</v>
      </c>
      <c r="L39" s="12">
        <f t="shared" si="31"/>
        <v>19</v>
      </c>
      <c r="M39" s="12">
        <f t="shared" ref="M39" si="37">M38+L38+3</f>
        <v>75</v>
      </c>
      <c r="O39" s="40">
        <f>P39*(1+其他表格!X42)</f>
        <v>2137536000</v>
      </c>
      <c r="P39" s="40">
        <f>M39*F39*基本公式!$B$152</f>
        <v>648000000</v>
      </c>
      <c r="Q39" s="42">
        <f>ROUND(O39*基本公式!$B$97,0)</f>
        <v>1175644800</v>
      </c>
      <c r="R39" s="42">
        <f>ROUND(O39*基本公式!$B$98,0)</f>
        <v>42750720</v>
      </c>
      <c r="S39" s="42">
        <f>ROUND(O39*基本公式!$B$99+其他表格!T16,0)</f>
        <v>149655520</v>
      </c>
      <c r="U39" s="40">
        <f>ROUND(O39*基本公式!$B$100,0)</f>
        <v>427507200</v>
      </c>
    </row>
    <row r="40" spans="1:21">
      <c r="B40" s="12">
        <v>16</v>
      </c>
      <c r="C40" s="12">
        <v>23</v>
      </c>
      <c r="D40" s="26">
        <f t="shared" si="26"/>
        <v>215280</v>
      </c>
      <c r="E40" s="40">
        <f t="shared" si="33"/>
        <v>5166720</v>
      </c>
      <c r="F40" s="40">
        <f t="shared" si="36"/>
        <v>5166720</v>
      </c>
      <c r="G40" s="40">
        <v>1</v>
      </c>
      <c r="H40" s="26">
        <f t="shared" si="34"/>
        <v>15500160</v>
      </c>
      <c r="I40" s="41">
        <f t="shared" si="30"/>
        <v>1.5999999999999996</v>
      </c>
      <c r="L40" s="12">
        <f t="shared" si="31"/>
        <v>22</v>
      </c>
      <c r="M40" s="12">
        <f>M39+L39+3</f>
        <v>97</v>
      </c>
      <c r="O40" s="40">
        <f>P40*(1+其他表格!X43)</f>
        <v>3882411187.1999998</v>
      </c>
      <c r="P40" s="40">
        <f>M40*F40*基本公式!$B$152</f>
        <v>1002343680</v>
      </c>
      <c r="Q40" s="42">
        <f>ROUND(O40*基本公式!$B$97,0)</f>
        <v>2135326153</v>
      </c>
      <c r="R40" s="42">
        <f>ROUND(O40*基本公式!$B$98,0)</f>
        <v>77648224</v>
      </c>
      <c r="S40" s="42">
        <f>ROUND(O40*基本公式!$B$99+其他表格!T17,0)</f>
        <v>271796783</v>
      </c>
      <c r="U40" s="40">
        <f>ROUND(O40*基本公式!$B$100,0)</f>
        <v>776482237</v>
      </c>
    </row>
    <row r="41" spans="1:21">
      <c r="B41" s="12">
        <v>17</v>
      </c>
      <c r="C41" s="12">
        <v>26.3</v>
      </c>
      <c r="D41" s="26">
        <f t="shared" si="26"/>
        <v>255636</v>
      </c>
      <c r="E41" s="40">
        <f t="shared" si="33"/>
        <v>6135264</v>
      </c>
      <c r="F41" s="40">
        <f t="shared" si="36"/>
        <v>6135264</v>
      </c>
      <c r="G41" s="40">
        <v>1</v>
      </c>
      <c r="H41" s="26">
        <f t="shared" si="34"/>
        <v>18405792</v>
      </c>
      <c r="I41" s="41">
        <f t="shared" si="30"/>
        <v>1.6999999999999997</v>
      </c>
      <c r="L41" s="12">
        <f t="shared" si="31"/>
        <v>25</v>
      </c>
      <c r="M41" s="12">
        <f>M40+L40+3</f>
        <v>122</v>
      </c>
      <c r="O41" s="40">
        <f>P41*(1+其他表格!X44)</f>
        <v>5798397104.6399994</v>
      </c>
      <c r="P41" s="40">
        <f>M41*F41*基本公式!$B$152</f>
        <v>1497004416</v>
      </c>
      <c r="Q41" s="42">
        <f>ROUND(O41*基本公式!$B$97,0)</f>
        <v>3189118408</v>
      </c>
      <c r="R41" s="42">
        <f>ROUND(O41*基本公式!$B$98,0)</f>
        <v>115967942</v>
      </c>
      <c r="S41" s="42">
        <f>ROUND(O41*基本公式!$B$99+其他表格!T18,0)</f>
        <v>405915797</v>
      </c>
      <c r="U41" s="40">
        <f>ROUND(O41*基本公式!$B$100,0)</f>
        <v>1159679421</v>
      </c>
    </row>
    <row r="42" spans="1:21">
      <c r="B42" s="12">
        <v>18</v>
      </c>
      <c r="C42" s="12">
        <v>30</v>
      </c>
      <c r="D42" s="26">
        <f t="shared" si="26"/>
        <v>302400</v>
      </c>
      <c r="E42" s="40">
        <f t="shared" si="33"/>
        <v>7257600</v>
      </c>
      <c r="F42" s="40">
        <f t="shared" si="36"/>
        <v>7257600</v>
      </c>
      <c r="G42" s="40">
        <v>1</v>
      </c>
      <c r="H42" s="26">
        <f t="shared" si="34"/>
        <v>21772800</v>
      </c>
      <c r="I42" s="41">
        <f t="shared" si="30"/>
        <v>1.7999999999999998</v>
      </c>
      <c r="L42" s="12">
        <f t="shared" si="31"/>
        <v>28</v>
      </c>
      <c r="M42" s="12">
        <f>M41+L41+3</f>
        <v>150</v>
      </c>
      <c r="O42" s="40">
        <f>P42*(1+其他表格!X45)</f>
        <v>9684541440</v>
      </c>
      <c r="P42" s="40">
        <f>M42*F42*基本公式!$B$152</f>
        <v>2177280000</v>
      </c>
      <c r="Q42" s="42">
        <f>ROUND(O42*基本公式!$B$97,0)</f>
        <v>5326497792</v>
      </c>
      <c r="R42" s="42">
        <f>ROUND(O42*基本公式!$B$98,0)</f>
        <v>193690829</v>
      </c>
      <c r="S42" s="42">
        <f>ROUND(O42*基本公式!$B$99+其他表格!T19,0)</f>
        <v>677945901</v>
      </c>
      <c r="U42" s="40">
        <f>ROUND(O42*基本公式!$B$100,0)</f>
        <v>1936908288</v>
      </c>
    </row>
    <row r="43" spans="1:21">
      <c r="A43" s="18" t="s">
        <v>197</v>
      </c>
      <c r="B43" s="12">
        <v>19</v>
      </c>
      <c r="C43" s="12">
        <v>34</v>
      </c>
      <c r="D43" s="26">
        <f t="shared" si="26"/>
        <v>354960</v>
      </c>
      <c r="E43" s="40">
        <f t="shared" si="33"/>
        <v>8519040</v>
      </c>
      <c r="F43" s="40">
        <f t="shared" si="36"/>
        <v>8519040</v>
      </c>
      <c r="G43" s="40">
        <v>1</v>
      </c>
      <c r="H43" s="26">
        <f t="shared" si="34"/>
        <v>25557120</v>
      </c>
      <c r="I43" s="41">
        <f t="shared" si="30"/>
        <v>1.9</v>
      </c>
      <c r="L43" s="12">
        <f t="shared" si="31"/>
        <v>31</v>
      </c>
      <c r="M43" s="12">
        <f>M42+L42+3</f>
        <v>181</v>
      </c>
      <c r="O43" s="40">
        <f>P43*(1+其他表格!X46)</f>
        <v>15489363962.880001</v>
      </c>
      <c r="P43" s="40">
        <f>M43*F43*基本公式!$B$152</f>
        <v>3083892480</v>
      </c>
      <c r="Q43" s="42">
        <f>ROUND(O43*基本公式!$B$97,0)</f>
        <v>8519150180</v>
      </c>
      <c r="R43" s="42">
        <f>ROUND(O43*基本公式!$B$98,0)</f>
        <v>309787279</v>
      </c>
      <c r="S43" s="42">
        <f>ROUND(O43*基本公式!$B$99+其他表格!T20,0)</f>
        <v>1084283477</v>
      </c>
      <c r="U43" s="40">
        <f>ROUND(O43*基本公式!$B$100,0)</f>
        <v>3097872793</v>
      </c>
    </row>
    <row r="44" spans="1:21">
      <c r="B44" s="12">
        <v>20</v>
      </c>
      <c r="C44" s="12">
        <v>40</v>
      </c>
      <c r="D44" s="26">
        <f t="shared" si="26"/>
        <v>432000</v>
      </c>
      <c r="E44" s="40">
        <f t="shared" si="33"/>
        <v>10368000</v>
      </c>
      <c r="F44" s="40">
        <f t="shared" si="36"/>
        <v>10368000</v>
      </c>
      <c r="G44" s="40">
        <v>1</v>
      </c>
      <c r="H44" s="26">
        <f t="shared" si="34"/>
        <v>31104000</v>
      </c>
      <c r="I44" s="41">
        <v>2</v>
      </c>
      <c r="L44" s="12">
        <f t="shared" si="31"/>
        <v>34</v>
      </c>
      <c r="M44" s="12">
        <f>M43+L43+3</f>
        <v>215</v>
      </c>
      <c r="O44" s="40">
        <f>P44*(1+其他表格!X47)</f>
        <v>24954255360</v>
      </c>
      <c r="P44" s="40">
        <f>M44*F44*基本公式!$B$152</f>
        <v>4458240000</v>
      </c>
      <c r="Q44" s="42">
        <f>ROUND(O44*基本公式!$B$97,0)</f>
        <v>13724840448</v>
      </c>
      <c r="R44" s="42">
        <f>ROUND(O44*基本公式!$B$98,0)</f>
        <v>499085107</v>
      </c>
      <c r="S44" s="42">
        <f>ROUND(O44*基本公式!$B$99+其他表格!T21,0)</f>
        <v>1746825875</v>
      </c>
      <c r="U44" s="40">
        <f>ROUND(O44*基本公式!$B$100,0)</f>
        <v>4990851072</v>
      </c>
    </row>
    <row r="46" spans="1:21" s="7" customFormat="1">
      <c r="A46" s="28" t="s">
        <v>93</v>
      </c>
      <c r="D46" s="24"/>
      <c r="E46" s="24"/>
      <c r="F46" s="24"/>
      <c r="G46" s="24"/>
      <c r="H46" s="24"/>
      <c r="I46" s="37"/>
      <c r="J46" s="24"/>
      <c r="P46" s="38"/>
      <c r="Q46" s="36"/>
      <c r="R46" s="36"/>
      <c r="S46" s="36"/>
      <c r="T46" s="36"/>
      <c r="U46" s="24"/>
    </row>
    <row r="47" spans="1:21">
      <c r="B47" s="12">
        <v>1</v>
      </c>
      <c r="C47" s="12">
        <v>0.1</v>
      </c>
      <c r="D47" s="26">
        <f t="shared" ref="D47" si="38">ROUND(C47*3600*(1+I47),0)</f>
        <v>396</v>
      </c>
      <c r="E47" s="40">
        <f>24*D47</f>
        <v>9504</v>
      </c>
      <c r="F47" s="40">
        <f t="shared" ref="F47" si="39">E47*G47</f>
        <v>9504</v>
      </c>
      <c r="G47" s="40">
        <v>1</v>
      </c>
      <c r="H47" s="26">
        <f>3*F47</f>
        <v>28512</v>
      </c>
      <c r="I47" s="41">
        <f t="shared" ref="I47" si="40">I48-0.1</f>
        <v>9.9999999999999367E-2</v>
      </c>
      <c r="L47" s="12">
        <f t="shared" ref="L47" si="41">M47-M46</f>
        <v>0.01</v>
      </c>
      <c r="M47" s="12">
        <v>0.01</v>
      </c>
      <c r="O47" s="40">
        <f>P47*(1+其他表格!X28)</f>
        <v>190.08</v>
      </c>
      <c r="P47" s="40">
        <f>M47*F47*基本公式!$B$153</f>
        <v>190.08</v>
      </c>
      <c r="Q47" s="42">
        <f>ROUND(O47*基本公式!$B$103,0)</f>
        <v>76</v>
      </c>
      <c r="R47" s="42">
        <f>ROUND(O47*基本公式!$B$104,0)</f>
        <v>4</v>
      </c>
      <c r="S47" s="42">
        <f>ROUND(O47*基本公式!$B$105+其他表格!U2,0)</f>
        <v>7011</v>
      </c>
      <c r="U47" s="40">
        <f>ROUND(O47*基本公式!$B$106,0)</f>
        <v>76</v>
      </c>
    </row>
    <row r="48" spans="1:21">
      <c r="B48" s="12">
        <v>2</v>
      </c>
      <c r="C48" s="12">
        <f>C47+C47</f>
        <v>0.2</v>
      </c>
      <c r="D48" s="26">
        <f t="shared" ref="D48:D66" si="42">ROUND(C48*3600*(1+I48),0)</f>
        <v>864</v>
      </c>
      <c r="E48" s="40">
        <f t="shared" ref="E48" si="43">24*D48</f>
        <v>20736</v>
      </c>
      <c r="F48" s="40">
        <f t="shared" ref="F48:F56" si="44">E48*G48</f>
        <v>20736</v>
      </c>
      <c r="G48" s="40">
        <v>1</v>
      </c>
      <c r="H48" s="26">
        <f t="shared" ref="H48" si="45">3*F48</f>
        <v>62208</v>
      </c>
      <c r="I48" s="41">
        <f t="shared" ref="I48:I65" si="46">I49-0.1</f>
        <v>0.19999999999999937</v>
      </c>
      <c r="L48" s="12">
        <f t="shared" ref="L48:L66" si="47">M48-M47</f>
        <v>0.04</v>
      </c>
      <c r="M48" s="12">
        <v>0.05</v>
      </c>
      <c r="O48" s="40">
        <f>P48*(1+其他表格!X29)</f>
        <v>2073.6</v>
      </c>
      <c r="P48" s="40">
        <f>M48*F48*基本公式!$B$153</f>
        <v>2073.6</v>
      </c>
      <c r="Q48" s="42">
        <f>ROUND(O48*基本公式!$B$103,0)</f>
        <v>829</v>
      </c>
      <c r="R48" s="42">
        <f>ROUND(O48*基本公式!$B$104,0)</f>
        <v>41</v>
      </c>
      <c r="S48" s="42">
        <f>ROUND(O48*基本公式!$B$105+其他表格!U3,0)</f>
        <v>10124</v>
      </c>
      <c r="U48" s="40">
        <f>ROUND(O48*基本公式!$B$106,0)</f>
        <v>829</v>
      </c>
    </row>
    <row r="49" spans="1:21">
      <c r="B49" s="12">
        <v>3</v>
      </c>
      <c r="C49" s="12">
        <f t="shared" ref="C49" si="48">C48+C47</f>
        <v>0.30000000000000004</v>
      </c>
      <c r="D49" s="26">
        <f t="shared" si="42"/>
        <v>1404</v>
      </c>
      <c r="E49" s="40">
        <f t="shared" ref="E49:E66" si="49">24*D49</f>
        <v>33696</v>
      </c>
      <c r="F49" s="40">
        <f t="shared" si="44"/>
        <v>33696</v>
      </c>
      <c r="G49" s="40">
        <v>1</v>
      </c>
      <c r="H49" s="26">
        <f t="shared" ref="H49:H66" si="50">3*F49</f>
        <v>101088</v>
      </c>
      <c r="I49" s="41">
        <f t="shared" si="46"/>
        <v>0.29999999999999938</v>
      </c>
      <c r="L49" s="12">
        <f t="shared" si="47"/>
        <v>0.15000000000000002</v>
      </c>
      <c r="M49" s="12">
        <v>0.2</v>
      </c>
      <c r="O49" s="40">
        <f>P49*(1+其他表格!X30)</f>
        <v>13478.400000000001</v>
      </c>
      <c r="P49" s="40">
        <f>M49*F49*基本公式!$B$153</f>
        <v>13478.400000000001</v>
      </c>
      <c r="Q49" s="42">
        <f>ROUND(O49*基本公式!$B$103,0)</f>
        <v>5391</v>
      </c>
      <c r="R49" s="42">
        <f>ROUND(O49*基本公式!$B$104,0)</f>
        <v>270</v>
      </c>
      <c r="S49" s="42">
        <f>ROUND(O49*基本公式!$B$105+其他表格!U4,0)</f>
        <v>13809</v>
      </c>
      <c r="U49" s="40">
        <f>ROUND(O49*基本公式!$B$106,0)</f>
        <v>5391</v>
      </c>
    </row>
    <row r="50" spans="1:21">
      <c r="B50" s="12">
        <v>4</v>
      </c>
      <c r="C50" s="12">
        <f>C49+C48</f>
        <v>0.5</v>
      </c>
      <c r="D50" s="26">
        <f t="shared" si="42"/>
        <v>2520</v>
      </c>
      <c r="E50" s="40">
        <f t="shared" si="49"/>
        <v>60480</v>
      </c>
      <c r="F50" s="40">
        <f t="shared" si="44"/>
        <v>60480</v>
      </c>
      <c r="G50" s="40">
        <v>1</v>
      </c>
      <c r="H50" s="26">
        <f t="shared" si="50"/>
        <v>181440</v>
      </c>
      <c r="I50" s="41">
        <f t="shared" si="46"/>
        <v>0.39999999999999936</v>
      </c>
      <c r="L50" s="12">
        <f t="shared" si="47"/>
        <v>0.25</v>
      </c>
      <c r="M50" s="12">
        <v>0.45</v>
      </c>
      <c r="O50" s="40">
        <f>P50*(1+其他表格!X31)</f>
        <v>54432</v>
      </c>
      <c r="P50" s="40">
        <f>M50*F50*基本公式!$B$153</f>
        <v>54432</v>
      </c>
      <c r="Q50" s="42">
        <f>ROUND(O50*基本公式!$B$103,0)</f>
        <v>21773</v>
      </c>
      <c r="R50" s="42">
        <f>ROUND(O50*基本公式!$B$104,0)</f>
        <v>1089</v>
      </c>
      <c r="S50" s="42">
        <f>ROUND(O50*基本公式!$B$105+其他表格!U5,0)</f>
        <v>18266</v>
      </c>
      <c r="U50" s="40">
        <f>ROUND(O50*基本公式!$B$106,0)</f>
        <v>21773</v>
      </c>
    </row>
    <row r="51" spans="1:21">
      <c r="B51" s="12">
        <v>5</v>
      </c>
      <c r="C51" s="12">
        <f>C50+C49</f>
        <v>0.8</v>
      </c>
      <c r="D51" s="26">
        <f t="shared" si="42"/>
        <v>4320</v>
      </c>
      <c r="E51" s="40">
        <f t="shared" si="49"/>
        <v>103680</v>
      </c>
      <c r="F51" s="40">
        <f t="shared" si="44"/>
        <v>103680</v>
      </c>
      <c r="G51" s="40">
        <v>1</v>
      </c>
      <c r="H51" s="26">
        <f t="shared" si="50"/>
        <v>311040</v>
      </c>
      <c r="I51" s="41">
        <f t="shared" si="46"/>
        <v>0.49999999999999933</v>
      </c>
      <c r="L51" s="12">
        <f t="shared" si="47"/>
        <v>0.39999999999999997</v>
      </c>
      <c r="M51" s="12">
        <v>0.85</v>
      </c>
      <c r="O51" s="40">
        <f>P51*(1+其他表格!X32)</f>
        <v>176256</v>
      </c>
      <c r="P51" s="40">
        <f>M51*F51*基本公式!$B$153</f>
        <v>176256</v>
      </c>
      <c r="Q51" s="42">
        <f>ROUND(O51*基本公式!$B$103,0)</f>
        <v>70502</v>
      </c>
      <c r="R51" s="42">
        <f>ROUND(O51*基本公式!$B$104,0)</f>
        <v>3525</v>
      </c>
      <c r="S51" s="42">
        <f>ROUND(O51*基本公式!$B$105+其他表格!U6,0)</f>
        <v>25575</v>
      </c>
      <c r="U51" s="40">
        <f>ROUND(O51*基本公式!$B$106,0)</f>
        <v>70502</v>
      </c>
    </row>
    <row r="52" spans="1:21">
      <c r="B52" s="12">
        <v>6</v>
      </c>
      <c r="C52" s="12">
        <f>C51+C50</f>
        <v>1.3</v>
      </c>
      <c r="D52" s="26">
        <f t="shared" si="42"/>
        <v>7488</v>
      </c>
      <c r="E52" s="40">
        <f t="shared" si="49"/>
        <v>179712</v>
      </c>
      <c r="F52" s="40">
        <f t="shared" si="44"/>
        <v>179712</v>
      </c>
      <c r="G52" s="40">
        <v>1</v>
      </c>
      <c r="H52" s="26">
        <f t="shared" si="50"/>
        <v>539136</v>
      </c>
      <c r="I52" s="41">
        <f t="shared" si="46"/>
        <v>0.59999999999999931</v>
      </c>
      <c r="L52" s="12">
        <f t="shared" si="47"/>
        <v>0.54999999999999993</v>
      </c>
      <c r="M52" s="12">
        <v>1.4</v>
      </c>
      <c r="O52" s="40">
        <f>P52*(1+其他表格!X33)</f>
        <v>503193.59999999998</v>
      </c>
      <c r="P52" s="40">
        <f>M52*F52*基本公式!$B$153</f>
        <v>503193.59999999998</v>
      </c>
      <c r="Q52" s="42">
        <f>ROUND(O52*基本公式!$B$103,0)</f>
        <v>201277</v>
      </c>
      <c r="R52" s="42">
        <f>ROUND(O52*基本公式!$B$104,0)</f>
        <v>10064</v>
      </c>
      <c r="S52" s="42">
        <f>ROUND(O52*基本公式!$B$105+其他表格!U7,0)</f>
        <v>53192</v>
      </c>
      <c r="U52" s="40">
        <f>ROUND(O52*基本公式!$B$106,0)</f>
        <v>201277</v>
      </c>
    </row>
    <row r="53" spans="1:21">
      <c r="B53" s="12">
        <v>7</v>
      </c>
      <c r="C53" s="12">
        <f>C52+C51</f>
        <v>2.1</v>
      </c>
      <c r="D53" s="26">
        <f t="shared" si="42"/>
        <v>12852</v>
      </c>
      <c r="E53" s="40">
        <f t="shared" si="49"/>
        <v>308448</v>
      </c>
      <c r="F53" s="40">
        <f t="shared" si="44"/>
        <v>308448</v>
      </c>
      <c r="G53" s="40">
        <v>1</v>
      </c>
      <c r="H53" s="26">
        <f t="shared" si="50"/>
        <v>925344</v>
      </c>
      <c r="I53" s="41">
        <f t="shared" si="46"/>
        <v>0.69999999999999929</v>
      </c>
      <c r="L53" s="12">
        <f t="shared" si="47"/>
        <v>0.89999999999999991</v>
      </c>
      <c r="M53" s="12">
        <v>2.2999999999999998</v>
      </c>
      <c r="O53" s="40">
        <f>P53*(1+其他表格!X34)</f>
        <v>1418860.7999999998</v>
      </c>
      <c r="P53" s="40">
        <f>M53*F53*基本公式!$B$153</f>
        <v>1418860.7999999998</v>
      </c>
      <c r="Q53" s="42">
        <f>ROUND(O53*基本公式!$B$103,0)</f>
        <v>567544</v>
      </c>
      <c r="R53" s="42">
        <f>ROUND(O53*基本公式!$B$104,0)</f>
        <v>28377</v>
      </c>
      <c r="S53" s="42">
        <f>ROUND(O53*基本公式!$B$105+其他表格!U8,0)</f>
        <v>108132</v>
      </c>
      <c r="U53" s="40">
        <f>ROUND(O53*基本公式!$B$106,0)</f>
        <v>567544</v>
      </c>
    </row>
    <row r="54" spans="1:21">
      <c r="A54" s="12"/>
      <c r="B54" s="12">
        <v>8</v>
      </c>
      <c r="C54" s="12">
        <f>C53+C52</f>
        <v>3.4000000000000004</v>
      </c>
      <c r="D54" s="26">
        <f t="shared" si="42"/>
        <v>22032</v>
      </c>
      <c r="E54" s="40">
        <f t="shared" si="49"/>
        <v>528768</v>
      </c>
      <c r="F54" s="40">
        <f t="shared" si="44"/>
        <v>528768</v>
      </c>
      <c r="G54" s="40">
        <v>1</v>
      </c>
      <c r="H54" s="26">
        <f t="shared" si="50"/>
        <v>1586304</v>
      </c>
      <c r="I54" s="41">
        <f t="shared" si="46"/>
        <v>0.79999999999999927</v>
      </c>
      <c r="L54" s="12">
        <f t="shared" si="47"/>
        <v>2</v>
      </c>
      <c r="M54" s="12">
        <v>4.3</v>
      </c>
      <c r="O54" s="40">
        <f>P54*(1+其他表格!X35)</f>
        <v>7160646.7583999997</v>
      </c>
      <c r="P54" s="40">
        <f>M54*F54*基本公式!$B$153</f>
        <v>4547404.8</v>
      </c>
      <c r="Q54" s="42">
        <f>ROUND(O54*基本公式!$B$103,0)</f>
        <v>2864259</v>
      </c>
      <c r="R54" s="42">
        <f>ROUND(O54*基本公式!$B$104,0)</f>
        <v>143213</v>
      </c>
      <c r="S54" s="42">
        <f>ROUND(O54*基本公式!$B$105+其他表格!U9,0)</f>
        <v>452639</v>
      </c>
      <c r="U54" s="40">
        <f>ROUND(O54*基本公式!$B$106,0)</f>
        <v>2864259</v>
      </c>
    </row>
    <row r="55" spans="1:21">
      <c r="B55" s="12">
        <v>9</v>
      </c>
      <c r="C55" s="12">
        <f>C54+C52</f>
        <v>4.7</v>
      </c>
      <c r="D55" s="26">
        <f t="shared" si="42"/>
        <v>32148</v>
      </c>
      <c r="E55" s="40">
        <f t="shared" si="49"/>
        <v>771552</v>
      </c>
      <c r="F55" s="40">
        <f t="shared" si="44"/>
        <v>771552</v>
      </c>
      <c r="G55" s="40">
        <v>1</v>
      </c>
      <c r="H55" s="26">
        <f t="shared" si="50"/>
        <v>2314656</v>
      </c>
      <c r="I55" s="41">
        <f t="shared" si="46"/>
        <v>0.89999999999999925</v>
      </c>
      <c r="L55" s="12">
        <f t="shared" si="47"/>
        <v>2.7</v>
      </c>
      <c r="M55" s="12">
        <v>7</v>
      </c>
      <c r="O55" s="40">
        <f>P55*(1+其他表格!X36)</f>
        <v>17009121.024</v>
      </c>
      <c r="P55" s="40">
        <f>M55*F55*基本公式!$B$153</f>
        <v>10801728</v>
      </c>
      <c r="Q55" s="42">
        <f>ROUND(O55*基本公式!$B$103,0)</f>
        <v>6803648</v>
      </c>
      <c r="R55" s="42">
        <f>ROUND(O55*基本公式!$B$104,0)</f>
        <v>340182</v>
      </c>
      <c r="S55" s="42">
        <f>ROUND(O55*基本公式!$B$105+其他表格!U10,0)</f>
        <v>1043547</v>
      </c>
      <c r="U55" s="40">
        <f>ROUND(O55*基本公式!$B$106,0)</f>
        <v>6803648</v>
      </c>
    </row>
    <row r="56" spans="1:21">
      <c r="A56" s="17" t="s">
        <v>195</v>
      </c>
      <c r="B56" s="12">
        <v>10</v>
      </c>
      <c r="C56" s="12">
        <f>C55+C53</f>
        <v>6.8000000000000007</v>
      </c>
      <c r="D56" s="26">
        <f t="shared" si="42"/>
        <v>48960</v>
      </c>
      <c r="E56" s="40">
        <f t="shared" si="49"/>
        <v>1175040</v>
      </c>
      <c r="F56" s="40">
        <f t="shared" si="44"/>
        <v>1175040</v>
      </c>
      <c r="G56" s="40">
        <v>1</v>
      </c>
      <c r="H56" s="26">
        <f t="shared" si="50"/>
        <v>3525120</v>
      </c>
      <c r="I56" s="41">
        <f t="shared" si="46"/>
        <v>0.99999999999999922</v>
      </c>
      <c r="L56" s="12">
        <f t="shared" si="47"/>
        <v>4</v>
      </c>
      <c r="M56" s="12">
        <v>11</v>
      </c>
      <c r="O56" s="40">
        <f>P56*(1+其他表格!X37)</f>
        <v>55562158.079999998</v>
      </c>
      <c r="P56" s="40">
        <f>M56*F56*基本公式!$B$153</f>
        <v>25850880</v>
      </c>
      <c r="Q56" s="42">
        <f>ROUND(O56*基本公式!$B$103,0)</f>
        <v>22224863</v>
      </c>
      <c r="R56" s="42">
        <f>ROUND(O56*基本公式!$B$104,0)</f>
        <v>1111243</v>
      </c>
      <c r="S56" s="42">
        <f>ROUND(O56*基本公式!$B$105+其他表格!U11,0)</f>
        <v>3356729</v>
      </c>
      <c r="U56" s="40">
        <f>ROUND(O56*基本公式!$B$106,0)</f>
        <v>22224863</v>
      </c>
    </row>
    <row r="57" spans="1:21">
      <c r="B57" s="12">
        <v>11</v>
      </c>
      <c r="C57" s="12">
        <f>C55+C54</f>
        <v>8.1000000000000014</v>
      </c>
      <c r="D57" s="26">
        <f t="shared" si="42"/>
        <v>61236</v>
      </c>
      <c r="E57" s="40">
        <f t="shared" si="49"/>
        <v>1469664</v>
      </c>
      <c r="F57" s="40">
        <f t="shared" ref="F57" si="51">E57*G57</f>
        <v>1469664</v>
      </c>
      <c r="G57" s="40">
        <v>1</v>
      </c>
      <c r="H57" s="26">
        <f t="shared" si="50"/>
        <v>4408992</v>
      </c>
      <c r="I57" s="41">
        <f t="shared" si="46"/>
        <v>1.0999999999999992</v>
      </c>
      <c r="L57" s="12">
        <f t="shared" si="47"/>
        <v>7</v>
      </c>
      <c r="M57" s="12">
        <v>18</v>
      </c>
      <c r="O57" s="40">
        <f>P57*(1+其他表格!X38)</f>
        <v>113716721.664</v>
      </c>
      <c r="P57" s="40">
        <f>M57*F57*基本公式!$B$153</f>
        <v>52907904</v>
      </c>
      <c r="Q57" s="42">
        <f>ROUND(O57*基本公式!$B$103,0)</f>
        <v>45486689</v>
      </c>
      <c r="R57" s="42">
        <f>ROUND(O57*基本公式!$B$104,0)</f>
        <v>2274334</v>
      </c>
      <c r="S57" s="42">
        <f>ROUND(O57*基本公式!$B$105+其他表格!U12,0)</f>
        <v>6846003</v>
      </c>
      <c r="U57" s="40">
        <f>ROUND(O57*基本公式!$B$106,0)</f>
        <v>45486689</v>
      </c>
    </row>
    <row r="58" spans="1:21">
      <c r="B58" s="12">
        <v>12</v>
      </c>
      <c r="C58" s="12">
        <f>C56+C55</f>
        <v>11.5</v>
      </c>
      <c r="D58" s="26">
        <f t="shared" si="42"/>
        <v>91080</v>
      </c>
      <c r="E58" s="40">
        <f t="shared" si="49"/>
        <v>2185920</v>
      </c>
      <c r="F58" s="40">
        <f t="shared" ref="F58:F66" si="52">E58*G58</f>
        <v>2185920</v>
      </c>
      <c r="G58" s="40">
        <v>1</v>
      </c>
      <c r="H58" s="26">
        <f t="shared" si="50"/>
        <v>6557760</v>
      </c>
      <c r="I58" s="41">
        <f t="shared" si="46"/>
        <v>1.1999999999999993</v>
      </c>
      <c r="L58" s="12">
        <f t="shared" si="47"/>
        <v>9</v>
      </c>
      <c r="M58" s="12">
        <v>27</v>
      </c>
      <c r="O58" s="40">
        <f>P58*(1+其他表格!X39)</f>
        <v>321540088.32000005</v>
      </c>
      <c r="P58" s="40">
        <f>M58*F58*基本公式!$B$153</f>
        <v>118039680</v>
      </c>
      <c r="Q58" s="42">
        <f>ROUND(O58*基本公式!$B$103,0)</f>
        <v>128616035</v>
      </c>
      <c r="R58" s="42">
        <f>ROUND(O58*基本公式!$B$104,0)</f>
        <v>6430802</v>
      </c>
      <c r="S58" s="42">
        <f>ROUND(O58*基本公式!$B$105+其他表格!U13,0)</f>
        <v>19315405</v>
      </c>
      <c r="U58" s="40">
        <f>ROUND(O58*基本公式!$B$106,0)</f>
        <v>128616035</v>
      </c>
    </row>
    <row r="59" spans="1:21">
      <c r="A59" s="12"/>
      <c r="B59" s="12">
        <v>13</v>
      </c>
      <c r="C59" s="12">
        <v>14.4</v>
      </c>
      <c r="D59" s="26">
        <f t="shared" si="42"/>
        <v>119232</v>
      </c>
      <c r="E59" s="40">
        <f t="shared" si="49"/>
        <v>2861568</v>
      </c>
      <c r="F59" s="40">
        <f t="shared" si="52"/>
        <v>2861568</v>
      </c>
      <c r="G59" s="40">
        <v>1</v>
      </c>
      <c r="H59" s="26">
        <f t="shared" si="50"/>
        <v>8584704</v>
      </c>
      <c r="I59" s="41">
        <f t="shared" si="46"/>
        <v>1.2999999999999994</v>
      </c>
      <c r="L59" s="12">
        <f t="shared" si="47"/>
        <v>13</v>
      </c>
      <c r="M59" s="12">
        <v>40</v>
      </c>
      <c r="O59" s="40">
        <f>P59*(1+其他表格!X40)</f>
        <v>623592898.56000006</v>
      </c>
      <c r="P59" s="40">
        <f>M59*F59*基本公式!$B$153</f>
        <v>228925440</v>
      </c>
      <c r="Q59" s="42">
        <f>ROUND(O59*基本公式!$B$103,0)</f>
        <v>249437159</v>
      </c>
      <c r="R59" s="42">
        <f>ROUND(O59*基本公式!$B$104,0)</f>
        <v>12471858</v>
      </c>
      <c r="S59" s="42">
        <f>ROUND(O59*基本公式!$B$105+其他表格!U14,0)</f>
        <v>37438574</v>
      </c>
      <c r="U59" s="40">
        <f>ROUND(O59*基本公式!$B$106,0)</f>
        <v>249437159</v>
      </c>
    </row>
    <row r="60" spans="1:21">
      <c r="A60" s="17" t="s">
        <v>196</v>
      </c>
      <c r="B60" s="12">
        <v>14</v>
      </c>
      <c r="C60" s="12">
        <v>17</v>
      </c>
      <c r="D60" s="26">
        <f t="shared" si="42"/>
        <v>146880</v>
      </c>
      <c r="E60" s="40">
        <f t="shared" si="49"/>
        <v>3525120</v>
      </c>
      <c r="F60" s="40">
        <f t="shared" si="52"/>
        <v>3525120</v>
      </c>
      <c r="G60" s="40">
        <v>1</v>
      </c>
      <c r="H60" s="26">
        <f t="shared" si="50"/>
        <v>10575360</v>
      </c>
      <c r="I60" s="41">
        <f t="shared" si="46"/>
        <v>1.3999999999999995</v>
      </c>
      <c r="L60" s="12">
        <f t="shared" si="47"/>
        <v>16</v>
      </c>
      <c r="M60" s="12">
        <f>L59+M59+3</f>
        <v>56</v>
      </c>
      <c r="O60" s="40">
        <f>P60*(1+其他表格!X41)</f>
        <v>1302357934.0799999</v>
      </c>
      <c r="P60" s="40">
        <f>M60*F60*基本公式!$B$153</f>
        <v>394813440</v>
      </c>
      <c r="Q60" s="42">
        <f>ROUND(O60*基本公式!$B$103,0)</f>
        <v>520943174</v>
      </c>
      <c r="R60" s="42">
        <f>ROUND(O60*基本公式!$B$104,0)</f>
        <v>26047159</v>
      </c>
      <c r="S60" s="42">
        <f>ROUND(O60*基本公式!$B$105+其他表格!U15,0)</f>
        <v>78164476</v>
      </c>
      <c r="U60" s="40">
        <f>ROUND(O60*基本公式!$B$106,0)</f>
        <v>520943174</v>
      </c>
    </row>
    <row r="61" spans="1:21">
      <c r="B61" s="12">
        <v>15</v>
      </c>
      <c r="C61" s="12">
        <v>20</v>
      </c>
      <c r="D61" s="26">
        <f t="shared" si="42"/>
        <v>180000</v>
      </c>
      <c r="E61" s="40">
        <f t="shared" si="49"/>
        <v>4320000</v>
      </c>
      <c r="F61" s="40">
        <f t="shared" si="52"/>
        <v>4320000</v>
      </c>
      <c r="G61" s="40">
        <v>1</v>
      </c>
      <c r="H61" s="26">
        <f t="shared" si="50"/>
        <v>12960000</v>
      </c>
      <c r="I61" s="41">
        <f t="shared" si="46"/>
        <v>1.4999999999999996</v>
      </c>
      <c r="L61" s="12">
        <f t="shared" si="47"/>
        <v>19</v>
      </c>
      <c r="M61" s="12">
        <f t="shared" ref="M61" si="53">M60+L60+3</f>
        <v>75</v>
      </c>
      <c r="O61" s="40">
        <f>P61*(1+其他表格!X42)</f>
        <v>2137536000</v>
      </c>
      <c r="P61" s="40">
        <f>M61*F61*基本公式!$B$153</f>
        <v>648000000</v>
      </c>
      <c r="Q61" s="42">
        <f>ROUND(O61*基本公式!$B$103,0)</f>
        <v>855014400</v>
      </c>
      <c r="R61" s="42">
        <f>ROUND(O61*基本公式!$B$104,0)</f>
        <v>42750720</v>
      </c>
      <c r="S61" s="42">
        <f>ROUND(O61*基本公式!$B$105+其他表格!U16,0)</f>
        <v>128275160</v>
      </c>
      <c r="U61" s="40">
        <f>ROUND(O61*基本公式!$B$106,0)</f>
        <v>855014400</v>
      </c>
    </row>
    <row r="62" spans="1:21">
      <c r="B62" s="12">
        <v>16</v>
      </c>
      <c r="C62" s="12">
        <v>23</v>
      </c>
      <c r="D62" s="26">
        <f t="shared" si="42"/>
        <v>215280</v>
      </c>
      <c r="E62" s="40">
        <f t="shared" si="49"/>
        <v>5166720</v>
      </c>
      <c r="F62" s="40">
        <f t="shared" si="52"/>
        <v>5166720</v>
      </c>
      <c r="G62" s="40">
        <v>1</v>
      </c>
      <c r="H62" s="26">
        <f t="shared" si="50"/>
        <v>15500160</v>
      </c>
      <c r="I62" s="41">
        <f t="shared" si="46"/>
        <v>1.5999999999999996</v>
      </c>
      <c r="L62" s="12">
        <f t="shared" si="47"/>
        <v>22</v>
      </c>
      <c r="M62" s="12">
        <f>M61+L61+3</f>
        <v>97</v>
      </c>
      <c r="O62" s="40">
        <f>P62*(1+其他表格!X43)</f>
        <v>3882411187.1999998</v>
      </c>
      <c r="P62" s="40">
        <f>M62*F62*基本公式!$B$153</f>
        <v>1002343680</v>
      </c>
      <c r="Q62" s="42">
        <f>ROUND(O62*基本公式!$B$103,0)</f>
        <v>1552964475</v>
      </c>
      <c r="R62" s="42">
        <f>ROUND(O62*基本公式!$B$104,0)</f>
        <v>77648224</v>
      </c>
      <c r="S62" s="42">
        <f>ROUND(O62*基本公式!$B$105+其他表格!U17,0)</f>
        <v>232967671</v>
      </c>
      <c r="U62" s="40">
        <f>ROUND(O62*基本公式!$B$106,0)</f>
        <v>1552964475</v>
      </c>
    </row>
    <row r="63" spans="1:21">
      <c r="B63" s="12">
        <v>17</v>
      </c>
      <c r="C63" s="12">
        <v>26.3</v>
      </c>
      <c r="D63" s="26">
        <f t="shared" si="42"/>
        <v>255636</v>
      </c>
      <c r="E63" s="40">
        <f t="shared" si="49"/>
        <v>6135264</v>
      </c>
      <c r="F63" s="40">
        <f t="shared" si="52"/>
        <v>6135264</v>
      </c>
      <c r="G63" s="40">
        <v>1</v>
      </c>
      <c r="H63" s="26">
        <f t="shared" si="50"/>
        <v>18405792</v>
      </c>
      <c r="I63" s="41">
        <f t="shared" si="46"/>
        <v>1.6999999999999997</v>
      </c>
      <c r="L63" s="12">
        <f t="shared" si="47"/>
        <v>25</v>
      </c>
      <c r="M63" s="12">
        <f>M62+L62+3</f>
        <v>122</v>
      </c>
      <c r="O63" s="40">
        <f>P63*(1+其他表格!X44)</f>
        <v>5798397104.6399994</v>
      </c>
      <c r="P63" s="40">
        <f>M63*F63*基本公式!$B$153</f>
        <v>1497004416</v>
      </c>
      <c r="Q63" s="42">
        <f>ROUND(O63*基本公式!$B$103,0)</f>
        <v>2319358842</v>
      </c>
      <c r="R63" s="42">
        <f>ROUND(O63*基本公式!$B$104,0)</f>
        <v>115967942</v>
      </c>
      <c r="S63" s="42">
        <f>ROUND(O63*基本公式!$B$105+其他表格!U18,0)</f>
        <v>347926826</v>
      </c>
      <c r="U63" s="40">
        <f>ROUND(O63*基本公式!$B$106,0)</f>
        <v>2319358842</v>
      </c>
    </row>
    <row r="64" spans="1:21">
      <c r="B64" s="12">
        <v>18</v>
      </c>
      <c r="C64" s="12">
        <v>30</v>
      </c>
      <c r="D64" s="26">
        <f t="shared" si="42"/>
        <v>302400</v>
      </c>
      <c r="E64" s="40">
        <f t="shared" si="49"/>
        <v>7257600</v>
      </c>
      <c r="F64" s="40">
        <f t="shared" si="52"/>
        <v>7257600</v>
      </c>
      <c r="G64" s="40">
        <v>1</v>
      </c>
      <c r="H64" s="26">
        <f t="shared" si="50"/>
        <v>21772800</v>
      </c>
      <c r="I64" s="41">
        <f t="shared" si="46"/>
        <v>1.7999999999999998</v>
      </c>
      <c r="L64" s="12">
        <f t="shared" si="47"/>
        <v>28</v>
      </c>
      <c r="M64" s="12">
        <f>M63+L63+3</f>
        <v>150</v>
      </c>
      <c r="O64" s="40">
        <f>P64*(1+其他表格!X45)</f>
        <v>9684541440</v>
      </c>
      <c r="P64" s="40">
        <f>M64*F64*基本公式!$B$153</f>
        <v>2177280000</v>
      </c>
      <c r="Q64" s="42">
        <f>ROUND(O64*基本公式!$B$103,0)</f>
        <v>3873816576</v>
      </c>
      <c r="R64" s="42">
        <f>ROUND(O64*基本公式!$B$104,0)</f>
        <v>193690829</v>
      </c>
      <c r="S64" s="42">
        <f>ROUND(O64*基本公式!$B$105+其他表格!U19,0)</f>
        <v>581095486</v>
      </c>
      <c r="U64" s="40">
        <f>ROUND(O64*基本公式!$B$106,0)</f>
        <v>3873816576</v>
      </c>
    </row>
    <row r="65" spans="1:25">
      <c r="A65" s="18" t="s">
        <v>197</v>
      </c>
      <c r="B65" s="12">
        <v>19</v>
      </c>
      <c r="C65" s="12">
        <v>34</v>
      </c>
      <c r="D65" s="26">
        <f t="shared" si="42"/>
        <v>354960</v>
      </c>
      <c r="E65" s="40">
        <f t="shared" si="49"/>
        <v>8519040</v>
      </c>
      <c r="F65" s="40">
        <f t="shared" si="52"/>
        <v>8519040</v>
      </c>
      <c r="G65" s="40">
        <v>1</v>
      </c>
      <c r="H65" s="26">
        <f t="shared" si="50"/>
        <v>25557120</v>
      </c>
      <c r="I65" s="41">
        <f t="shared" si="46"/>
        <v>1.9</v>
      </c>
      <c r="L65" s="12">
        <f t="shared" si="47"/>
        <v>31</v>
      </c>
      <c r="M65" s="12">
        <f>M64+L64+3</f>
        <v>181</v>
      </c>
      <c r="O65" s="40">
        <f>P65*(1+其他表格!X46)</f>
        <v>15489363962.880001</v>
      </c>
      <c r="P65" s="40">
        <f>M65*F65*基本公式!$B$153</f>
        <v>3083892480</v>
      </c>
      <c r="Q65" s="42">
        <f>ROUND(O65*基本公式!$B$103,0)</f>
        <v>6195745585</v>
      </c>
      <c r="R65" s="42">
        <f>ROUND(O65*基本公式!$B$104,0)</f>
        <v>309787279</v>
      </c>
      <c r="S65" s="42">
        <f>ROUND(O65*基本公式!$B$105+其他表格!U20,0)</f>
        <v>929384838</v>
      </c>
      <c r="U65" s="40">
        <f>ROUND(O65*基本公式!$B$106,0)</f>
        <v>6195745585</v>
      </c>
    </row>
    <row r="66" spans="1:25">
      <c r="B66" s="12">
        <v>20</v>
      </c>
      <c r="C66" s="12">
        <v>40</v>
      </c>
      <c r="D66" s="26">
        <f t="shared" si="42"/>
        <v>432000</v>
      </c>
      <c r="E66" s="40">
        <f t="shared" si="49"/>
        <v>10368000</v>
      </c>
      <c r="F66" s="40">
        <f t="shared" si="52"/>
        <v>10368000</v>
      </c>
      <c r="G66" s="40">
        <v>1</v>
      </c>
      <c r="H66" s="26">
        <f t="shared" si="50"/>
        <v>31104000</v>
      </c>
      <c r="I66" s="41">
        <v>2</v>
      </c>
      <c r="L66" s="12">
        <f t="shared" si="47"/>
        <v>34</v>
      </c>
      <c r="M66" s="12">
        <f>M65+L65+3</f>
        <v>215</v>
      </c>
      <c r="O66" s="40">
        <f>P66*(1+其他表格!X47)</f>
        <v>24954255360</v>
      </c>
      <c r="P66" s="40">
        <f>M66*F66*基本公式!$B$153</f>
        <v>4458240000</v>
      </c>
      <c r="Q66" s="42">
        <f>ROUND(O66*基本公式!$B$103,0)</f>
        <v>9981702144</v>
      </c>
      <c r="R66" s="42">
        <f>ROUND(O66*基本公式!$B$104,0)</f>
        <v>499085107</v>
      </c>
      <c r="S66" s="42">
        <f>ROUND(O66*基本公式!$B$105+其他表格!U21,0)</f>
        <v>1497278322</v>
      </c>
      <c r="U66" s="40">
        <f>ROUND(O66*基本公式!$B$106,0)</f>
        <v>9981702144</v>
      </c>
    </row>
    <row r="68" spans="1:25" s="7" customFormat="1">
      <c r="A68" s="28" t="s">
        <v>198</v>
      </c>
      <c r="B68" s="33" t="s">
        <v>199</v>
      </c>
      <c r="D68" s="24"/>
      <c r="E68" s="24"/>
      <c r="F68" s="24"/>
      <c r="G68" s="24"/>
      <c r="H68" s="24"/>
      <c r="I68" s="37"/>
      <c r="J68" s="24" t="s">
        <v>200</v>
      </c>
      <c r="N68" s="7" t="s">
        <v>201</v>
      </c>
      <c r="P68" s="38"/>
      <c r="Q68" s="36"/>
      <c r="R68" s="36"/>
      <c r="S68" s="36"/>
      <c r="T68" s="36"/>
      <c r="U68" s="24"/>
    </row>
    <row r="69" spans="1:25">
      <c r="C69" s="12">
        <v>0.03</v>
      </c>
      <c r="D69" s="26">
        <f>ROUND(建筑!G23*J69*(1+I69)*C69,0)</f>
        <v>45</v>
      </c>
      <c r="E69" s="40">
        <f>24*D69</f>
        <v>1080</v>
      </c>
      <c r="F69" s="40">
        <f t="shared" ref="F69" si="54">E69*G69</f>
        <v>1080</v>
      </c>
      <c r="G69" s="40">
        <v>1</v>
      </c>
      <c r="I69" s="41">
        <v>0.05</v>
      </c>
      <c r="J69" s="41">
        <v>0.3</v>
      </c>
      <c r="L69" s="12">
        <f t="shared" ref="L69" si="55">M69-M68</f>
        <v>0.01</v>
      </c>
      <c r="M69" s="12">
        <v>0.01</v>
      </c>
      <c r="N69" s="40">
        <f t="shared" ref="N69:N88" si="56">M69*F69</f>
        <v>10.8</v>
      </c>
      <c r="O69" s="40">
        <f>N69*(1+其他表格!X28)</f>
        <v>10.8</v>
      </c>
      <c r="P69" s="40">
        <f>N69*基本公式!$B$115</f>
        <v>7.0200000000000005</v>
      </c>
      <c r="U69" s="40">
        <f>ROUND(O69*基本公式!$B$109,0)</f>
        <v>4</v>
      </c>
      <c r="V69" s="40">
        <f>ROUND(O69*基本公式!$B$110,0)</f>
        <v>2</v>
      </c>
      <c r="W69" s="40">
        <f>ROUND(O69*基本公式!$B$111,0)</f>
        <v>1</v>
      </c>
      <c r="X69" s="40">
        <f>MAX(ROUND(O69*基本公式!$B$112,0),1)</f>
        <v>1</v>
      </c>
      <c r="Y69" s="40">
        <f>ROUND(O69*基本公式!$B$113,0)</f>
        <v>4</v>
      </c>
    </row>
    <row r="70" spans="1:25">
      <c r="C70" s="12">
        <v>0.03</v>
      </c>
      <c r="D70" s="26">
        <f>ROUND(建筑!G24*J70*(1+I70)*C70,0)</f>
        <v>92</v>
      </c>
      <c r="E70" s="40">
        <f t="shared" ref="E70" si="57">24*D70</f>
        <v>2208</v>
      </c>
      <c r="F70" s="40">
        <f t="shared" ref="F70:F88" si="58">E70*G70</f>
        <v>2208</v>
      </c>
      <c r="G70" s="40">
        <v>1</v>
      </c>
      <c r="I70" s="41">
        <f>I69+0.05</f>
        <v>0.1</v>
      </c>
      <c r="J70" s="41">
        <v>0.3</v>
      </c>
      <c r="L70" s="12">
        <f t="shared" ref="L70:L88" si="59">M70-M69</f>
        <v>0.04</v>
      </c>
      <c r="M70" s="12">
        <v>0.05</v>
      </c>
      <c r="N70" s="40">
        <f t="shared" si="56"/>
        <v>110.4</v>
      </c>
      <c r="O70" s="40">
        <f>N70*(1+其他表格!X29)</f>
        <v>110.4</v>
      </c>
      <c r="P70" s="40">
        <f>N70*基本公式!$B$115</f>
        <v>71.760000000000005</v>
      </c>
      <c r="U70" s="40">
        <f>ROUND(O70*基本公式!$B$109,0)</f>
        <v>39</v>
      </c>
      <c r="V70" s="40">
        <f>ROUND(O70*基本公式!$B$110,0)</f>
        <v>17</v>
      </c>
      <c r="W70" s="40">
        <f>ROUND(O70*基本公式!$B$111,0)</f>
        <v>11</v>
      </c>
      <c r="X70" s="40">
        <f>MAX(ROUND(O70*基本公式!$B$112,0),1)</f>
        <v>6</v>
      </c>
      <c r="Y70" s="40">
        <f>ROUND(O70*基本公式!$B$113,0)</f>
        <v>39</v>
      </c>
    </row>
    <row r="71" spans="1:25">
      <c r="C71" s="12">
        <v>0.03</v>
      </c>
      <c r="D71" s="26">
        <f>ROUND(建筑!G25*J71*(1+I71)*C71,0)</f>
        <v>143</v>
      </c>
      <c r="E71" s="40">
        <f t="shared" ref="E71:E88" si="60">24*D71</f>
        <v>3432</v>
      </c>
      <c r="F71" s="40">
        <f t="shared" si="58"/>
        <v>3432</v>
      </c>
      <c r="G71" s="40">
        <v>1</v>
      </c>
      <c r="I71" s="41">
        <f t="shared" ref="I71" si="61">I70+0.05</f>
        <v>0.15000000000000002</v>
      </c>
      <c r="J71" s="41">
        <v>0.3</v>
      </c>
      <c r="L71" s="12">
        <f t="shared" si="59"/>
        <v>0.15000000000000002</v>
      </c>
      <c r="M71" s="12">
        <v>0.2</v>
      </c>
      <c r="N71" s="40">
        <f t="shared" si="56"/>
        <v>686.40000000000009</v>
      </c>
      <c r="O71" s="40">
        <f>N71*(1+其他表格!X30)</f>
        <v>686.40000000000009</v>
      </c>
      <c r="P71" s="40">
        <f>N71*基本公式!$B$115</f>
        <v>446.16000000000008</v>
      </c>
      <c r="U71" s="40">
        <f>ROUND(O71*基本公式!$B$109,0)</f>
        <v>240</v>
      </c>
      <c r="V71" s="40">
        <f>ROUND(O71*基本公式!$B$110,0)</f>
        <v>103</v>
      </c>
      <c r="W71" s="40">
        <f>ROUND(O71*基本公式!$B$111,0)</f>
        <v>69</v>
      </c>
      <c r="X71" s="40">
        <f>MAX(ROUND(O71*基本公式!$B$112,0),1)</f>
        <v>34</v>
      </c>
      <c r="Y71" s="40">
        <f>ROUND(O71*基本公式!$B$113,0)</f>
        <v>240</v>
      </c>
    </row>
    <row r="72" spans="1:25">
      <c r="C72" s="12">
        <v>0.03</v>
      </c>
      <c r="D72" s="26">
        <f>ROUND(建筑!G26*J72*(1+I72)*C72,0)</f>
        <v>246</v>
      </c>
      <c r="E72" s="40">
        <f t="shared" si="60"/>
        <v>5904</v>
      </c>
      <c r="F72" s="40">
        <f t="shared" si="58"/>
        <v>5904</v>
      </c>
      <c r="G72" s="40">
        <v>1</v>
      </c>
      <c r="I72" s="41">
        <f t="shared" ref="I72:I88" si="62">I71+0.05</f>
        <v>0.2</v>
      </c>
      <c r="J72" s="41">
        <v>0.3</v>
      </c>
      <c r="L72" s="12">
        <f t="shared" si="59"/>
        <v>0.25</v>
      </c>
      <c r="M72" s="12">
        <v>0.45</v>
      </c>
      <c r="N72" s="40">
        <f t="shared" si="56"/>
        <v>2656.8</v>
      </c>
      <c r="O72" s="40">
        <f>N72*(1+其他表格!X31)</f>
        <v>2656.8</v>
      </c>
      <c r="P72" s="40">
        <f>N72*基本公式!$B$115</f>
        <v>1726.92</v>
      </c>
      <c r="U72" s="40">
        <f>ROUND(O72*基本公式!$B$109,0)</f>
        <v>930</v>
      </c>
      <c r="V72" s="40">
        <f>ROUND(O72*基本公式!$B$110,0)</f>
        <v>399</v>
      </c>
      <c r="W72" s="40">
        <f>ROUND(O72*基本公式!$B$111,0)</f>
        <v>266</v>
      </c>
      <c r="X72" s="40">
        <f>MAX(ROUND(O72*基本公式!$B$112,0),1)</f>
        <v>133</v>
      </c>
      <c r="Y72" s="40">
        <f>ROUND(O72*基本公式!$B$113,0)</f>
        <v>930</v>
      </c>
    </row>
    <row r="73" spans="1:25">
      <c r="C73" s="12">
        <v>0.03</v>
      </c>
      <c r="D73" s="26">
        <f>ROUND(建筑!G27*J73*(1+I73)*C73,0)</f>
        <v>426</v>
      </c>
      <c r="E73" s="40">
        <f t="shared" si="60"/>
        <v>10224</v>
      </c>
      <c r="F73" s="40">
        <f t="shared" si="58"/>
        <v>10224</v>
      </c>
      <c r="G73" s="40">
        <v>1</v>
      </c>
      <c r="I73" s="41">
        <f t="shared" si="62"/>
        <v>0.25</v>
      </c>
      <c r="J73" s="41">
        <v>0.3</v>
      </c>
      <c r="L73" s="12">
        <f t="shared" si="59"/>
        <v>0.39999999999999997</v>
      </c>
      <c r="M73" s="12">
        <v>0.85</v>
      </c>
      <c r="N73" s="40">
        <f t="shared" si="56"/>
        <v>8690.4</v>
      </c>
      <c r="O73" s="40">
        <f>N73*(1+其他表格!X32)</f>
        <v>8690.4</v>
      </c>
      <c r="P73" s="40">
        <f>N73*基本公式!$B$115</f>
        <v>5648.76</v>
      </c>
      <c r="U73" s="40">
        <f>ROUND(O73*基本公式!$B$109,0)</f>
        <v>3042</v>
      </c>
      <c r="V73" s="40">
        <f>ROUND(O73*基本公式!$B$110,0)</f>
        <v>1304</v>
      </c>
      <c r="W73" s="40">
        <f>ROUND(O73*基本公式!$B$111,0)</f>
        <v>869</v>
      </c>
      <c r="X73" s="40">
        <f>MAX(ROUND(O73*基本公式!$B$112,0),1)</f>
        <v>435</v>
      </c>
      <c r="Y73" s="40">
        <f>ROUND(O73*基本公式!$B$113,0)</f>
        <v>3042</v>
      </c>
    </row>
    <row r="74" spans="1:25">
      <c r="C74" s="12">
        <v>0.03</v>
      </c>
      <c r="D74" s="26">
        <f>ROUND(建筑!G28*J74*(1+I74)*C74,0)</f>
        <v>1129</v>
      </c>
      <c r="E74" s="40">
        <f t="shared" si="60"/>
        <v>27096</v>
      </c>
      <c r="F74" s="40">
        <f t="shared" si="58"/>
        <v>27096</v>
      </c>
      <c r="G74" s="40">
        <v>1</v>
      </c>
      <c r="I74" s="41">
        <f t="shared" si="62"/>
        <v>0.3</v>
      </c>
      <c r="J74" s="41">
        <v>0.3</v>
      </c>
      <c r="L74" s="12">
        <f t="shared" si="59"/>
        <v>0.54999999999999993</v>
      </c>
      <c r="M74" s="12">
        <v>1.4</v>
      </c>
      <c r="N74" s="40">
        <f t="shared" si="56"/>
        <v>37934.399999999994</v>
      </c>
      <c r="O74" s="40">
        <f>N74*(1+其他表格!X33)</f>
        <v>37934.399999999994</v>
      </c>
      <c r="P74" s="40">
        <f>N74*基本公式!$B$115</f>
        <v>24657.359999999997</v>
      </c>
      <c r="U74" s="40">
        <f>ROUND(O74*基本公式!$B$109,0)</f>
        <v>13277</v>
      </c>
      <c r="V74" s="40">
        <f>ROUND(O74*基本公式!$B$110,0)</f>
        <v>5690</v>
      </c>
      <c r="W74" s="40">
        <f>ROUND(O74*基本公式!$B$111,0)</f>
        <v>3793</v>
      </c>
      <c r="X74" s="40">
        <f>MAX(ROUND(O74*基本公式!$B$112,0),1)</f>
        <v>1897</v>
      </c>
      <c r="Y74" s="40">
        <f>ROUND(O74*基本公式!$B$113,0)</f>
        <v>13277</v>
      </c>
    </row>
    <row r="75" spans="1:25">
      <c r="C75" s="12">
        <v>0.03</v>
      </c>
      <c r="D75" s="26">
        <f>ROUND(建筑!G29*J75*(1+I75)*C75,0)</f>
        <v>2310</v>
      </c>
      <c r="E75" s="40">
        <f t="shared" si="60"/>
        <v>55440</v>
      </c>
      <c r="F75" s="40">
        <f t="shared" si="58"/>
        <v>55440</v>
      </c>
      <c r="G75" s="40">
        <v>1</v>
      </c>
      <c r="I75" s="41">
        <f t="shared" si="62"/>
        <v>0.35</v>
      </c>
      <c r="J75" s="41">
        <v>0.3</v>
      </c>
      <c r="L75" s="12">
        <f t="shared" si="59"/>
        <v>0.89999999999999991</v>
      </c>
      <c r="M75" s="12">
        <v>2.2999999999999998</v>
      </c>
      <c r="N75" s="40">
        <f t="shared" si="56"/>
        <v>127511.99999999999</v>
      </c>
      <c r="O75" s="40">
        <f>N75*(1+其他表格!X34)</f>
        <v>127511.99999999999</v>
      </c>
      <c r="P75" s="40">
        <f>N75*基本公式!$B$115</f>
        <v>82882.799999999988</v>
      </c>
      <c r="U75" s="40">
        <f>ROUND(O75*基本公式!$B$109,0)</f>
        <v>44629</v>
      </c>
      <c r="V75" s="40">
        <f>ROUND(O75*基本公式!$B$110,0)</f>
        <v>19127</v>
      </c>
      <c r="W75" s="40">
        <f>ROUND(O75*基本公式!$B$111,0)</f>
        <v>12751</v>
      </c>
      <c r="X75" s="40">
        <f>MAX(ROUND(O75*基本公式!$B$112,0),1)</f>
        <v>6376</v>
      </c>
      <c r="Y75" s="40">
        <f>ROUND(O75*基本公式!$B$113,0)</f>
        <v>44629</v>
      </c>
    </row>
    <row r="76" spans="1:25">
      <c r="A76" s="12"/>
      <c r="C76" s="12">
        <v>0.03</v>
      </c>
      <c r="D76" s="26">
        <f>ROUND(建筑!G30*J76*(1+I76)*C76,0)</f>
        <v>4307</v>
      </c>
      <c r="E76" s="40">
        <f t="shared" si="60"/>
        <v>103368</v>
      </c>
      <c r="F76" s="40">
        <f t="shared" si="58"/>
        <v>103368</v>
      </c>
      <c r="G76" s="40">
        <v>1</v>
      </c>
      <c r="I76" s="41">
        <f t="shared" si="62"/>
        <v>0.39999999999999997</v>
      </c>
      <c r="J76" s="41">
        <v>0.3</v>
      </c>
      <c r="L76" s="12">
        <f t="shared" si="59"/>
        <v>2</v>
      </c>
      <c r="M76" s="12">
        <v>4.3</v>
      </c>
      <c r="N76" s="40">
        <f t="shared" si="56"/>
        <v>444482.39999999997</v>
      </c>
      <c r="O76" s="40">
        <f>N76*(1+其他表格!X35)</f>
        <v>699911.61919999996</v>
      </c>
      <c r="P76" s="40">
        <f>N76*基本公式!$B$115</f>
        <v>288913.56</v>
      </c>
      <c r="U76" s="40">
        <f>ROUND(O76*基本公式!$B$109,0)</f>
        <v>244969</v>
      </c>
      <c r="V76" s="40">
        <f>ROUND(O76*基本公式!$B$110,0)</f>
        <v>104987</v>
      </c>
      <c r="W76" s="40">
        <f>ROUND(O76*基本公式!$B$111,0)</f>
        <v>69991</v>
      </c>
      <c r="X76" s="40">
        <f>MAX(ROUND(O76*基本公式!$B$112,0),1)</f>
        <v>34996</v>
      </c>
      <c r="Y76" s="40">
        <f>ROUND(O76*基本公式!$B$113,0)</f>
        <v>244969</v>
      </c>
    </row>
    <row r="77" spans="1:25">
      <c r="C77" s="12">
        <v>0.03</v>
      </c>
      <c r="D77" s="26">
        <f>ROUND(建筑!G31*J77*(1+I77)*C77,0)</f>
        <v>6435</v>
      </c>
      <c r="E77" s="40">
        <f t="shared" si="60"/>
        <v>154440</v>
      </c>
      <c r="F77" s="40">
        <f t="shared" si="58"/>
        <v>154440</v>
      </c>
      <c r="G77" s="40">
        <v>1</v>
      </c>
      <c r="I77" s="41">
        <f t="shared" si="62"/>
        <v>0.44999999999999996</v>
      </c>
      <c r="J77" s="41">
        <v>0.3</v>
      </c>
      <c r="L77" s="12">
        <f t="shared" si="59"/>
        <v>2.7</v>
      </c>
      <c r="M77" s="12">
        <v>7</v>
      </c>
      <c r="N77" s="40">
        <f t="shared" si="56"/>
        <v>1081080</v>
      </c>
      <c r="O77" s="40">
        <f>N77*(1+其他表格!X36)</f>
        <v>1702340.64</v>
      </c>
      <c r="P77" s="40">
        <f>N77*基本公式!$B$115</f>
        <v>702702</v>
      </c>
      <c r="U77" s="40">
        <f>ROUND(O77*基本公式!$B$109,0)</f>
        <v>595819</v>
      </c>
      <c r="V77" s="40">
        <f>ROUND(O77*基本公式!$B$110,0)</f>
        <v>255351</v>
      </c>
      <c r="W77" s="40">
        <f>ROUND(O77*基本公式!$B$111,0)</f>
        <v>170234</v>
      </c>
      <c r="X77" s="40">
        <f>MAX(ROUND(O77*基本公式!$B$112,0),1)</f>
        <v>85117</v>
      </c>
      <c r="Y77" s="40">
        <f>ROUND(O77*基本公式!$B$113,0)</f>
        <v>595819</v>
      </c>
    </row>
    <row r="78" spans="1:25">
      <c r="A78" s="17" t="s">
        <v>195</v>
      </c>
      <c r="C78" s="12">
        <v>0.03</v>
      </c>
      <c r="D78" s="26">
        <f>ROUND(建筑!G32*J78*(1+I78)*C78,0)</f>
        <v>10124</v>
      </c>
      <c r="E78" s="40">
        <f t="shared" si="60"/>
        <v>242976</v>
      </c>
      <c r="F78" s="40">
        <f t="shared" si="58"/>
        <v>242976</v>
      </c>
      <c r="G78" s="40">
        <v>1</v>
      </c>
      <c r="I78" s="41">
        <f t="shared" si="62"/>
        <v>0.49999999999999994</v>
      </c>
      <c r="J78" s="41">
        <v>0.3</v>
      </c>
      <c r="L78" s="12">
        <f t="shared" si="59"/>
        <v>4</v>
      </c>
      <c r="M78" s="12">
        <v>11</v>
      </c>
      <c r="N78" s="40">
        <f t="shared" si="56"/>
        <v>2672736</v>
      </c>
      <c r="O78" s="40">
        <f>N78*(1+其他表格!X37)</f>
        <v>5744600.5760000004</v>
      </c>
      <c r="P78" s="40">
        <f>N78*基本公式!$B$115</f>
        <v>1737278.4000000001</v>
      </c>
      <c r="U78" s="40">
        <f>ROUND(O78*基本公式!$B$109,0)</f>
        <v>2010610</v>
      </c>
      <c r="V78" s="40">
        <f>ROUND(O78*基本公式!$B$110,0)</f>
        <v>861690</v>
      </c>
      <c r="W78" s="40">
        <f>ROUND(O78*基本公式!$B$111,0)</f>
        <v>574460</v>
      </c>
      <c r="X78" s="40">
        <f>MAX(ROUND(O78*基本公式!$B$112,0),1)</f>
        <v>287230</v>
      </c>
      <c r="Y78" s="40">
        <f>ROUND(O78*基本公式!$B$113,0)</f>
        <v>2010610</v>
      </c>
    </row>
    <row r="79" spans="1:25">
      <c r="C79" s="12">
        <v>0.03</v>
      </c>
      <c r="D79" s="26">
        <f>ROUND(建筑!G33*J79*(1+I79)*C79,0)</f>
        <v>15224</v>
      </c>
      <c r="E79" s="40">
        <f t="shared" si="60"/>
        <v>365376</v>
      </c>
      <c r="F79" s="40">
        <f t="shared" si="58"/>
        <v>365376</v>
      </c>
      <c r="G79" s="40">
        <v>1</v>
      </c>
      <c r="I79" s="41">
        <f t="shared" si="62"/>
        <v>0.54999999999999993</v>
      </c>
      <c r="J79" s="41">
        <v>0.3</v>
      </c>
      <c r="L79" s="12">
        <f t="shared" si="59"/>
        <v>7</v>
      </c>
      <c r="M79" s="12">
        <v>18</v>
      </c>
      <c r="N79" s="40">
        <f t="shared" si="56"/>
        <v>6576768</v>
      </c>
      <c r="O79" s="40">
        <f>N79*(1+其他表格!X38)</f>
        <v>14135666.687999999</v>
      </c>
      <c r="P79" s="40">
        <f>N79*基本公式!$B$115</f>
        <v>4274899.2</v>
      </c>
      <c r="U79" s="40">
        <f>ROUND(O79*基本公式!$B$109,0)</f>
        <v>4947483</v>
      </c>
      <c r="V79" s="40">
        <f>ROUND(O79*基本公式!$B$110,0)</f>
        <v>2120350</v>
      </c>
      <c r="W79" s="40">
        <f>ROUND(O79*基本公式!$B$111,0)</f>
        <v>1413567</v>
      </c>
      <c r="X79" s="40">
        <f>MAX(ROUND(O79*基本公式!$B$112,0),1)</f>
        <v>706783</v>
      </c>
      <c r="Y79" s="40">
        <f>ROUND(O79*基本公式!$B$113,0)</f>
        <v>4947483</v>
      </c>
    </row>
    <row r="80" spans="1:25">
      <c r="C80" s="12">
        <v>0.03</v>
      </c>
      <c r="D80" s="26">
        <f>ROUND(建筑!G34*J80*(1+I80)*C80,0)</f>
        <v>28231</v>
      </c>
      <c r="E80" s="40">
        <f t="shared" si="60"/>
        <v>677544</v>
      </c>
      <c r="F80" s="40">
        <f t="shared" si="58"/>
        <v>677544</v>
      </c>
      <c r="G80" s="40">
        <v>1</v>
      </c>
      <c r="I80" s="41">
        <f t="shared" si="62"/>
        <v>0.6</v>
      </c>
      <c r="J80" s="41">
        <v>0.3</v>
      </c>
      <c r="L80" s="12">
        <f t="shared" si="59"/>
        <v>9</v>
      </c>
      <c r="M80" s="12">
        <v>27</v>
      </c>
      <c r="N80" s="40">
        <f t="shared" si="56"/>
        <v>18293688</v>
      </c>
      <c r="O80" s="40">
        <f>N80*(1+其他表格!X39)</f>
        <v>49832006.112000003</v>
      </c>
      <c r="P80" s="40">
        <f>N80*基本公式!$B$115</f>
        <v>11890897.200000001</v>
      </c>
      <c r="U80" s="40">
        <f>ROUND(O80*基本公式!$B$109,0)</f>
        <v>17441202</v>
      </c>
      <c r="V80" s="40">
        <f>ROUND(O80*基本公式!$B$110,0)</f>
        <v>7474801</v>
      </c>
      <c r="W80" s="40">
        <f>ROUND(O80*基本公式!$B$111,0)</f>
        <v>4983201</v>
      </c>
      <c r="X80" s="40">
        <f>MAX(ROUND(O80*基本公式!$B$112,0),1)</f>
        <v>2491600</v>
      </c>
      <c r="Y80" s="40">
        <f>ROUND(O80*基本公式!$B$113,0)</f>
        <v>17441202</v>
      </c>
    </row>
    <row r="81" spans="1:25">
      <c r="A81" s="12"/>
      <c r="C81" s="12">
        <v>0.03</v>
      </c>
      <c r="D81" s="26">
        <f>ROUND(建筑!G35*J81*(1+I81)*C81,0)</f>
        <v>39835</v>
      </c>
      <c r="E81" s="40">
        <f t="shared" si="60"/>
        <v>956040</v>
      </c>
      <c r="F81" s="40">
        <f t="shared" si="58"/>
        <v>956040</v>
      </c>
      <c r="G81" s="40">
        <v>1</v>
      </c>
      <c r="I81" s="41">
        <f t="shared" si="62"/>
        <v>0.65</v>
      </c>
      <c r="J81" s="41">
        <v>0.3</v>
      </c>
      <c r="L81" s="12">
        <f t="shared" si="59"/>
        <v>13</v>
      </c>
      <c r="M81" s="12">
        <v>40</v>
      </c>
      <c r="N81" s="40">
        <f t="shared" si="56"/>
        <v>38241600</v>
      </c>
      <c r="O81" s="40">
        <f>N81*(1+其他表格!X40)</f>
        <v>104170118.40000001</v>
      </c>
      <c r="P81" s="40">
        <f>N81*基本公式!$B$115</f>
        <v>24857040</v>
      </c>
      <c r="U81" s="40">
        <f>ROUND(O81*基本公式!$B$109,0)</f>
        <v>36459541</v>
      </c>
      <c r="V81" s="40">
        <f>ROUND(O81*基本公式!$B$110,0)</f>
        <v>15625518</v>
      </c>
      <c r="W81" s="40">
        <f>ROUND(O81*基本公式!$B$111,0)</f>
        <v>10417012</v>
      </c>
      <c r="X81" s="40">
        <f>MAX(ROUND(O81*基本公式!$B$112,0),1)</f>
        <v>5208506</v>
      </c>
      <c r="Y81" s="40">
        <f>ROUND(O81*基本公式!$B$113,0)</f>
        <v>36459541</v>
      </c>
    </row>
    <row r="82" spans="1:25">
      <c r="A82" s="17" t="s">
        <v>196</v>
      </c>
      <c r="C82" s="12">
        <v>0.03</v>
      </c>
      <c r="D82" s="26">
        <f>ROUND(建筑!G36*J82*(1+I82)*C82,0)</f>
        <v>50690</v>
      </c>
      <c r="E82" s="40">
        <f t="shared" si="60"/>
        <v>1216560</v>
      </c>
      <c r="F82" s="40">
        <f t="shared" si="58"/>
        <v>1216560</v>
      </c>
      <c r="G82" s="40">
        <v>1</v>
      </c>
      <c r="I82" s="41">
        <f t="shared" si="62"/>
        <v>0.70000000000000007</v>
      </c>
      <c r="J82" s="41">
        <v>0.3</v>
      </c>
      <c r="L82" s="12">
        <f t="shared" si="59"/>
        <v>16</v>
      </c>
      <c r="M82" s="12">
        <f>L81+M81+3</f>
        <v>56</v>
      </c>
      <c r="N82" s="40">
        <f t="shared" si="56"/>
        <v>68127360</v>
      </c>
      <c r="O82" s="40">
        <f>N82*(1+其他表格!X41)</f>
        <v>224729451.52000001</v>
      </c>
      <c r="P82" s="40">
        <f>N82*基本公式!$B$115</f>
        <v>44282784</v>
      </c>
      <c r="U82" s="40">
        <f>ROUND(O82*基本公式!$B$109,0)</f>
        <v>78655308</v>
      </c>
      <c r="V82" s="40">
        <f>ROUND(O82*基本公式!$B$110,0)</f>
        <v>33709418</v>
      </c>
      <c r="W82" s="40">
        <f>ROUND(O82*基本公式!$B$111,0)</f>
        <v>22472945</v>
      </c>
      <c r="X82" s="40">
        <f>MAX(ROUND(O82*基本公式!$B$112,0),1)</f>
        <v>11236473</v>
      </c>
      <c r="Y82" s="40">
        <f>ROUND(O82*基本公式!$B$113,0)</f>
        <v>78655308</v>
      </c>
    </row>
    <row r="83" spans="1:25">
      <c r="C83" s="12">
        <v>0.03</v>
      </c>
      <c r="D83" s="26">
        <f>ROUND(建筑!G37*J83*(1+I83)*C83,0)</f>
        <v>63353</v>
      </c>
      <c r="E83" s="40">
        <f t="shared" si="60"/>
        <v>1520472</v>
      </c>
      <c r="F83" s="40">
        <f t="shared" si="58"/>
        <v>1520472</v>
      </c>
      <c r="G83" s="40">
        <v>1</v>
      </c>
      <c r="I83" s="41">
        <f t="shared" si="62"/>
        <v>0.75000000000000011</v>
      </c>
      <c r="J83" s="41">
        <v>0.3</v>
      </c>
      <c r="L83" s="12">
        <f t="shared" si="59"/>
        <v>19</v>
      </c>
      <c r="M83" s="12">
        <f t="shared" ref="M83" si="63">M82+L82+3</f>
        <v>75</v>
      </c>
      <c r="N83" s="40">
        <f t="shared" si="56"/>
        <v>114035400</v>
      </c>
      <c r="O83" s="40">
        <f>N83*(1+其他表格!X42)</f>
        <v>376164772.80000001</v>
      </c>
      <c r="P83" s="40">
        <f>N83*基本公式!$B$115</f>
        <v>74123010</v>
      </c>
      <c r="U83" s="40">
        <f>ROUND(O83*基本公式!$B$109,0)</f>
        <v>131657670</v>
      </c>
      <c r="V83" s="40">
        <f>ROUND(O83*基本公式!$B$110,0)</f>
        <v>56424716</v>
      </c>
      <c r="W83" s="40">
        <f>ROUND(O83*基本公式!$B$111,0)</f>
        <v>37616477</v>
      </c>
      <c r="X83" s="40">
        <f>MAX(ROUND(O83*基本公式!$B$112,0),1)</f>
        <v>18808239</v>
      </c>
      <c r="Y83" s="40">
        <f>ROUND(O83*基本公式!$B$113,0)</f>
        <v>131657670</v>
      </c>
    </row>
    <row r="84" spans="1:25">
      <c r="C84" s="12">
        <v>0.03</v>
      </c>
      <c r="D84" s="26">
        <f>ROUND(建筑!G38*J84*(1+I84)*C84,0)</f>
        <v>76368</v>
      </c>
      <c r="E84" s="40">
        <f t="shared" si="60"/>
        <v>1832832</v>
      </c>
      <c r="F84" s="40">
        <f t="shared" si="58"/>
        <v>1832832</v>
      </c>
      <c r="G84" s="40">
        <v>1</v>
      </c>
      <c r="I84" s="41">
        <f t="shared" si="62"/>
        <v>0.80000000000000016</v>
      </c>
      <c r="J84" s="41">
        <v>0.3</v>
      </c>
      <c r="L84" s="12">
        <f t="shared" si="59"/>
        <v>22</v>
      </c>
      <c r="M84" s="12">
        <f>M83+L83+3</f>
        <v>97</v>
      </c>
      <c r="N84" s="40">
        <f t="shared" si="56"/>
        <v>177784704</v>
      </c>
      <c r="O84" s="40">
        <f>N84*(1+其他表格!X43)</f>
        <v>688619420.15999997</v>
      </c>
      <c r="P84" s="40">
        <f>N84*基本公式!$B$115</f>
        <v>115560057.60000001</v>
      </c>
      <c r="U84" s="40">
        <f>ROUND(O84*基本公式!$B$109,0)</f>
        <v>241016797</v>
      </c>
      <c r="V84" s="40">
        <f>ROUND(O84*基本公式!$B$110,0)</f>
        <v>103292913</v>
      </c>
      <c r="W84" s="40">
        <f>ROUND(O84*基本公式!$B$111,0)</f>
        <v>68861942</v>
      </c>
      <c r="X84" s="40">
        <f>MAX(ROUND(O84*基本公式!$B$112,0),1)</f>
        <v>34430971</v>
      </c>
      <c r="Y84" s="40">
        <f>ROUND(O84*基本公式!$B$113,0)</f>
        <v>241016797</v>
      </c>
    </row>
    <row r="85" spans="1:25">
      <c r="C85" s="12">
        <v>0.03</v>
      </c>
      <c r="D85" s="26">
        <f>ROUND(建筑!G39*J85*(1+I85)*C85,0)</f>
        <v>90851</v>
      </c>
      <c r="E85" s="40">
        <f t="shared" si="60"/>
        <v>2180424</v>
      </c>
      <c r="F85" s="40">
        <f t="shared" si="58"/>
        <v>2180424</v>
      </c>
      <c r="G85" s="40">
        <v>1</v>
      </c>
      <c r="I85" s="41">
        <f t="shared" si="62"/>
        <v>0.8500000000000002</v>
      </c>
      <c r="J85" s="41">
        <v>0.3</v>
      </c>
      <c r="L85" s="12">
        <f t="shared" si="59"/>
        <v>25</v>
      </c>
      <c r="M85" s="12">
        <f>M84+L84+3</f>
        <v>122</v>
      </c>
      <c r="N85" s="40">
        <f t="shared" si="56"/>
        <v>266011728</v>
      </c>
      <c r="O85" s="40">
        <f>N85*(1+其他表格!X44)</f>
        <v>1030352093.1199999</v>
      </c>
      <c r="P85" s="40">
        <f>N85*基本公式!$B$115</f>
        <v>172907623.20000002</v>
      </c>
      <c r="U85" s="40">
        <f>ROUND(O85*基本公式!$B$109,0)</f>
        <v>360623233</v>
      </c>
      <c r="V85" s="40">
        <f>ROUND(O85*基本公式!$B$110,0)</f>
        <v>154552814</v>
      </c>
      <c r="W85" s="40">
        <f>ROUND(O85*基本公式!$B$111,0)</f>
        <v>103035209</v>
      </c>
      <c r="X85" s="40">
        <f>MAX(ROUND(O85*基本公式!$B$112,0),1)</f>
        <v>51517605</v>
      </c>
      <c r="Y85" s="40">
        <f>ROUND(O85*基本公式!$B$113,0)</f>
        <v>360623233</v>
      </c>
    </row>
    <row r="86" spans="1:25">
      <c r="C86" s="12">
        <v>0.03</v>
      </c>
      <c r="D86" s="26">
        <f>ROUND(建筑!G40*J86*(1+I86)*C86,0)</f>
        <v>107203</v>
      </c>
      <c r="E86" s="40">
        <f t="shared" si="60"/>
        <v>2572872</v>
      </c>
      <c r="F86" s="40">
        <f t="shared" si="58"/>
        <v>2572872</v>
      </c>
      <c r="G86" s="40">
        <v>1</v>
      </c>
      <c r="I86" s="41">
        <f t="shared" si="62"/>
        <v>0.90000000000000024</v>
      </c>
      <c r="J86" s="41">
        <v>0.3</v>
      </c>
      <c r="L86" s="12">
        <f t="shared" si="59"/>
        <v>28</v>
      </c>
      <c r="M86" s="12">
        <f>M85+L85+3</f>
        <v>150</v>
      </c>
      <c r="N86" s="40">
        <f t="shared" si="56"/>
        <v>385930800</v>
      </c>
      <c r="O86" s="40">
        <f>N86*(1+其他表格!X45)</f>
        <v>1716620198.4000001</v>
      </c>
      <c r="P86" s="40">
        <f>N86*基本公式!$B$115</f>
        <v>250855020</v>
      </c>
      <c r="U86" s="40">
        <f>ROUND(O86*基本公式!$B$109,0)</f>
        <v>600817069</v>
      </c>
      <c r="V86" s="40">
        <f>ROUND(O86*基本公式!$B$110,0)</f>
        <v>257493030</v>
      </c>
      <c r="W86" s="40">
        <f>ROUND(O86*基本公式!$B$111,0)</f>
        <v>171662020</v>
      </c>
      <c r="X86" s="40">
        <f>MAX(ROUND(O86*基本公式!$B$112,0),1)</f>
        <v>85831010</v>
      </c>
      <c r="Y86" s="40">
        <f>ROUND(O86*基本公式!$B$113,0)</f>
        <v>600817069</v>
      </c>
    </row>
    <row r="87" spans="1:25">
      <c r="A87" s="18" t="s">
        <v>197</v>
      </c>
      <c r="C87" s="12">
        <v>0.03</v>
      </c>
      <c r="D87" s="26">
        <f>ROUND(建筑!G41*J87*(1+I87)*C87,0)</f>
        <v>125084</v>
      </c>
      <c r="E87" s="40">
        <f t="shared" si="60"/>
        <v>3002016</v>
      </c>
      <c r="F87" s="40">
        <f t="shared" si="58"/>
        <v>3002016</v>
      </c>
      <c r="G87" s="40">
        <v>1</v>
      </c>
      <c r="I87" s="41">
        <f t="shared" si="62"/>
        <v>0.95000000000000029</v>
      </c>
      <c r="J87" s="41">
        <v>0.3</v>
      </c>
      <c r="L87" s="12">
        <f t="shared" si="59"/>
        <v>31</v>
      </c>
      <c r="M87" s="12">
        <f>M86+L86+3</f>
        <v>181</v>
      </c>
      <c r="N87" s="40">
        <f t="shared" si="56"/>
        <v>543364896</v>
      </c>
      <c r="O87" s="40">
        <f>N87*(1+其他表格!X46)</f>
        <v>2729140750.9760003</v>
      </c>
      <c r="P87" s="40">
        <f>N87*基本公式!$B$115</f>
        <v>353187182.40000004</v>
      </c>
      <c r="U87" s="40">
        <f>ROUND(O87*基本公式!$B$109,0)</f>
        <v>955199263</v>
      </c>
      <c r="V87" s="40">
        <f>ROUND(O87*基本公式!$B$110,0)</f>
        <v>409371113</v>
      </c>
      <c r="W87" s="40">
        <f>ROUND(O87*基本公式!$B$111,0)</f>
        <v>272914075</v>
      </c>
      <c r="X87" s="40">
        <f>MAX(ROUND(O87*基本公式!$B$112,0),1)</f>
        <v>136457038</v>
      </c>
      <c r="Y87" s="40">
        <f>ROUND(O87*基本公式!$B$113,0)</f>
        <v>955199263</v>
      </c>
    </row>
    <row r="88" spans="1:25">
      <c r="C88" s="12">
        <v>0.03</v>
      </c>
      <c r="D88" s="26">
        <f>ROUND(建筑!G42*J88*(1+I88)*C88,0)</f>
        <v>150930</v>
      </c>
      <c r="E88" s="40">
        <f t="shared" si="60"/>
        <v>3622320</v>
      </c>
      <c r="F88" s="40">
        <f t="shared" si="58"/>
        <v>3622320</v>
      </c>
      <c r="G88" s="40">
        <v>1</v>
      </c>
      <c r="I88" s="41">
        <f t="shared" si="62"/>
        <v>1.0000000000000002</v>
      </c>
      <c r="J88" s="41">
        <v>0.3</v>
      </c>
      <c r="L88" s="12">
        <f t="shared" si="59"/>
        <v>34</v>
      </c>
      <c r="M88" s="12">
        <f>M87+L87+3</f>
        <v>215</v>
      </c>
      <c r="N88" s="40">
        <f t="shared" si="56"/>
        <v>778798800</v>
      </c>
      <c r="O88" s="40">
        <f>N88*(1+其他表格!X47)</f>
        <v>4359196483.1999998</v>
      </c>
      <c r="P88" s="40">
        <f>N88*基本公式!$B$115</f>
        <v>506219220</v>
      </c>
      <c r="U88" s="40">
        <f>ROUND(O88*基本公式!$B$109,0)</f>
        <v>1525718769</v>
      </c>
      <c r="V88" s="40">
        <f>ROUND(O88*基本公式!$B$110,0)</f>
        <v>653879472</v>
      </c>
      <c r="W88" s="40">
        <f>ROUND(O88*基本公式!$B$111,0)</f>
        <v>435919648</v>
      </c>
      <c r="X88" s="40">
        <f>MAX(ROUND(O88*基本公式!$B$112,0),1)</f>
        <v>217959824</v>
      </c>
      <c r="Y88" s="40">
        <f>ROUND(O88*基本公式!$B$113,0)</f>
        <v>1525718769</v>
      </c>
    </row>
  </sheetData>
  <phoneticPr fontId="8" type="noConversion"/>
  <pageMargins left="0.69930555555555596" right="0.69930555555555596" top="0.75" bottom="0.75" header="0.3" footer="0.3"/>
  <pageSetup paperSize="9"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317"/>
  <sheetViews>
    <sheetView topLeftCell="A25" workbookViewId="0">
      <selection activeCell="G16" sqref="G16"/>
    </sheetView>
  </sheetViews>
  <sheetFormatPr defaultColWidth="9" defaultRowHeight="13.5"/>
  <cols>
    <col min="3" max="3" width="16.375" style="29" customWidth="1"/>
    <col min="4" max="4" width="10.75" style="30" customWidth="1"/>
    <col min="5" max="5" width="18.25" style="29" customWidth="1"/>
    <col min="6" max="6" width="9" style="30"/>
    <col min="7" max="7" width="15.375" style="29" customWidth="1"/>
    <col min="8" max="8" width="9" style="30"/>
    <col min="9" max="9" width="13.625" style="31" customWidth="1"/>
    <col min="10" max="10" width="9" style="30"/>
  </cols>
  <sheetData>
    <row r="1" spans="1:14">
      <c r="A1" t="s">
        <v>202</v>
      </c>
      <c r="B1" t="s">
        <v>184</v>
      </c>
      <c r="C1" s="29" t="s">
        <v>203</v>
      </c>
      <c r="D1" s="30" t="s">
        <v>204</v>
      </c>
      <c r="E1" s="29" t="s">
        <v>205</v>
      </c>
      <c r="F1" s="30" t="s">
        <v>206</v>
      </c>
      <c r="G1" s="29" t="s">
        <v>207</v>
      </c>
      <c r="H1" s="30" t="s">
        <v>208</v>
      </c>
      <c r="I1" s="31" t="s">
        <v>209</v>
      </c>
      <c r="J1" s="30" t="s">
        <v>210</v>
      </c>
      <c r="K1" t="s">
        <v>211</v>
      </c>
      <c r="L1" t="s">
        <v>212</v>
      </c>
      <c r="M1" t="s">
        <v>213</v>
      </c>
      <c r="N1" t="s">
        <v>214</v>
      </c>
    </row>
    <row r="2" spans="1:14" s="28" customFormat="1">
      <c r="C2" s="29"/>
      <c r="D2" s="32">
        <f>D4+D25*基本公式!B151+D46*基本公式!B152+D67*基本公式!B153+D88+D109+D130+D151*基本公式!B154+D172+D193+D214+D235+D256+D277+D298</f>
        <v>1.0000000000000002</v>
      </c>
      <c r="E2" s="29"/>
      <c r="F2" s="32">
        <f>F4+F25*基本公式!B151+F46*基本公式!B152+F67*基本公式!B153+F88+F109+F130+F151*基本公式!B154+F172+F193+F214+F235+F256+F277+F298</f>
        <v>1.0000000000000002</v>
      </c>
      <c r="G2" s="29"/>
      <c r="H2" s="32">
        <f>H4+H25*基本公式!B151+H46*基本公式!B152+H67*基本公式!B153+H88+H109+H130+H151*基本公式!B154+H172+H193+H214+H235+H256+H277+H298</f>
        <v>1.0000000000000002</v>
      </c>
      <c r="I2" s="35"/>
      <c r="J2" s="32"/>
    </row>
    <row r="3" spans="1:14" s="28" customFormat="1">
      <c r="A3" s="28" t="s">
        <v>80</v>
      </c>
      <c r="C3" s="29"/>
      <c r="D3" s="32"/>
      <c r="E3" s="29"/>
      <c r="F3" s="32"/>
      <c r="G3" s="29"/>
      <c r="H3" s="32"/>
      <c r="I3" s="35"/>
      <c r="J3" s="32"/>
    </row>
    <row r="4" spans="1:14">
      <c r="B4">
        <v>1</v>
      </c>
      <c r="C4" s="29">
        <f>ROUND(产出与消耗!Q3*D4,0)</f>
        <v>24</v>
      </c>
      <c r="D4" s="30">
        <v>0.25</v>
      </c>
      <c r="E4" s="29">
        <f>ROUND(产出与消耗!Q25*F4,0)</f>
        <v>26</v>
      </c>
      <c r="F4" s="30">
        <v>0.25</v>
      </c>
      <c r="G4" s="29">
        <f>ROUND(产出与消耗!Q47*H4,0)</f>
        <v>19</v>
      </c>
      <c r="H4" s="30">
        <v>0.25</v>
      </c>
    </row>
    <row r="5" spans="1:14">
      <c r="B5">
        <v>2</v>
      </c>
      <c r="C5" s="29">
        <f>ROUND(产出与消耗!Q4*D5,0)</f>
        <v>259</v>
      </c>
      <c r="D5" s="30">
        <v>0.25</v>
      </c>
      <c r="E5" s="29">
        <f>ROUND(产出与消耗!Q26*F5,0)</f>
        <v>285</v>
      </c>
      <c r="F5" s="30">
        <v>0.25</v>
      </c>
      <c r="G5" s="29">
        <f>ROUND(产出与消耗!Q48*H5,0)</f>
        <v>207</v>
      </c>
      <c r="H5" s="30">
        <v>0.25</v>
      </c>
    </row>
    <row r="6" spans="1:14">
      <c r="B6">
        <v>3</v>
      </c>
      <c r="C6" s="29">
        <f>ROUND(产出与消耗!Q5*D6,0)</f>
        <v>1685</v>
      </c>
      <c r="D6" s="30">
        <v>0.25</v>
      </c>
      <c r="E6" s="29">
        <f>ROUND(产出与消耗!Q27*F6,0)</f>
        <v>1853</v>
      </c>
      <c r="F6" s="30">
        <v>0.25</v>
      </c>
      <c r="G6" s="29">
        <f>ROUND(产出与消耗!Q49*H6,0)</f>
        <v>1348</v>
      </c>
      <c r="H6" s="30">
        <v>0.25</v>
      </c>
    </row>
    <row r="7" spans="1:14">
      <c r="B7">
        <v>4</v>
      </c>
      <c r="C7" s="29">
        <f>ROUND(产出与消耗!Q6*D7,0)</f>
        <v>6804</v>
      </c>
      <c r="D7" s="30">
        <v>0.25</v>
      </c>
      <c r="E7" s="29">
        <f>ROUND(产出与消耗!Q28*F7,0)</f>
        <v>7485</v>
      </c>
      <c r="F7" s="30">
        <v>0.25</v>
      </c>
      <c r="G7" s="29">
        <f>ROUND(产出与消耗!Q50*H7,0)</f>
        <v>5443</v>
      </c>
      <c r="H7" s="30">
        <v>0.25</v>
      </c>
    </row>
    <row r="8" spans="1:14">
      <c r="B8">
        <v>5</v>
      </c>
      <c r="C8" s="29">
        <f>ROUND(产出与消耗!Q7*D8,0)</f>
        <v>22032</v>
      </c>
      <c r="D8" s="30">
        <v>0.25</v>
      </c>
      <c r="E8" s="29">
        <f>ROUND(产出与消耗!Q29*F8,0)</f>
        <v>24235</v>
      </c>
      <c r="F8" s="30">
        <v>0.25</v>
      </c>
      <c r="G8" s="29">
        <f>ROUND(产出与消耗!Q51*H8,0)</f>
        <v>17626</v>
      </c>
      <c r="H8" s="30">
        <v>0.25</v>
      </c>
    </row>
    <row r="9" spans="1:14">
      <c r="B9">
        <v>6</v>
      </c>
      <c r="C9" s="29">
        <f>ROUND(产出与消耗!Q8*D9,0)</f>
        <v>62899</v>
      </c>
      <c r="D9" s="30">
        <v>0.25</v>
      </c>
      <c r="E9" s="29">
        <f>ROUND(产出与消耗!Q30*F9,0)</f>
        <v>69189</v>
      </c>
      <c r="F9" s="30">
        <v>0.25</v>
      </c>
      <c r="G9" s="29">
        <f>ROUND(产出与消耗!Q52*H9,0)</f>
        <v>50319</v>
      </c>
      <c r="H9" s="30">
        <v>0.25</v>
      </c>
    </row>
    <row r="10" spans="1:14">
      <c r="B10">
        <v>7</v>
      </c>
      <c r="C10" s="29">
        <f>ROUND(产出与消耗!Q9*D10,0)</f>
        <v>177358</v>
      </c>
      <c r="D10" s="30">
        <v>0.25</v>
      </c>
      <c r="E10" s="29">
        <f>ROUND(产出与消耗!Q31*F10,0)</f>
        <v>195093</v>
      </c>
      <c r="F10" s="30">
        <v>0.25</v>
      </c>
      <c r="G10" s="29">
        <f>ROUND(产出与消耗!Q53*H10,0)</f>
        <v>141886</v>
      </c>
      <c r="H10" s="30">
        <v>0.25</v>
      </c>
    </row>
    <row r="11" spans="1:14">
      <c r="B11">
        <v>8</v>
      </c>
      <c r="C11" s="29">
        <f>ROUND(产出与消耗!Q10*D11,0)</f>
        <v>895081</v>
      </c>
      <c r="D11" s="30">
        <v>0.25</v>
      </c>
      <c r="E11" s="29">
        <f>ROUND(产出与消耗!Q32*F11,0)</f>
        <v>984589</v>
      </c>
      <c r="F11" s="30">
        <v>0.25</v>
      </c>
      <c r="G11" s="29">
        <f>ROUND(产出与消耗!Q54*H11,0)</f>
        <v>716065</v>
      </c>
      <c r="H11" s="30">
        <v>0.25</v>
      </c>
    </row>
    <row r="12" spans="1:14">
      <c r="B12">
        <v>9</v>
      </c>
      <c r="C12" s="29">
        <f>ROUND(产出与消耗!Q11*D12,0)</f>
        <v>2126140</v>
      </c>
      <c r="D12" s="30">
        <v>0.25</v>
      </c>
      <c r="E12" s="29">
        <f>ROUND(产出与消耗!Q33*F12,0)</f>
        <v>2338754</v>
      </c>
      <c r="F12" s="30">
        <v>0.25</v>
      </c>
      <c r="G12" s="29">
        <f>ROUND(产出与消耗!Q55*H12,0)</f>
        <v>1700912</v>
      </c>
      <c r="H12" s="30">
        <v>0.25</v>
      </c>
    </row>
    <row r="13" spans="1:14">
      <c r="B13">
        <v>10</v>
      </c>
      <c r="C13" s="29">
        <f>ROUND(产出与消耗!Q12*D13,0)</f>
        <v>6945270</v>
      </c>
      <c r="D13" s="30">
        <v>0.25</v>
      </c>
      <c r="E13" s="29">
        <f>ROUND(产出与消耗!Q34*F13,0)</f>
        <v>7639797</v>
      </c>
      <c r="F13" s="30">
        <v>0.25</v>
      </c>
      <c r="G13" s="29">
        <f>ROUND(产出与消耗!Q56*H13,0)</f>
        <v>5556216</v>
      </c>
      <c r="H13" s="30">
        <v>0.25</v>
      </c>
    </row>
    <row r="14" spans="1:14">
      <c r="B14">
        <v>11</v>
      </c>
      <c r="C14" s="29">
        <f>ROUND(产出与消耗!Q13*D14,0)</f>
        <v>14214590</v>
      </c>
      <c r="D14" s="30">
        <v>0.25</v>
      </c>
      <c r="E14" s="29">
        <f>ROUND(产出与消耗!Q35*F14,0)</f>
        <v>15636049</v>
      </c>
      <c r="F14" s="30">
        <v>0.25</v>
      </c>
      <c r="G14" s="29">
        <f>ROUND(产出与消耗!Q57*H14,0)</f>
        <v>11371672</v>
      </c>
      <c r="H14" s="30">
        <v>0.25</v>
      </c>
    </row>
    <row r="15" spans="1:14">
      <c r="B15">
        <v>12</v>
      </c>
      <c r="C15" s="29">
        <f>ROUND(产出与消耗!Q14*D15,0)</f>
        <v>40192511</v>
      </c>
      <c r="D15" s="30">
        <v>0.25</v>
      </c>
      <c r="E15" s="29">
        <f>ROUND(产出与消耗!Q36*F15,0)</f>
        <v>44211762</v>
      </c>
      <c r="F15" s="30">
        <v>0.25</v>
      </c>
      <c r="G15" s="29">
        <f>ROUND(产出与消耗!Q58*H15,0)</f>
        <v>32154009</v>
      </c>
      <c r="H15" s="30">
        <v>0.25</v>
      </c>
    </row>
    <row r="16" spans="1:14">
      <c r="B16">
        <v>13</v>
      </c>
      <c r="C16" s="29">
        <f>ROUND(产出与消耗!Q15*D16,0)</f>
        <v>77949112</v>
      </c>
      <c r="D16" s="30">
        <v>0.25</v>
      </c>
      <c r="E16" s="29">
        <f>ROUND(产出与消耗!Q37*F16,0)</f>
        <v>85744024</v>
      </c>
      <c r="F16" s="30">
        <v>0.25</v>
      </c>
      <c r="G16" s="29">
        <f>ROUND(产出与消耗!Q59*H16,0)</f>
        <v>62359290</v>
      </c>
      <c r="H16" s="30">
        <v>0.25</v>
      </c>
    </row>
    <row r="17" spans="1:29">
      <c r="B17">
        <v>14</v>
      </c>
      <c r="C17" s="29">
        <f>ROUND(产出与消耗!Q16*D17,0)</f>
        <v>162794742</v>
      </c>
      <c r="D17" s="30">
        <v>0.25</v>
      </c>
      <c r="E17" s="29">
        <f>ROUND(产出与消耗!Q38*F17,0)</f>
        <v>179074216</v>
      </c>
      <c r="F17" s="30">
        <v>0.25</v>
      </c>
      <c r="G17" s="29">
        <f>ROUND(产出与消耗!Q60*H17,0)</f>
        <v>130235794</v>
      </c>
      <c r="H17" s="30">
        <v>0.25</v>
      </c>
    </row>
    <row r="18" spans="1:29">
      <c r="B18">
        <v>15</v>
      </c>
      <c r="C18" s="29">
        <f>ROUND(产出与消耗!Q17*D18,0)</f>
        <v>267192000</v>
      </c>
      <c r="D18" s="30">
        <v>0.25</v>
      </c>
      <c r="E18" s="29">
        <f>ROUND(产出与消耗!Q39*F18,0)</f>
        <v>293911200</v>
      </c>
      <c r="F18" s="30">
        <v>0.25</v>
      </c>
      <c r="G18" s="29">
        <f>ROUND(产出与消耗!Q61*H18,0)</f>
        <v>213753600</v>
      </c>
      <c r="H18" s="30">
        <v>0.25</v>
      </c>
    </row>
    <row r="19" spans="1:29">
      <c r="B19">
        <v>16</v>
      </c>
      <c r="C19" s="29">
        <f>ROUND(产出与消耗!Q18*D19,0)</f>
        <v>485301399</v>
      </c>
      <c r="D19" s="30">
        <v>0.25</v>
      </c>
      <c r="E19" s="29">
        <f>ROUND(产出与消耗!Q40*F19,0)</f>
        <v>533831538</v>
      </c>
      <c r="F19" s="30">
        <v>0.25</v>
      </c>
      <c r="G19" s="29">
        <f>ROUND(产出与消耗!Q62*H19,0)</f>
        <v>388241119</v>
      </c>
      <c r="H19" s="30">
        <v>0.25</v>
      </c>
    </row>
    <row r="20" spans="1:29">
      <c r="B20">
        <v>17</v>
      </c>
      <c r="C20" s="29">
        <f>ROUND(产出与消耗!Q19*D20,0)</f>
        <v>724799638</v>
      </c>
      <c r="D20" s="30">
        <v>0.25</v>
      </c>
      <c r="E20" s="29">
        <f>ROUND(产出与消耗!Q41*F20,0)</f>
        <v>797279602</v>
      </c>
      <c r="F20" s="30">
        <v>0.25</v>
      </c>
      <c r="G20" s="29">
        <f>ROUND(产出与消耗!Q63*H20,0)</f>
        <v>579839711</v>
      </c>
      <c r="H20" s="30">
        <v>0.25</v>
      </c>
    </row>
    <row r="21" spans="1:29">
      <c r="B21">
        <v>18</v>
      </c>
      <c r="C21" s="29">
        <f>ROUND(产出与消耗!Q20*D21,0)</f>
        <v>1210567680</v>
      </c>
      <c r="D21" s="30">
        <v>0.25</v>
      </c>
      <c r="E21" s="29">
        <f>ROUND(产出与消耗!Q42*F21,0)</f>
        <v>1331624448</v>
      </c>
      <c r="F21" s="30">
        <v>0.25</v>
      </c>
      <c r="G21" s="29">
        <f>ROUND(产出与消耗!Q64*H21,0)</f>
        <v>968454144</v>
      </c>
      <c r="H21" s="30">
        <v>0.25</v>
      </c>
    </row>
    <row r="22" spans="1:29">
      <c r="B22">
        <v>19</v>
      </c>
      <c r="C22" s="29">
        <f>ROUND(产出与消耗!Q21*D22,0)</f>
        <v>1936170495</v>
      </c>
      <c r="D22" s="30">
        <v>0.25</v>
      </c>
      <c r="E22" s="29">
        <f>ROUND(产出与消耗!Q43*F22,0)</f>
        <v>2129787545</v>
      </c>
      <c r="F22" s="30">
        <v>0.25</v>
      </c>
      <c r="G22" s="29">
        <f>ROUND(产出与消耗!Q65*H22,0)</f>
        <v>1548936396</v>
      </c>
      <c r="H22" s="30">
        <v>0.25</v>
      </c>
    </row>
    <row r="23" spans="1:29">
      <c r="B23">
        <v>20</v>
      </c>
      <c r="C23" s="29">
        <f>ROUND(产出与消耗!Q22*D23,0)</f>
        <v>3119281920</v>
      </c>
      <c r="D23" s="30">
        <v>0.25</v>
      </c>
      <c r="E23" s="29">
        <f>ROUND(产出与消耗!Q44*F23,0)</f>
        <v>3431210112</v>
      </c>
      <c r="F23" s="30">
        <v>0.25</v>
      </c>
      <c r="G23" s="29">
        <f>ROUND(产出与消耗!Q66*H23,0)</f>
        <v>2495425536</v>
      </c>
      <c r="H23" s="30">
        <v>0.25</v>
      </c>
    </row>
    <row r="24" spans="1:29" s="7" customFormat="1">
      <c r="A24" s="28" t="s">
        <v>91</v>
      </c>
      <c r="B24" s="33"/>
      <c r="C24" s="34"/>
      <c r="D24" s="32"/>
      <c r="E24" s="34"/>
      <c r="F24" s="32"/>
      <c r="G24" s="34"/>
      <c r="H24" s="32"/>
      <c r="I24" s="36"/>
      <c r="J24" s="32"/>
      <c r="K24" s="24"/>
      <c r="L24" s="24"/>
      <c r="M24" s="37"/>
      <c r="N24" s="24"/>
      <c r="R24" s="38"/>
      <c r="S24" s="36"/>
      <c r="T24" s="39"/>
      <c r="U24" s="36"/>
      <c r="W24" s="36"/>
      <c r="Y24" s="36"/>
      <c r="AA24" s="24"/>
      <c r="AC24" s="24"/>
    </row>
    <row r="25" spans="1:29">
      <c r="B25">
        <v>1</v>
      </c>
      <c r="C25" s="29">
        <f>MAX(ROUND(产出与消耗!Q3*D25,0),1)</f>
        <v>1</v>
      </c>
      <c r="D25" s="30">
        <v>0.01</v>
      </c>
      <c r="E25" s="29">
        <f>ROUND(产出与消耗!Q25*F25,0)</f>
        <v>3</v>
      </c>
      <c r="F25" s="30">
        <v>0.03</v>
      </c>
      <c r="G25" s="29">
        <f>ROUND(产出与消耗!Q47*H25,0)</f>
        <v>2</v>
      </c>
      <c r="H25" s="30">
        <v>0.02</v>
      </c>
    </row>
    <row r="26" spans="1:29">
      <c r="B26">
        <v>2</v>
      </c>
      <c r="C26" s="29">
        <f>ROUND(产出与消耗!Q4*D26,0)</f>
        <v>10</v>
      </c>
      <c r="D26" s="30">
        <v>0.01</v>
      </c>
      <c r="E26" s="29">
        <f>ROUND(产出与消耗!Q26*F26,0)</f>
        <v>34</v>
      </c>
      <c r="F26" s="30">
        <v>0.03</v>
      </c>
      <c r="G26" s="29">
        <f>ROUND(产出与消耗!Q48*H26,0)</f>
        <v>17</v>
      </c>
      <c r="H26" s="30">
        <v>0.02</v>
      </c>
    </row>
    <row r="27" spans="1:29">
      <c r="B27">
        <v>3</v>
      </c>
      <c r="C27" s="29">
        <f>ROUND(产出与消耗!Q5*D27,0)</f>
        <v>67</v>
      </c>
      <c r="D27" s="30">
        <v>0.01</v>
      </c>
      <c r="E27" s="29">
        <f>ROUND(产出与消耗!Q27*F27,0)</f>
        <v>222</v>
      </c>
      <c r="F27" s="30">
        <v>0.03</v>
      </c>
      <c r="G27" s="29">
        <f>ROUND(产出与消耗!Q49*H27,0)</f>
        <v>108</v>
      </c>
      <c r="H27" s="30">
        <v>0.02</v>
      </c>
    </row>
    <row r="28" spans="1:29">
      <c r="B28">
        <v>4</v>
      </c>
      <c r="C28" s="29">
        <f>ROUND(产出与消耗!Q6*D28,0)</f>
        <v>272</v>
      </c>
      <c r="D28" s="30">
        <v>0.01</v>
      </c>
      <c r="E28" s="29">
        <f>ROUND(产出与消耗!Q28*F28,0)</f>
        <v>898</v>
      </c>
      <c r="F28" s="30">
        <v>0.03</v>
      </c>
      <c r="G28" s="29">
        <f>ROUND(产出与消耗!Q50*H28,0)</f>
        <v>435</v>
      </c>
      <c r="H28" s="30">
        <v>0.02</v>
      </c>
    </row>
    <row r="29" spans="1:29">
      <c r="B29">
        <v>5</v>
      </c>
      <c r="C29" s="29">
        <f>ROUND(产出与消耗!Q7*D29,0)</f>
        <v>881</v>
      </c>
      <c r="D29" s="30">
        <v>0.01</v>
      </c>
      <c r="E29" s="29">
        <f>ROUND(产出与消耗!Q29*F29,0)</f>
        <v>2908</v>
      </c>
      <c r="F29" s="30">
        <v>0.03</v>
      </c>
      <c r="G29" s="29">
        <f>ROUND(产出与消耗!Q51*H29,0)</f>
        <v>1410</v>
      </c>
      <c r="H29" s="30">
        <v>0.02</v>
      </c>
    </row>
    <row r="30" spans="1:29">
      <c r="B30">
        <v>6</v>
      </c>
      <c r="C30" s="29">
        <f>ROUND(产出与消耗!Q8*D30,0)</f>
        <v>2516</v>
      </c>
      <c r="D30" s="30">
        <v>0.01</v>
      </c>
      <c r="E30" s="29">
        <f>ROUND(产出与消耗!Q30*F30,0)</f>
        <v>8303</v>
      </c>
      <c r="F30" s="30">
        <v>0.03</v>
      </c>
      <c r="G30" s="29">
        <f>ROUND(产出与消耗!Q52*H30,0)</f>
        <v>4026</v>
      </c>
      <c r="H30" s="30">
        <v>0.02</v>
      </c>
    </row>
    <row r="31" spans="1:29">
      <c r="B31">
        <v>7</v>
      </c>
      <c r="C31" s="29">
        <f>ROUND(产出与消耗!Q9*D31,0)</f>
        <v>7094</v>
      </c>
      <c r="D31" s="30">
        <v>0.01</v>
      </c>
      <c r="E31" s="29">
        <f>ROUND(产出与消耗!Q31*F31,0)</f>
        <v>23411</v>
      </c>
      <c r="F31" s="30">
        <v>0.03</v>
      </c>
      <c r="G31" s="29">
        <f>ROUND(产出与消耗!Q53*H31,0)</f>
        <v>11351</v>
      </c>
      <c r="H31" s="30">
        <v>0.02</v>
      </c>
    </row>
    <row r="32" spans="1:29">
      <c r="B32">
        <v>8</v>
      </c>
      <c r="C32" s="29">
        <f>ROUND(产出与消耗!Q10*D32,0)</f>
        <v>35803</v>
      </c>
      <c r="D32" s="30">
        <v>0.01</v>
      </c>
      <c r="E32" s="29">
        <f>ROUND(产出与消耗!Q32*F32,0)</f>
        <v>118151</v>
      </c>
      <c r="F32" s="30">
        <v>0.03</v>
      </c>
      <c r="G32" s="29">
        <f>ROUND(产出与消耗!Q54*H32,0)</f>
        <v>57285</v>
      </c>
      <c r="H32" s="30">
        <v>0.02</v>
      </c>
    </row>
    <row r="33" spans="1:29">
      <c r="B33">
        <v>9</v>
      </c>
      <c r="C33" s="29">
        <f>ROUND(产出与消耗!Q11*D33,0)</f>
        <v>85046</v>
      </c>
      <c r="D33" s="30">
        <v>0.01</v>
      </c>
      <c r="E33" s="29">
        <f>ROUND(产出与消耗!Q33*F33,0)</f>
        <v>280651</v>
      </c>
      <c r="F33" s="30">
        <v>0.03</v>
      </c>
      <c r="G33" s="29">
        <f>ROUND(产出与消耗!Q55*H33,0)</f>
        <v>136073</v>
      </c>
      <c r="H33" s="30">
        <v>0.02</v>
      </c>
    </row>
    <row r="34" spans="1:29">
      <c r="B34">
        <v>10</v>
      </c>
      <c r="C34" s="29">
        <f>ROUND(产出与消耗!Q12*D34,0)</f>
        <v>277811</v>
      </c>
      <c r="D34" s="30">
        <v>0.01</v>
      </c>
      <c r="E34" s="29">
        <f>ROUND(产出与消耗!Q34*F34,0)</f>
        <v>916776</v>
      </c>
      <c r="F34" s="30">
        <v>0.03</v>
      </c>
      <c r="G34" s="29">
        <f>ROUND(产出与消耗!Q56*H34,0)</f>
        <v>444497</v>
      </c>
      <c r="H34" s="30">
        <v>0.02</v>
      </c>
    </row>
    <row r="35" spans="1:29">
      <c r="B35">
        <v>11</v>
      </c>
      <c r="C35" s="29">
        <f>ROUND(产出与消耗!Q13*D35,0)</f>
        <v>568584</v>
      </c>
      <c r="D35" s="30">
        <v>0.01</v>
      </c>
      <c r="E35" s="29">
        <f>ROUND(产出与消耗!Q35*F35,0)</f>
        <v>1876326</v>
      </c>
      <c r="F35" s="30">
        <v>0.03</v>
      </c>
      <c r="G35" s="29">
        <f>ROUND(产出与消耗!Q57*H35,0)</f>
        <v>909734</v>
      </c>
      <c r="H35" s="30">
        <v>0.02</v>
      </c>
    </row>
    <row r="36" spans="1:29">
      <c r="B36">
        <v>12</v>
      </c>
      <c r="C36" s="29">
        <f>ROUND(产出与消耗!Q14*D36,0)</f>
        <v>1607700</v>
      </c>
      <c r="D36" s="30">
        <v>0.01</v>
      </c>
      <c r="E36" s="29">
        <f>ROUND(产出与消耗!Q36*F36,0)</f>
        <v>5305411</v>
      </c>
      <c r="F36" s="30">
        <v>0.03</v>
      </c>
      <c r="G36" s="29">
        <f>ROUND(产出与消耗!Q58*H36,0)</f>
        <v>2572321</v>
      </c>
      <c r="H36" s="30">
        <v>0.02</v>
      </c>
    </row>
    <row r="37" spans="1:29">
      <c r="B37">
        <v>13</v>
      </c>
      <c r="C37" s="29">
        <f>ROUND(产出与消耗!Q15*D37,0)</f>
        <v>3117964</v>
      </c>
      <c r="D37" s="30">
        <v>0.01</v>
      </c>
      <c r="E37" s="29">
        <f>ROUND(产出与消耗!Q37*F37,0)</f>
        <v>10289283</v>
      </c>
      <c r="F37" s="30">
        <v>0.03</v>
      </c>
      <c r="G37" s="29">
        <f>ROUND(产出与消耗!Q59*H37,0)</f>
        <v>4988743</v>
      </c>
      <c r="H37" s="30">
        <v>0.02</v>
      </c>
    </row>
    <row r="38" spans="1:29">
      <c r="B38">
        <v>14</v>
      </c>
      <c r="C38" s="29">
        <f>ROUND(产出与消耗!Q16*D38,0)</f>
        <v>6511790</v>
      </c>
      <c r="D38" s="30">
        <v>0.01</v>
      </c>
      <c r="E38" s="29">
        <f>ROUND(产出与消耗!Q38*F38,0)</f>
        <v>21488906</v>
      </c>
      <c r="F38" s="30">
        <v>0.03</v>
      </c>
      <c r="G38" s="29">
        <f>ROUND(产出与消耗!Q60*H38,0)</f>
        <v>10418863</v>
      </c>
      <c r="H38" s="30">
        <v>0.02</v>
      </c>
    </row>
    <row r="39" spans="1:29">
      <c r="B39">
        <v>15</v>
      </c>
      <c r="C39" s="29">
        <f>ROUND(产出与消耗!Q17*D39,0)</f>
        <v>10687680</v>
      </c>
      <c r="D39" s="30">
        <v>0.01</v>
      </c>
      <c r="E39" s="29">
        <f>ROUND(产出与消耗!Q39*F39,0)</f>
        <v>35269344</v>
      </c>
      <c r="F39" s="30">
        <v>0.03</v>
      </c>
      <c r="G39" s="29">
        <f>ROUND(产出与消耗!Q61*H39,0)</f>
        <v>17100288</v>
      </c>
      <c r="H39" s="30">
        <v>0.02</v>
      </c>
    </row>
    <row r="40" spans="1:29">
      <c r="B40">
        <v>16</v>
      </c>
      <c r="C40" s="29">
        <f>ROUND(产出与消耗!Q18*D40,0)</f>
        <v>19412056</v>
      </c>
      <c r="D40" s="30">
        <v>0.01</v>
      </c>
      <c r="E40" s="29">
        <f>ROUND(产出与消耗!Q40*F40,0)</f>
        <v>64059785</v>
      </c>
      <c r="F40" s="30">
        <v>0.03</v>
      </c>
      <c r="G40" s="29">
        <f>ROUND(产出与消耗!Q62*H40,0)</f>
        <v>31059290</v>
      </c>
      <c r="H40" s="30">
        <v>0.02</v>
      </c>
    </row>
    <row r="41" spans="1:29">
      <c r="B41">
        <v>17</v>
      </c>
      <c r="C41" s="29">
        <f>ROUND(产出与消耗!Q19*D41,0)</f>
        <v>28991986</v>
      </c>
      <c r="D41" s="30">
        <v>0.01</v>
      </c>
      <c r="E41" s="29">
        <f>ROUND(产出与消耗!Q41*F41,0)</f>
        <v>95673552</v>
      </c>
      <c r="F41" s="30">
        <v>0.03</v>
      </c>
      <c r="G41" s="29">
        <f>ROUND(产出与消耗!Q63*H41,0)</f>
        <v>46387177</v>
      </c>
      <c r="H41" s="30">
        <v>0.02</v>
      </c>
    </row>
    <row r="42" spans="1:29">
      <c r="B42">
        <v>18</v>
      </c>
      <c r="C42" s="29">
        <f>ROUND(产出与消耗!Q20*D42,0)</f>
        <v>48422707</v>
      </c>
      <c r="D42" s="30">
        <v>0.01</v>
      </c>
      <c r="E42" s="29">
        <f>ROUND(产出与消耗!Q42*F42,0)</f>
        <v>159794934</v>
      </c>
      <c r="F42" s="30">
        <v>0.03</v>
      </c>
      <c r="G42" s="29">
        <f>ROUND(产出与消耗!Q64*H42,0)</f>
        <v>77476332</v>
      </c>
      <c r="H42" s="30">
        <v>0.02</v>
      </c>
    </row>
    <row r="43" spans="1:29">
      <c r="B43">
        <v>19</v>
      </c>
      <c r="C43" s="29">
        <f>ROUND(产出与消耗!Q21*D43,0)</f>
        <v>77446820</v>
      </c>
      <c r="D43" s="30">
        <v>0.01</v>
      </c>
      <c r="E43" s="29">
        <f>ROUND(产出与消耗!Q43*F43,0)</f>
        <v>255574505</v>
      </c>
      <c r="F43" s="30">
        <v>0.03</v>
      </c>
      <c r="G43" s="29">
        <f>ROUND(产出与消耗!Q65*H43,0)</f>
        <v>123914912</v>
      </c>
      <c r="H43" s="30">
        <v>0.02</v>
      </c>
    </row>
    <row r="44" spans="1:29">
      <c r="B44">
        <v>20</v>
      </c>
      <c r="C44" s="29">
        <f>ROUND(产出与消耗!Q22*D44,0)</f>
        <v>124771277</v>
      </c>
      <c r="D44" s="30">
        <v>0.01</v>
      </c>
      <c r="E44" s="29">
        <f>ROUND(产出与消耗!Q44*F44,0)</f>
        <v>411745213</v>
      </c>
      <c r="F44" s="30">
        <v>0.03</v>
      </c>
      <c r="G44" s="29">
        <f>ROUND(产出与消耗!Q66*H44,0)</f>
        <v>199634043</v>
      </c>
      <c r="H44" s="30">
        <v>0.02</v>
      </c>
    </row>
    <row r="45" spans="1:29" s="7" customFormat="1">
      <c r="A45" s="28" t="s">
        <v>92</v>
      </c>
      <c r="B45" s="33"/>
      <c r="C45" s="34"/>
      <c r="D45" s="32"/>
      <c r="E45" s="34"/>
      <c r="F45" s="32"/>
      <c r="G45" s="34"/>
      <c r="H45" s="32"/>
      <c r="I45" s="36"/>
      <c r="J45" s="32"/>
      <c r="K45" s="24"/>
      <c r="L45" s="24"/>
      <c r="M45" s="37"/>
      <c r="N45" s="24"/>
      <c r="R45" s="38"/>
      <c r="S45" s="36"/>
      <c r="T45" s="39"/>
      <c r="U45" s="36"/>
      <c r="W45" s="36"/>
      <c r="Y45" s="36"/>
      <c r="AA45" s="24"/>
      <c r="AC45" s="24"/>
    </row>
    <row r="46" spans="1:29">
      <c r="B46">
        <v>1</v>
      </c>
      <c r="C46" s="29">
        <f>ROUND(产出与消耗!Q3*D46,0)</f>
        <v>2</v>
      </c>
      <c r="D46" s="30">
        <v>0.02</v>
      </c>
      <c r="E46" s="29">
        <f>MAX(ROUND(产出与消耗!Q25*F46,0),1)</f>
        <v>1</v>
      </c>
      <c r="F46" s="30">
        <v>0.01</v>
      </c>
      <c r="G46" s="29">
        <f>ROUND(产出与消耗!Q47*H46,0)</f>
        <v>2</v>
      </c>
      <c r="H46" s="30">
        <v>2.5000000000000001E-2</v>
      </c>
    </row>
    <row r="47" spans="1:29">
      <c r="B47">
        <v>2</v>
      </c>
      <c r="C47" s="29">
        <f>ROUND(产出与消耗!Q4*D47,0)</f>
        <v>21</v>
      </c>
      <c r="D47" s="30">
        <v>0.02</v>
      </c>
      <c r="E47" s="29">
        <f>ROUND(产出与消耗!Q26*F47,0)</f>
        <v>11</v>
      </c>
      <c r="F47" s="30">
        <v>0.01</v>
      </c>
      <c r="G47" s="29">
        <f>ROUND(产出与消耗!Q48*H47,0)</f>
        <v>21</v>
      </c>
      <c r="H47" s="30">
        <v>2.5000000000000001E-2</v>
      </c>
    </row>
    <row r="48" spans="1:29">
      <c r="B48">
        <v>3</v>
      </c>
      <c r="C48" s="29">
        <f>ROUND(产出与消耗!Q5*D48,0)</f>
        <v>135</v>
      </c>
      <c r="D48" s="30">
        <v>0.02</v>
      </c>
      <c r="E48" s="29">
        <f>ROUND(产出与消耗!Q27*F48,0)</f>
        <v>74</v>
      </c>
      <c r="F48" s="30">
        <v>0.01</v>
      </c>
      <c r="G48" s="29">
        <f>ROUND(产出与消耗!Q49*H48,0)</f>
        <v>135</v>
      </c>
      <c r="H48" s="30">
        <v>2.5000000000000001E-2</v>
      </c>
    </row>
    <row r="49" spans="2:8">
      <c r="B49">
        <v>4</v>
      </c>
      <c r="C49" s="29">
        <f>ROUND(产出与消耗!Q6*D49,0)</f>
        <v>544</v>
      </c>
      <c r="D49" s="30">
        <v>0.02</v>
      </c>
      <c r="E49" s="29">
        <f>ROUND(产出与消耗!Q28*F49,0)</f>
        <v>299</v>
      </c>
      <c r="F49" s="30">
        <v>0.01</v>
      </c>
      <c r="G49" s="29">
        <f>ROUND(产出与消耗!Q50*H49,0)</f>
        <v>544</v>
      </c>
      <c r="H49" s="30">
        <v>2.5000000000000001E-2</v>
      </c>
    </row>
    <row r="50" spans="2:8">
      <c r="B50">
        <v>5</v>
      </c>
      <c r="C50" s="29">
        <f>ROUND(产出与消耗!Q7*D50,0)</f>
        <v>1763</v>
      </c>
      <c r="D50" s="30">
        <v>0.02</v>
      </c>
      <c r="E50" s="29">
        <f>ROUND(产出与消耗!Q29*F50,0)</f>
        <v>969</v>
      </c>
      <c r="F50" s="30">
        <v>0.01</v>
      </c>
      <c r="G50" s="29">
        <f>ROUND(产出与消耗!Q51*H50,0)</f>
        <v>1763</v>
      </c>
      <c r="H50" s="30">
        <v>2.5000000000000001E-2</v>
      </c>
    </row>
    <row r="51" spans="2:8">
      <c r="B51">
        <v>6</v>
      </c>
      <c r="C51" s="29">
        <f>ROUND(产出与消耗!Q8*D51,0)</f>
        <v>5032</v>
      </c>
      <c r="D51" s="30">
        <v>0.02</v>
      </c>
      <c r="E51" s="29">
        <f>ROUND(产出与消耗!Q30*F51,0)</f>
        <v>2768</v>
      </c>
      <c r="F51" s="30">
        <v>0.01</v>
      </c>
      <c r="G51" s="29">
        <f>ROUND(产出与消耗!Q52*H51,0)</f>
        <v>5032</v>
      </c>
      <c r="H51" s="30">
        <v>2.5000000000000001E-2</v>
      </c>
    </row>
    <row r="52" spans="2:8">
      <c r="B52">
        <v>7</v>
      </c>
      <c r="C52" s="29">
        <f>ROUND(产出与消耗!Q9*D52,0)</f>
        <v>14189</v>
      </c>
      <c r="D52" s="30">
        <v>0.02</v>
      </c>
      <c r="E52" s="29">
        <f>ROUND(产出与消耗!Q31*F52,0)</f>
        <v>7804</v>
      </c>
      <c r="F52" s="30">
        <v>0.01</v>
      </c>
      <c r="G52" s="29">
        <f>ROUND(产出与消耗!Q53*H52,0)</f>
        <v>14189</v>
      </c>
      <c r="H52" s="30">
        <v>2.5000000000000001E-2</v>
      </c>
    </row>
    <row r="53" spans="2:8">
      <c r="B53">
        <v>8</v>
      </c>
      <c r="C53" s="29">
        <f>ROUND(产出与消耗!Q10*D53,0)</f>
        <v>71606</v>
      </c>
      <c r="D53" s="30">
        <v>0.02</v>
      </c>
      <c r="E53" s="29">
        <f>ROUND(产出与消耗!Q32*F53,0)</f>
        <v>39384</v>
      </c>
      <c r="F53" s="30">
        <v>0.01</v>
      </c>
      <c r="G53" s="29">
        <f>ROUND(产出与消耗!Q54*H53,0)</f>
        <v>71606</v>
      </c>
      <c r="H53" s="30">
        <v>2.5000000000000001E-2</v>
      </c>
    </row>
    <row r="54" spans="2:8">
      <c r="B54">
        <v>9</v>
      </c>
      <c r="C54" s="29">
        <f>ROUND(产出与消耗!Q11*D54,0)</f>
        <v>170091</v>
      </c>
      <c r="D54" s="30">
        <v>0.02</v>
      </c>
      <c r="E54" s="29">
        <f>ROUND(产出与消耗!Q33*F54,0)</f>
        <v>93550</v>
      </c>
      <c r="F54" s="30">
        <v>0.01</v>
      </c>
      <c r="G54" s="29">
        <f>ROUND(产出与消耗!Q55*H54,0)</f>
        <v>170091</v>
      </c>
      <c r="H54" s="30">
        <v>2.5000000000000001E-2</v>
      </c>
    </row>
    <row r="55" spans="2:8">
      <c r="B55">
        <v>10</v>
      </c>
      <c r="C55" s="29">
        <f>ROUND(产出与消耗!Q12*D55,0)</f>
        <v>555622</v>
      </c>
      <c r="D55" s="30">
        <v>0.02</v>
      </c>
      <c r="E55" s="29">
        <f>ROUND(产出与消耗!Q34*F55,0)</f>
        <v>305592</v>
      </c>
      <c r="F55" s="30">
        <v>0.01</v>
      </c>
      <c r="G55" s="29">
        <f>ROUND(产出与消耗!Q56*H55,0)</f>
        <v>555622</v>
      </c>
      <c r="H55" s="30">
        <v>2.5000000000000001E-2</v>
      </c>
    </row>
    <row r="56" spans="2:8">
      <c r="B56">
        <v>11</v>
      </c>
      <c r="C56" s="29">
        <f>ROUND(产出与消耗!Q13*D56,0)</f>
        <v>1137167</v>
      </c>
      <c r="D56" s="30">
        <v>0.02</v>
      </c>
      <c r="E56" s="29">
        <f>ROUND(产出与消耗!Q35*F56,0)</f>
        <v>625442</v>
      </c>
      <c r="F56" s="30">
        <v>0.01</v>
      </c>
      <c r="G56" s="29">
        <f>ROUND(产出与消耗!Q57*H56,0)</f>
        <v>1137167</v>
      </c>
      <c r="H56" s="30">
        <v>2.5000000000000001E-2</v>
      </c>
    </row>
    <row r="57" spans="2:8">
      <c r="B57">
        <v>12</v>
      </c>
      <c r="C57" s="29">
        <f>ROUND(产出与消耗!Q14*D57,0)</f>
        <v>3215401</v>
      </c>
      <c r="D57" s="30">
        <v>0.02</v>
      </c>
      <c r="E57" s="29">
        <f>ROUND(产出与消耗!Q36*F57,0)</f>
        <v>1768470</v>
      </c>
      <c r="F57" s="30">
        <v>0.01</v>
      </c>
      <c r="G57" s="29">
        <f>ROUND(产出与消耗!Q58*H57,0)</f>
        <v>3215401</v>
      </c>
      <c r="H57" s="30">
        <v>2.5000000000000001E-2</v>
      </c>
    </row>
    <row r="58" spans="2:8">
      <c r="B58">
        <v>13</v>
      </c>
      <c r="C58" s="29">
        <f>ROUND(产出与消耗!Q15*D58,0)</f>
        <v>6235929</v>
      </c>
      <c r="D58" s="30">
        <v>0.02</v>
      </c>
      <c r="E58" s="29">
        <f>ROUND(产出与消耗!Q37*F58,0)</f>
        <v>3429761</v>
      </c>
      <c r="F58" s="30">
        <v>0.01</v>
      </c>
      <c r="G58" s="29">
        <f>ROUND(产出与消耗!Q59*H58,0)</f>
        <v>6235929</v>
      </c>
      <c r="H58" s="30">
        <v>2.5000000000000001E-2</v>
      </c>
    </row>
    <row r="59" spans="2:8">
      <c r="B59">
        <v>14</v>
      </c>
      <c r="C59" s="29">
        <f>ROUND(产出与消耗!Q16*D59,0)</f>
        <v>13023579</v>
      </c>
      <c r="D59" s="30">
        <v>0.02</v>
      </c>
      <c r="E59" s="29">
        <f>ROUND(产出与消耗!Q38*F59,0)</f>
        <v>7162969</v>
      </c>
      <c r="F59" s="30">
        <v>0.01</v>
      </c>
      <c r="G59" s="29">
        <f>ROUND(产出与消耗!Q60*H59,0)</f>
        <v>13023579</v>
      </c>
      <c r="H59" s="30">
        <v>2.5000000000000001E-2</v>
      </c>
    </row>
    <row r="60" spans="2:8">
      <c r="B60">
        <v>15</v>
      </c>
      <c r="C60" s="29">
        <f>ROUND(产出与消耗!Q17*D60,0)</f>
        <v>21375360</v>
      </c>
      <c r="D60" s="30">
        <v>0.02</v>
      </c>
      <c r="E60" s="29">
        <f>ROUND(产出与消耗!Q39*F60,0)</f>
        <v>11756448</v>
      </c>
      <c r="F60" s="30">
        <v>0.01</v>
      </c>
      <c r="G60" s="29">
        <f>ROUND(产出与消耗!Q61*H60,0)</f>
        <v>21375360</v>
      </c>
      <c r="H60" s="30">
        <v>2.5000000000000001E-2</v>
      </c>
    </row>
    <row r="61" spans="2:8">
      <c r="B61">
        <v>16</v>
      </c>
      <c r="C61" s="29">
        <f>ROUND(产出与消耗!Q18*D61,0)</f>
        <v>38824112</v>
      </c>
      <c r="D61" s="30">
        <v>0.02</v>
      </c>
      <c r="E61" s="29">
        <f>ROUND(产出与消耗!Q40*F61,0)</f>
        <v>21353262</v>
      </c>
      <c r="F61" s="30">
        <v>0.01</v>
      </c>
      <c r="G61" s="29">
        <f>ROUND(产出与消耗!Q62*H61,0)</f>
        <v>38824112</v>
      </c>
      <c r="H61" s="30">
        <v>2.5000000000000001E-2</v>
      </c>
    </row>
    <row r="62" spans="2:8">
      <c r="B62">
        <v>17</v>
      </c>
      <c r="C62" s="29">
        <f>ROUND(产出与消耗!Q19*D62,0)</f>
        <v>57983971</v>
      </c>
      <c r="D62" s="30">
        <v>0.02</v>
      </c>
      <c r="E62" s="29">
        <f>ROUND(产出与消耗!Q41*F62,0)</f>
        <v>31891184</v>
      </c>
      <c r="F62" s="30">
        <v>0.01</v>
      </c>
      <c r="G62" s="29">
        <f>ROUND(产出与消耗!Q63*H62,0)</f>
        <v>57983971</v>
      </c>
      <c r="H62" s="30">
        <v>2.5000000000000001E-2</v>
      </c>
    </row>
    <row r="63" spans="2:8">
      <c r="B63">
        <v>18</v>
      </c>
      <c r="C63" s="29">
        <f>ROUND(产出与消耗!Q20*D63,0)</f>
        <v>96845414</v>
      </c>
      <c r="D63" s="30">
        <v>0.02</v>
      </c>
      <c r="E63" s="29">
        <f>ROUND(产出与消耗!Q42*F63,0)</f>
        <v>53264978</v>
      </c>
      <c r="F63" s="30">
        <v>0.01</v>
      </c>
      <c r="G63" s="29">
        <f>ROUND(产出与消耗!Q64*H63,0)</f>
        <v>96845414</v>
      </c>
      <c r="H63" s="30">
        <v>2.5000000000000001E-2</v>
      </c>
    </row>
    <row r="64" spans="2:8">
      <c r="B64">
        <v>19</v>
      </c>
      <c r="C64" s="29">
        <f>ROUND(产出与消耗!Q21*D64,0)</f>
        <v>154893640</v>
      </c>
      <c r="D64" s="30">
        <v>0.02</v>
      </c>
      <c r="E64" s="29">
        <f>ROUND(产出与消耗!Q43*F64,0)</f>
        <v>85191502</v>
      </c>
      <c r="F64" s="30">
        <v>0.01</v>
      </c>
      <c r="G64" s="29">
        <f>ROUND(产出与消耗!Q65*H64,0)</f>
        <v>154893640</v>
      </c>
      <c r="H64" s="30">
        <v>2.5000000000000001E-2</v>
      </c>
    </row>
    <row r="65" spans="1:29">
      <c r="B65">
        <v>20</v>
      </c>
      <c r="C65" s="29">
        <f>ROUND(产出与消耗!Q22*D65,0)</f>
        <v>249542554</v>
      </c>
      <c r="D65" s="30">
        <v>0.02</v>
      </c>
      <c r="E65" s="29">
        <f>ROUND(产出与消耗!Q44*F65,0)</f>
        <v>137248404</v>
      </c>
      <c r="F65" s="30">
        <v>0.01</v>
      </c>
      <c r="G65" s="29">
        <f>ROUND(产出与消耗!Q66*H65,0)</f>
        <v>249542554</v>
      </c>
      <c r="H65" s="30">
        <v>2.5000000000000001E-2</v>
      </c>
    </row>
    <row r="66" spans="1:29" s="7" customFormat="1">
      <c r="A66" s="28" t="s">
        <v>93</v>
      </c>
      <c r="B66" s="33"/>
      <c r="C66" s="34"/>
      <c r="D66" s="32"/>
      <c r="E66" s="34"/>
      <c r="F66" s="32"/>
      <c r="G66" s="34"/>
      <c r="H66" s="32"/>
      <c r="I66" s="36"/>
      <c r="J66" s="32"/>
      <c r="K66" s="24"/>
      <c r="L66" s="24"/>
      <c r="M66" s="37"/>
      <c r="N66" s="24"/>
      <c r="R66" s="38"/>
      <c r="S66" s="36"/>
      <c r="T66" s="39"/>
      <c r="U66" s="36"/>
      <c r="W66" s="36"/>
      <c r="Y66" s="36"/>
      <c r="AA66" s="24"/>
      <c r="AC66" s="24"/>
    </row>
    <row r="67" spans="1:29">
      <c r="B67">
        <v>1</v>
      </c>
      <c r="C67" s="29">
        <f>ROUND(产出与消耗!Q3*D67,0)</f>
        <v>3</v>
      </c>
      <c r="D67" s="30">
        <v>3.5000000000000003E-2</v>
      </c>
      <c r="E67" s="29">
        <f>ROUND(产出与消耗!Q25*F67,0)</f>
        <v>2</v>
      </c>
      <c r="F67" s="30">
        <v>0.02</v>
      </c>
      <c r="G67" s="29">
        <f>MAX(ROUND(产出与消耗!Q47*H67,0),1)</f>
        <v>1</v>
      </c>
      <c r="H67" s="30">
        <v>0.01</v>
      </c>
    </row>
    <row r="68" spans="1:29">
      <c r="B68">
        <v>2</v>
      </c>
      <c r="C68" s="29">
        <f>ROUND(产出与消耗!Q4*D68,0)</f>
        <v>36</v>
      </c>
      <c r="D68" s="30">
        <v>3.5000000000000003E-2</v>
      </c>
      <c r="E68" s="29">
        <f>ROUND(产出与消耗!Q26*F68,0)</f>
        <v>23</v>
      </c>
      <c r="F68" s="30">
        <v>0.02</v>
      </c>
      <c r="G68" s="29">
        <f>ROUND(产出与消耗!Q48*H68,0)</f>
        <v>8</v>
      </c>
      <c r="H68" s="30">
        <v>0.01</v>
      </c>
    </row>
    <row r="69" spans="1:29">
      <c r="B69">
        <v>3</v>
      </c>
      <c r="C69" s="29">
        <f>ROUND(产出与消耗!Q5*D69,0)</f>
        <v>236</v>
      </c>
      <c r="D69" s="30">
        <v>3.5000000000000003E-2</v>
      </c>
      <c r="E69" s="29">
        <f>ROUND(产出与消耗!Q27*F69,0)</f>
        <v>148</v>
      </c>
      <c r="F69" s="30">
        <v>0.02</v>
      </c>
      <c r="G69" s="29">
        <f>ROUND(产出与消耗!Q49*H69,0)</f>
        <v>54</v>
      </c>
      <c r="H69" s="30">
        <v>0.01</v>
      </c>
    </row>
    <row r="70" spans="1:29">
      <c r="B70">
        <v>4</v>
      </c>
      <c r="C70" s="29">
        <f>ROUND(产出与消耗!Q6*D70,0)</f>
        <v>953</v>
      </c>
      <c r="D70" s="30">
        <v>3.5000000000000003E-2</v>
      </c>
      <c r="E70" s="29">
        <f>ROUND(产出与消耗!Q28*F70,0)</f>
        <v>599</v>
      </c>
      <c r="F70" s="30">
        <v>0.02</v>
      </c>
      <c r="G70" s="29">
        <f>ROUND(产出与消耗!Q50*H70,0)</f>
        <v>218</v>
      </c>
      <c r="H70" s="30">
        <v>0.01</v>
      </c>
    </row>
    <row r="71" spans="1:29">
      <c r="B71">
        <v>5</v>
      </c>
      <c r="C71" s="29">
        <f>ROUND(产出与消耗!Q7*D71,0)</f>
        <v>3084</v>
      </c>
      <c r="D71" s="30">
        <v>3.5000000000000003E-2</v>
      </c>
      <c r="E71" s="29">
        <f>ROUND(产出与消耗!Q29*F71,0)</f>
        <v>1939</v>
      </c>
      <c r="F71" s="30">
        <v>0.02</v>
      </c>
      <c r="G71" s="29">
        <f>ROUND(产出与消耗!Q51*H71,0)</f>
        <v>705</v>
      </c>
      <c r="H71" s="30">
        <v>0.01</v>
      </c>
    </row>
    <row r="72" spans="1:29">
      <c r="B72">
        <v>6</v>
      </c>
      <c r="C72" s="29">
        <f>ROUND(产出与消耗!Q8*D72,0)</f>
        <v>8806</v>
      </c>
      <c r="D72" s="30">
        <v>3.5000000000000003E-2</v>
      </c>
      <c r="E72" s="29">
        <f>ROUND(产出与消耗!Q30*F72,0)</f>
        <v>5535</v>
      </c>
      <c r="F72" s="30">
        <v>0.02</v>
      </c>
      <c r="G72" s="29">
        <f>ROUND(产出与消耗!Q52*H72,0)</f>
        <v>2013</v>
      </c>
      <c r="H72" s="30">
        <v>0.01</v>
      </c>
    </row>
    <row r="73" spans="1:29">
      <c r="B73">
        <v>7</v>
      </c>
      <c r="C73" s="29">
        <f>ROUND(产出与消耗!Q9*D73,0)</f>
        <v>24830</v>
      </c>
      <c r="D73" s="30">
        <v>3.5000000000000003E-2</v>
      </c>
      <c r="E73" s="29">
        <f>ROUND(产出与消耗!Q31*F73,0)</f>
        <v>15607</v>
      </c>
      <c r="F73" s="30">
        <v>0.02</v>
      </c>
      <c r="G73" s="29">
        <f>ROUND(产出与消耗!Q53*H73,0)</f>
        <v>5675</v>
      </c>
      <c r="H73" s="30">
        <v>0.01</v>
      </c>
    </row>
    <row r="74" spans="1:29">
      <c r="B74">
        <v>8</v>
      </c>
      <c r="C74" s="29">
        <f>ROUND(产出与消耗!Q10*D74,0)</f>
        <v>125311</v>
      </c>
      <c r="D74" s="30">
        <v>3.5000000000000003E-2</v>
      </c>
      <c r="E74" s="29">
        <f>ROUND(产出与消耗!Q32*F74,0)</f>
        <v>78767</v>
      </c>
      <c r="F74" s="30">
        <v>0.02</v>
      </c>
      <c r="G74" s="29">
        <f>ROUND(产出与消耗!Q54*H74,0)</f>
        <v>28643</v>
      </c>
      <c r="H74" s="30">
        <v>0.01</v>
      </c>
    </row>
    <row r="75" spans="1:29">
      <c r="B75">
        <v>9</v>
      </c>
      <c r="C75" s="29">
        <f>ROUND(产出与消耗!Q11*D75,0)</f>
        <v>297660</v>
      </c>
      <c r="D75" s="30">
        <v>3.5000000000000003E-2</v>
      </c>
      <c r="E75" s="29">
        <f>ROUND(产出与消耗!Q33*F75,0)</f>
        <v>187100</v>
      </c>
      <c r="F75" s="30">
        <v>0.02</v>
      </c>
      <c r="G75" s="29">
        <f>ROUND(产出与消耗!Q55*H75,0)</f>
        <v>68036</v>
      </c>
      <c r="H75" s="30">
        <v>0.01</v>
      </c>
    </row>
    <row r="76" spans="1:29">
      <c r="B76">
        <v>10</v>
      </c>
      <c r="C76" s="29">
        <f>ROUND(产出与消耗!Q12*D76,0)</f>
        <v>972338</v>
      </c>
      <c r="D76" s="30">
        <v>3.5000000000000003E-2</v>
      </c>
      <c r="E76" s="29">
        <f>ROUND(产出与消耗!Q34*F76,0)</f>
        <v>611184</v>
      </c>
      <c r="F76" s="30">
        <v>0.02</v>
      </c>
      <c r="G76" s="29">
        <f>ROUND(产出与消耗!Q56*H76,0)</f>
        <v>222249</v>
      </c>
      <c r="H76" s="30">
        <v>0.01</v>
      </c>
    </row>
    <row r="77" spans="1:29">
      <c r="B77">
        <v>11</v>
      </c>
      <c r="C77" s="29">
        <f>ROUND(产出与消耗!Q13*D77,0)</f>
        <v>1990043</v>
      </c>
      <c r="D77" s="30">
        <v>3.5000000000000003E-2</v>
      </c>
      <c r="E77" s="29">
        <f>ROUND(产出与消耗!Q35*F77,0)</f>
        <v>1250884</v>
      </c>
      <c r="F77" s="30">
        <v>0.02</v>
      </c>
      <c r="G77" s="29">
        <f>ROUND(产出与消耗!Q57*H77,0)</f>
        <v>454867</v>
      </c>
      <c r="H77" s="30">
        <v>0.01</v>
      </c>
    </row>
    <row r="78" spans="1:29">
      <c r="B78">
        <v>12</v>
      </c>
      <c r="C78" s="29">
        <f>ROUND(产出与消耗!Q14*D78,0)</f>
        <v>5626952</v>
      </c>
      <c r="D78" s="30">
        <v>3.5000000000000003E-2</v>
      </c>
      <c r="E78" s="29">
        <f>ROUND(产出与消耗!Q36*F78,0)</f>
        <v>3536941</v>
      </c>
      <c r="F78" s="30">
        <v>0.02</v>
      </c>
      <c r="G78" s="29">
        <f>ROUND(产出与消耗!Q58*H78,0)</f>
        <v>1286160</v>
      </c>
      <c r="H78" s="30">
        <v>0.01</v>
      </c>
    </row>
    <row r="79" spans="1:29">
      <c r="B79">
        <v>13</v>
      </c>
      <c r="C79" s="29">
        <f>ROUND(产出与消耗!Q15*D79,0)</f>
        <v>10912876</v>
      </c>
      <c r="D79" s="30">
        <v>3.5000000000000003E-2</v>
      </c>
      <c r="E79" s="29">
        <f>ROUND(产出与消耗!Q37*F79,0)</f>
        <v>6859522</v>
      </c>
      <c r="F79" s="30">
        <v>0.02</v>
      </c>
      <c r="G79" s="29">
        <f>ROUND(产出与消耗!Q59*H79,0)</f>
        <v>2494372</v>
      </c>
      <c r="H79" s="30">
        <v>0.01</v>
      </c>
    </row>
    <row r="80" spans="1:29">
      <c r="B80">
        <v>14</v>
      </c>
      <c r="C80" s="29">
        <f>ROUND(产出与消耗!Q16*D80,0)</f>
        <v>22791264</v>
      </c>
      <c r="D80" s="30">
        <v>3.5000000000000003E-2</v>
      </c>
      <c r="E80" s="29">
        <f>ROUND(产出与消耗!Q38*F80,0)</f>
        <v>14325937</v>
      </c>
      <c r="F80" s="30">
        <v>0.02</v>
      </c>
      <c r="G80" s="29">
        <f>ROUND(产出与消耗!Q60*H80,0)</f>
        <v>5209432</v>
      </c>
      <c r="H80" s="30">
        <v>0.01</v>
      </c>
    </row>
    <row r="81" spans="1:10">
      <c r="B81">
        <v>15</v>
      </c>
      <c r="C81" s="29">
        <f>ROUND(产出与消耗!Q17*D81,0)</f>
        <v>37406880</v>
      </c>
      <c r="D81" s="30">
        <v>3.5000000000000003E-2</v>
      </c>
      <c r="E81" s="29">
        <f>ROUND(产出与消耗!Q39*F81,0)</f>
        <v>23512896</v>
      </c>
      <c r="F81" s="30">
        <v>0.02</v>
      </c>
      <c r="G81" s="29">
        <f>ROUND(产出与消耗!Q61*H81,0)</f>
        <v>8550144</v>
      </c>
      <c r="H81" s="30">
        <v>0.01</v>
      </c>
    </row>
    <row r="82" spans="1:10">
      <c r="B82">
        <v>16</v>
      </c>
      <c r="C82" s="29">
        <f>ROUND(产出与消耗!Q18*D82,0)</f>
        <v>67942196</v>
      </c>
      <c r="D82" s="30">
        <v>3.5000000000000003E-2</v>
      </c>
      <c r="E82" s="29">
        <f>ROUND(产出与消耗!Q40*F82,0)</f>
        <v>42706523</v>
      </c>
      <c r="F82" s="30">
        <v>0.02</v>
      </c>
      <c r="G82" s="29">
        <f>ROUND(产出与消耗!Q62*H82,0)</f>
        <v>15529645</v>
      </c>
      <c r="H82" s="30">
        <v>0.01</v>
      </c>
    </row>
    <row r="83" spans="1:10">
      <c r="B83">
        <v>17</v>
      </c>
      <c r="C83" s="29">
        <f>ROUND(产出与消耗!Q19*D83,0)</f>
        <v>101471949</v>
      </c>
      <c r="D83" s="30">
        <v>3.5000000000000003E-2</v>
      </c>
      <c r="E83" s="29">
        <f>ROUND(产出与消耗!Q41*F83,0)</f>
        <v>63782368</v>
      </c>
      <c r="F83" s="30">
        <v>0.02</v>
      </c>
      <c r="G83" s="29">
        <f>ROUND(产出与消耗!Q63*H83,0)</f>
        <v>23193588</v>
      </c>
      <c r="H83" s="30">
        <v>0.01</v>
      </c>
    </row>
    <row r="84" spans="1:10">
      <c r="B84">
        <v>18</v>
      </c>
      <c r="C84" s="29">
        <f>ROUND(产出与消耗!Q20*D84,0)</f>
        <v>169479475</v>
      </c>
      <c r="D84" s="30">
        <v>3.5000000000000003E-2</v>
      </c>
      <c r="E84" s="29">
        <f>ROUND(产出与消耗!Q42*F84,0)</f>
        <v>106529956</v>
      </c>
      <c r="F84" s="30">
        <v>0.02</v>
      </c>
      <c r="G84" s="29">
        <f>ROUND(产出与消耗!Q64*H84,0)</f>
        <v>38738166</v>
      </c>
      <c r="H84" s="30">
        <v>0.01</v>
      </c>
    </row>
    <row r="85" spans="1:10">
      <c r="B85">
        <v>19</v>
      </c>
      <c r="C85" s="29">
        <f>ROUND(产出与消耗!Q21*D85,0)</f>
        <v>271063869</v>
      </c>
      <c r="D85" s="30">
        <v>3.5000000000000003E-2</v>
      </c>
      <c r="E85" s="29">
        <f>ROUND(产出与消耗!Q43*F85,0)</f>
        <v>170383004</v>
      </c>
      <c r="F85" s="30">
        <v>0.02</v>
      </c>
      <c r="G85" s="29">
        <f>ROUND(产出与消耗!Q65*H85,0)</f>
        <v>61957456</v>
      </c>
      <c r="H85" s="30">
        <v>0.01</v>
      </c>
    </row>
    <row r="86" spans="1:10">
      <c r="B86">
        <v>20</v>
      </c>
      <c r="C86" s="29">
        <f>ROUND(产出与消耗!Q22*D86,0)</f>
        <v>436699469</v>
      </c>
      <c r="D86" s="30">
        <v>3.5000000000000003E-2</v>
      </c>
      <c r="E86" s="29">
        <f>ROUND(产出与消耗!Q44*F86,0)</f>
        <v>274496809</v>
      </c>
      <c r="F86" s="30">
        <v>0.02</v>
      </c>
      <c r="G86" s="29">
        <f>ROUND(产出与消耗!Q66*H86,0)</f>
        <v>149725532</v>
      </c>
      <c r="H86" s="30">
        <v>1.4999999999999999E-2</v>
      </c>
    </row>
    <row r="87" spans="1:10" s="28" customFormat="1">
      <c r="A87" s="28" t="s">
        <v>81</v>
      </c>
      <c r="C87" s="29"/>
      <c r="D87" s="32"/>
      <c r="E87" s="29"/>
      <c r="F87" s="32"/>
      <c r="G87" s="29"/>
      <c r="H87" s="32"/>
      <c r="I87" s="35"/>
      <c r="J87" s="32"/>
    </row>
    <row r="88" spans="1:10">
      <c r="B88">
        <v>1</v>
      </c>
      <c r="C88" s="29">
        <f>ROUND(产出与消耗!Q3*D88,0)</f>
        <v>7</v>
      </c>
      <c r="D88" s="30">
        <v>7.0000000000000007E-2</v>
      </c>
      <c r="E88" s="29">
        <f>ROUND(产出与消耗!Q25*F88,0)</f>
        <v>11</v>
      </c>
      <c r="F88" s="30">
        <v>0.1</v>
      </c>
      <c r="G88" s="29">
        <f>ROUND(产出与消耗!Q47*H88,0)</f>
        <v>2</v>
      </c>
      <c r="H88" s="30">
        <v>0.03</v>
      </c>
    </row>
    <row r="89" spans="1:10">
      <c r="B89">
        <v>2</v>
      </c>
      <c r="C89" s="29">
        <f>ROUND(产出与消耗!Q4*D89,0)</f>
        <v>73</v>
      </c>
      <c r="D89" s="30">
        <v>7.0000000000000007E-2</v>
      </c>
      <c r="E89" s="29">
        <f>ROUND(产出与消耗!Q26*F89,0)</f>
        <v>114</v>
      </c>
      <c r="F89" s="30">
        <v>0.1</v>
      </c>
      <c r="G89" s="29">
        <f>ROUND(产出与消耗!Q48*H89,0)</f>
        <v>25</v>
      </c>
      <c r="H89" s="30">
        <v>0.03</v>
      </c>
    </row>
    <row r="90" spans="1:10">
      <c r="B90">
        <v>3</v>
      </c>
      <c r="C90" s="29">
        <f>ROUND(产出与消耗!Q5*D90,0)</f>
        <v>472</v>
      </c>
      <c r="D90" s="30">
        <v>7.0000000000000007E-2</v>
      </c>
      <c r="E90" s="29">
        <f>ROUND(产出与消耗!Q27*F90,0)</f>
        <v>741</v>
      </c>
      <c r="F90" s="30">
        <v>0.1</v>
      </c>
      <c r="G90" s="29">
        <f>ROUND(产出与消耗!Q49*H90,0)</f>
        <v>162</v>
      </c>
      <c r="H90" s="30">
        <v>0.03</v>
      </c>
    </row>
    <row r="91" spans="1:10">
      <c r="B91">
        <v>4</v>
      </c>
      <c r="C91" s="29">
        <f>ROUND(产出与消耗!Q6*D91,0)</f>
        <v>1905</v>
      </c>
      <c r="D91" s="30">
        <v>7.0000000000000007E-2</v>
      </c>
      <c r="E91" s="29">
        <f>ROUND(产出与消耗!Q28*F91,0)</f>
        <v>2994</v>
      </c>
      <c r="F91" s="30">
        <v>0.1</v>
      </c>
      <c r="G91" s="29">
        <f>ROUND(产出与消耗!Q50*H91,0)</f>
        <v>653</v>
      </c>
      <c r="H91" s="30">
        <v>0.03</v>
      </c>
    </row>
    <row r="92" spans="1:10">
      <c r="B92">
        <v>5</v>
      </c>
      <c r="C92" s="29">
        <f>ROUND(产出与消耗!Q7*D92,0)</f>
        <v>6169</v>
      </c>
      <c r="D92" s="30">
        <v>7.0000000000000007E-2</v>
      </c>
      <c r="E92" s="29">
        <f>ROUND(产出与消耗!Q29*F92,0)</f>
        <v>9694</v>
      </c>
      <c r="F92" s="30">
        <v>0.1</v>
      </c>
      <c r="G92" s="29">
        <f>ROUND(产出与消耗!Q51*H92,0)</f>
        <v>2115</v>
      </c>
      <c r="H92" s="30">
        <v>0.03</v>
      </c>
    </row>
    <row r="93" spans="1:10">
      <c r="B93">
        <v>6</v>
      </c>
      <c r="C93" s="29">
        <f>ROUND(产出与消耗!Q8*D93,0)</f>
        <v>17612</v>
      </c>
      <c r="D93" s="30">
        <v>7.0000000000000007E-2</v>
      </c>
      <c r="E93" s="29">
        <f>ROUND(产出与消耗!Q30*F93,0)</f>
        <v>27676</v>
      </c>
      <c r="F93" s="30">
        <v>0.1</v>
      </c>
      <c r="G93" s="29">
        <f>ROUND(产出与消耗!Q52*H93,0)</f>
        <v>6038</v>
      </c>
      <c r="H93" s="30">
        <v>0.03</v>
      </c>
    </row>
    <row r="94" spans="1:10">
      <c r="B94">
        <v>7</v>
      </c>
      <c r="C94" s="29">
        <f>ROUND(产出与消耗!Q9*D94,0)</f>
        <v>49660</v>
      </c>
      <c r="D94" s="30">
        <v>7.0000000000000007E-2</v>
      </c>
      <c r="E94" s="29">
        <f>ROUND(产出与消耗!Q31*F94,0)</f>
        <v>78037</v>
      </c>
      <c r="F94" s="30">
        <v>0.1</v>
      </c>
      <c r="G94" s="29">
        <f>ROUND(产出与消耗!Q53*H94,0)</f>
        <v>17026</v>
      </c>
      <c r="H94" s="30">
        <v>0.03</v>
      </c>
    </row>
    <row r="95" spans="1:10">
      <c r="B95">
        <v>8</v>
      </c>
      <c r="C95" s="29">
        <f>ROUND(产出与消耗!Q10*D95,0)</f>
        <v>250623</v>
      </c>
      <c r="D95" s="30">
        <v>7.0000000000000007E-2</v>
      </c>
      <c r="E95" s="29">
        <f>ROUND(产出与消耗!Q32*F95,0)</f>
        <v>393836</v>
      </c>
      <c r="F95" s="30">
        <v>0.1</v>
      </c>
      <c r="G95" s="29">
        <f>ROUND(产出与消耗!Q54*H95,0)</f>
        <v>85928</v>
      </c>
      <c r="H95" s="30">
        <v>0.03</v>
      </c>
    </row>
    <row r="96" spans="1:10">
      <c r="B96">
        <v>9</v>
      </c>
      <c r="C96" s="29">
        <f>ROUND(产出与消耗!Q11*D96,0)</f>
        <v>595319</v>
      </c>
      <c r="D96" s="30">
        <v>7.0000000000000007E-2</v>
      </c>
      <c r="E96" s="29">
        <f>ROUND(产出与消耗!Q33*F96,0)</f>
        <v>935502</v>
      </c>
      <c r="F96" s="30">
        <v>0.1</v>
      </c>
      <c r="G96" s="29">
        <f>ROUND(产出与消耗!Q55*H96,0)</f>
        <v>204109</v>
      </c>
      <c r="H96" s="30">
        <v>0.03</v>
      </c>
    </row>
    <row r="97" spans="1:10">
      <c r="B97">
        <v>10</v>
      </c>
      <c r="C97" s="29">
        <f>ROUND(产出与消耗!Q12*D97,0)</f>
        <v>1944676</v>
      </c>
      <c r="D97" s="30">
        <v>7.0000000000000007E-2</v>
      </c>
      <c r="E97" s="29">
        <f>ROUND(产出与消耗!Q34*F97,0)</f>
        <v>3055919</v>
      </c>
      <c r="F97" s="30">
        <v>0.1</v>
      </c>
      <c r="G97" s="29">
        <f>ROUND(产出与消耗!Q56*H97,0)</f>
        <v>666746</v>
      </c>
      <c r="H97" s="30">
        <v>0.03</v>
      </c>
    </row>
    <row r="98" spans="1:10">
      <c r="B98">
        <v>11</v>
      </c>
      <c r="C98" s="29">
        <f>ROUND(产出与消耗!Q13*D98,0)</f>
        <v>3980085</v>
      </c>
      <c r="D98" s="30">
        <v>7.0000000000000007E-2</v>
      </c>
      <c r="E98" s="29">
        <f>ROUND(产出与消耗!Q35*F98,0)</f>
        <v>6254420</v>
      </c>
      <c r="F98" s="30">
        <v>0.1</v>
      </c>
      <c r="G98" s="29">
        <f>ROUND(产出与消耗!Q57*H98,0)</f>
        <v>1364601</v>
      </c>
      <c r="H98" s="30">
        <v>0.03</v>
      </c>
    </row>
    <row r="99" spans="1:10">
      <c r="B99">
        <v>12</v>
      </c>
      <c r="C99" s="29">
        <f>ROUND(产出与消耗!Q14*D99,0)</f>
        <v>11253903</v>
      </c>
      <c r="D99" s="30">
        <v>7.0000000000000007E-2</v>
      </c>
      <c r="E99" s="29">
        <f>ROUND(产出与消耗!Q36*F99,0)</f>
        <v>17684705</v>
      </c>
      <c r="F99" s="30">
        <v>0.1</v>
      </c>
      <c r="G99" s="29">
        <f>ROUND(产出与消耗!Q58*H99,0)</f>
        <v>3858481</v>
      </c>
      <c r="H99" s="30">
        <v>0.03</v>
      </c>
    </row>
    <row r="100" spans="1:10">
      <c r="B100">
        <v>13</v>
      </c>
      <c r="C100" s="29">
        <f>ROUND(产出与消耗!Q15*D100,0)</f>
        <v>21825751</v>
      </c>
      <c r="D100" s="30">
        <v>7.0000000000000007E-2</v>
      </c>
      <c r="E100" s="29">
        <f>ROUND(产出与消耗!Q37*F100,0)</f>
        <v>34297609</v>
      </c>
      <c r="F100" s="30">
        <v>0.1</v>
      </c>
      <c r="G100" s="29">
        <f>ROUND(产出与消耗!Q59*H100,0)</f>
        <v>7483115</v>
      </c>
      <c r="H100" s="30">
        <v>0.03</v>
      </c>
    </row>
    <row r="101" spans="1:10">
      <c r="B101">
        <v>14</v>
      </c>
      <c r="C101" s="29">
        <f>ROUND(产出与消耗!Q16*D101,0)</f>
        <v>45582528</v>
      </c>
      <c r="D101" s="30">
        <v>7.0000000000000007E-2</v>
      </c>
      <c r="E101" s="29">
        <f>ROUND(产出与消耗!Q38*F101,0)</f>
        <v>71629686</v>
      </c>
      <c r="F101" s="30">
        <v>0.1</v>
      </c>
      <c r="G101" s="29">
        <f>ROUND(产出与消耗!Q60*H101,0)</f>
        <v>15628295</v>
      </c>
      <c r="H101" s="30">
        <v>0.03</v>
      </c>
    </row>
    <row r="102" spans="1:10">
      <c r="B102">
        <v>15</v>
      </c>
      <c r="C102" s="29">
        <f>ROUND(产出与消耗!Q17*D102,0)</f>
        <v>74813760</v>
      </c>
      <c r="D102" s="30">
        <v>7.0000000000000007E-2</v>
      </c>
      <c r="E102" s="29">
        <f>ROUND(产出与消耗!Q39*F102,0)</f>
        <v>117564480</v>
      </c>
      <c r="F102" s="30">
        <v>0.1</v>
      </c>
      <c r="G102" s="29">
        <f>ROUND(产出与消耗!Q61*H102,0)</f>
        <v>25650432</v>
      </c>
      <c r="H102" s="30">
        <v>0.03</v>
      </c>
    </row>
    <row r="103" spans="1:10">
      <c r="B103">
        <v>16</v>
      </c>
      <c r="C103" s="29">
        <f>ROUND(产出与消耗!Q18*D103,0)</f>
        <v>135884392</v>
      </c>
      <c r="D103" s="30">
        <v>7.0000000000000007E-2</v>
      </c>
      <c r="E103" s="29">
        <f>ROUND(产出与消耗!Q40*F103,0)</f>
        <v>213532615</v>
      </c>
      <c r="F103" s="30">
        <v>0.1</v>
      </c>
      <c r="G103" s="29">
        <f>ROUND(产出与消耗!Q62*H103,0)</f>
        <v>46588934</v>
      </c>
      <c r="H103" s="30">
        <v>0.03</v>
      </c>
    </row>
    <row r="104" spans="1:10">
      <c r="B104">
        <v>17</v>
      </c>
      <c r="C104" s="29">
        <f>ROUND(产出与消耗!Q19*D104,0)</f>
        <v>202943899</v>
      </c>
      <c r="D104" s="30">
        <v>7.0000000000000007E-2</v>
      </c>
      <c r="E104" s="29">
        <f>ROUND(产出与消耗!Q41*F104,0)</f>
        <v>318911841</v>
      </c>
      <c r="F104" s="30">
        <v>0.1</v>
      </c>
      <c r="G104" s="29">
        <f>ROUND(产出与消耗!Q63*H104,0)</f>
        <v>69580765</v>
      </c>
      <c r="H104" s="30">
        <v>0.03</v>
      </c>
    </row>
    <row r="105" spans="1:10">
      <c r="B105">
        <v>18</v>
      </c>
      <c r="C105" s="29">
        <f>ROUND(产出与消耗!Q20*D105,0)</f>
        <v>338958950</v>
      </c>
      <c r="D105" s="30">
        <v>7.0000000000000007E-2</v>
      </c>
      <c r="E105" s="29">
        <f>ROUND(产出与消耗!Q42*F105,0)</f>
        <v>532649779</v>
      </c>
      <c r="F105" s="30">
        <v>0.1</v>
      </c>
      <c r="G105" s="29">
        <f>ROUND(产出与消耗!Q64*H105,0)</f>
        <v>116214497</v>
      </c>
      <c r="H105" s="30">
        <v>0.03</v>
      </c>
    </row>
    <row r="106" spans="1:10">
      <c r="B106">
        <v>19</v>
      </c>
      <c r="C106" s="29">
        <f>ROUND(产出与消耗!Q21*D106,0)</f>
        <v>542127739</v>
      </c>
      <c r="D106" s="30">
        <v>7.0000000000000007E-2</v>
      </c>
      <c r="E106" s="29">
        <f>ROUND(产出与消耗!Q43*F106,0)</f>
        <v>851915018</v>
      </c>
      <c r="F106" s="30">
        <v>0.1</v>
      </c>
      <c r="G106" s="29">
        <f>ROUND(产出与消耗!Q65*H106,0)</f>
        <v>185872368</v>
      </c>
      <c r="H106" s="30">
        <v>0.03</v>
      </c>
    </row>
    <row r="107" spans="1:10">
      <c r="B107">
        <v>20</v>
      </c>
      <c r="C107" s="29">
        <f>ROUND(产出与消耗!Q22*D107,0)</f>
        <v>873398938</v>
      </c>
      <c r="D107" s="30">
        <v>7.0000000000000007E-2</v>
      </c>
      <c r="E107" s="29">
        <f>ROUND(产出与消耗!Q44*F107,0)</f>
        <v>1372484045</v>
      </c>
      <c r="F107" s="30">
        <v>0.1</v>
      </c>
      <c r="G107" s="29">
        <f>ROUND(产出与消耗!Q66*H107,0)</f>
        <v>299451064</v>
      </c>
      <c r="H107" s="30">
        <v>0.03</v>
      </c>
    </row>
    <row r="108" spans="1:10" s="28" customFormat="1">
      <c r="A108" s="28" t="s">
        <v>82</v>
      </c>
      <c r="C108" s="29"/>
      <c r="D108" s="32"/>
      <c r="E108" s="29"/>
      <c r="F108" s="32"/>
      <c r="G108" s="29"/>
      <c r="H108" s="32"/>
      <c r="I108" s="35"/>
      <c r="J108" s="32"/>
    </row>
    <row r="109" spans="1:10">
      <c r="B109">
        <v>1</v>
      </c>
      <c r="C109" s="29">
        <f>ROUND(产出与消耗!Q3*D109,0)</f>
        <v>5</v>
      </c>
      <c r="D109" s="30">
        <v>0.05</v>
      </c>
      <c r="E109" s="29">
        <f>ROUND(产出与消耗!Q25*F109,0)</f>
        <v>2</v>
      </c>
      <c r="F109" s="30">
        <v>0.02</v>
      </c>
      <c r="G109" s="29">
        <f>ROUND(产出与消耗!Q47*H109,0)</f>
        <v>5</v>
      </c>
      <c r="H109" s="30">
        <v>7.0000000000000007E-2</v>
      </c>
    </row>
    <row r="110" spans="1:10">
      <c r="B110">
        <v>2</v>
      </c>
      <c r="C110" s="29">
        <f>ROUND(产出与消耗!Q4*D110,0)</f>
        <v>52</v>
      </c>
      <c r="D110" s="30">
        <v>0.05</v>
      </c>
      <c r="E110" s="29">
        <f>ROUND(产出与消耗!Q26*F110,0)</f>
        <v>23</v>
      </c>
      <c r="F110" s="30">
        <v>0.02</v>
      </c>
      <c r="G110" s="29">
        <f>ROUND(产出与消耗!Q48*H110,0)</f>
        <v>58</v>
      </c>
      <c r="H110" s="30">
        <v>7.0000000000000007E-2</v>
      </c>
    </row>
    <row r="111" spans="1:10">
      <c r="B111">
        <v>3</v>
      </c>
      <c r="C111" s="29">
        <f>ROUND(产出与消耗!Q5*D111,0)</f>
        <v>337</v>
      </c>
      <c r="D111" s="30">
        <v>0.05</v>
      </c>
      <c r="E111" s="29">
        <f>ROUND(产出与消耗!Q27*F111,0)</f>
        <v>148</v>
      </c>
      <c r="F111" s="30">
        <v>0.02</v>
      </c>
      <c r="G111" s="29">
        <f>ROUND(产出与消耗!Q49*H111,0)</f>
        <v>377</v>
      </c>
      <c r="H111" s="30">
        <v>7.0000000000000007E-2</v>
      </c>
    </row>
    <row r="112" spans="1:10">
      <c r="B112">
        <v>4</v>
      </c>
      <c r="C112" s="29">
        <f>ROUND(产出与消耗!Q6*D112,0)</f>
        <v>1361</v>
      </c>
      <c r="D112" s="30">
        <v>0.05</v>
      </c>
      <c r="E112" s="29">
        <f>ROUND(产出与消耗!Q28*F112,0)</f>
        <v>599</v>
      </c>
      <c r="F112" s="30">
        <v>0.02</v>
      </c>
      <c r="G112" s="29">
        <f>ROUND(产出与消耗!Q50*H112,0)</f>
        <v>1524</v>
      </c>
      <c r="H112" s="30">
        <v>7.0000000000000007E-2</v>
      </c>
    </row>
    <row r="113" spans="2:8">
      <c r="B113">
        <v>5</v>
      </c>
      <c r="C113" s="29">
        <f>ROUND(产出与消耗!Q7*D113,0)</f>
        <v>4406</v>
      </c>
      <c r="D113" s="30">
        <v>0.05</v>
      </c>
      <c r="E113" s="29">
        <f>ROUND(产出与消耗!Q29*F113,0)</f>
        <v>1939</v>
      </c>
      <c r="F113" s="30">
        <v>0.02</v>
      </c>
      <c r="G113" s="29">
        <f>ROUND(产出与消耗!Q51*H113,0)</f>
        <v>4935</v>
      </c>
      <c r="H113" s="30">
        <v>7.0000000000000007E-2</v>
      </c>
    </row>
    <row r="114" spans="2:8">
      <c r="B114">
        <v>6</v>
      </c>
      <c r="C114" s="29">
        <f>ROUND(产出与消耗!Q8*D114,0)</f>
        <v>12580</v>
      </c>
      <c r="D114" s="30">
        <v>0.05</v>
      </c>
      <c r="E114" s="29">
        <f>ROUND(产出与消耗!Q30*F114,0)</f>
        <v>5535</v>
      </c>
      <c r="F114" s="30">
        <v>0.02</v>
      </c>
      <c r="G114" s="29">
        <f>ROUND(产出与消耗!Q52*H114,0)</f>
        <v>14089</v>
      </c>
      <c r="H114" s="30">
        <v>7.0000000000000007E-2</v>
      </c>
    </row>
    <row r="115" spans="2:8">
      <c r="B115">
        <v>7</v>
      </c>
      <c r="C115" s="29">
        <f>ROUND(产出与消耗!Q9*D115,0)</f>
        <v>35472</v>
      </c>
      <c r="D115" s="30">
        <v>0.05</v>
      </c>
      <c r="E115" s="29">
        <f>ROUND(产出与消耗!Q31*F115,0)</f>
        <v>15607</v>
      </c>
      <c r="F115" s="30">
        <v>0.02</v>
      </c>
      <c r="G115" s="29">
        <f>ROUND(产出与消耗!Q53*H115,0)</f>
        <v>39728</v>
      </c>
      <c r="H115" s="30">
        <v>7.0000000000000007E-2</v>
      </c>
    </row>
    <row r="116" spans="2:8">
      <c r="B116">
        <v>8</v>
      </c>
      <c r="C116" s="29">
        <f>ROUND(产出与消耗!Q10*D116,0)</f>
        <v>179016</v>
      </c>
      <c r="D116" s="30">
        <v>0.05</v>
      </c>
      <c r="E116" s="29">
        <f>ROUND(产出与消耗!Q32*F116,0)</f>
        <v>78767</v>
      </c>
      <c r="F116" s="30">
        <v>0.02</v>
      </c>
      <c r="G116" s="29">
        <f>ROUND(产出与消耗!Q54*H116,0)</f>
        <v>200498</v>
      </c>
      <c r="H116" s="30">
        <v>7.0000000000000007E-2</v>
      </c>
    </row>
    <row r="117" spans="2:8">
      <c r="B117">
        <v>9</v>
      </c>
      <c r="C117" s="29">
        <f>ROUND(产出与消耗!Q11*D117,0)</f>
        <v>425228</v>
      </c>
      <c r="D117" s="30">
        <v>0.05</v>
      </c>
      <c r="E117" s="29">
        <f>ROUND(产出与消耗!Q33*F117,0)</f>
        <v>187100</v>
      </c>
      <c r="F117" s="30">
        <v>0.02</v>
      </c>
      <c r="G117" s="29">
        <f>ROUND(产出与消耗!Q55*H117,0)</f>
        <v>476255</v>
      </c>
      <c r="H117" s="30">
        <v>7.0000000000000007E-2</v>
      </c>
    </row>
    <row r="118" spans="2:8">
      <c r="B118">
        <v>10</v>
      </c>
      <c r="C118" s="29">
        <f>ROUND(产出与消耗!Q12*D118,0)</f>
        <v>1389054</v>
      </c>
      <c r="D118" s="30">
        <v>0.05</v>
      </c>
      <c r="E118" s="29">
        <f>ROUND(产出与消耗!Q34*F118,0)</f>
        <v>611184</v>
      </c>
      <c r="F118" s="30">
        <v>0.02</v>
      </c>
      <c r="G118" s="29">
        <f>ROUND(产出与消耗!Q56*H118,0)</f>
        <v>1555740</v>
      </c>
      <c r="H118" s="30">
        <v>7.0000000000000007E-2</v>
      </c>
    </row>
    <row r="119" spans="2:8">
      <c r="B119">
        <v>11</v>
      </c>
      <c r="C119" s="29">
        <f>ROUND(产出与消耗!Q13*D119,0)</f>
        <v>2842918</v>
      </c>
      <c r="D119" s="30">
        <v>0.05</v>
      </c>
      <c r="E119" s="29">
        <f>ROUND(产出与消耗!Q35*F119,0)</f>
        <v>1250884</v>
      </c>
      <c r="F119" s="30">
        <v>0.02</v>
      </c>
      <c r="G119" s="29">
        <f>ROUND(产出与消耗!Q57*H119,0)</f>
        <v>3184068</v>
      </c>
      <c r="H119" s="30">
        <v>7.0000000000000007E-2</v>
      </c>
    </row>
    <row r="120" spans="2:8">
      <c r="B120">
        <v>12</v>
      </c>
      <c r="C120" s="29">
        <f>ROUND(产出与消耗!Q14*D120,0)</f>
        <v>8038502</v>
      </c>
      <c r="D120" s="30">
        <v>0.05</v>
      </c>
      <c r="E120" s="29">
        <f>ROUND(产出与消耗!Q36*F120,0)</f>
        <v>3536941</v>
      </c>
      <c r="F120" s="30">
        <v>0.02</v>
      </c>
      <c r="G120" s="29">
        <f>ROUND(产出与消耗!Q58*H120,0)</f>
        <v>9003122</v>
      </c>
      <c r="H120" s="30">
        <v>7.0000000000000007E-2</v>
      </c>
    </row>
    <row r="121" spans="2:8">
      <c r="B121">
        <v>13</v>
      </c>
      <c r="C121" s="29">
        <f>ROUND(产出与消耗!Q15*D121,0)</f>
        <v>15589822</v>
      </c>
      <c r="D121" s="30">
        <v>0.05</v>
      </c>
      <c r="E121" s="29">
        <f>ROUND(产出与消耗!Q37*F121,0)</f>
        <v>6859522</v>
      </c>
      <c r="F121" s="30">
        <v>0.02</v>
      </c>
      <c r="G121" s="29">
        <f>ROUND(产出与消耗!Q59*H121,0)</f>
        <v>17460601</v>
      </c>
      <c r="H121" s="30">
        <v>7.0000000000000007E-2</v>
      </c>
    </row>
    <row r="122" spans="2:8">
      <c r="B122">
        <v>14</v>
      </c>
      <c r="C122" s="29">
        <f>ROUND(产出与消耗!Q16*D122,0)</f>
        <v>32558948</v>
      </c>
      <c r="D122" s="30">
        <v>0.05</v>
      </c>
      <c r="E122" s="29">
        <f>ROUND(产出与消耗!Q38*F122,0)</f>
        <v>14325937</v>
      </c>
      <c r="F122" s="30">
        <v>0.02</v>
      </c>
      <c r="G122" s="29">
        <f>ROUND(产出与消耗!Q60*H122,0)</f>
        <v>36466022</v>
      </c>
      <c r="H122" s="30">
        <v>7.0000000000000007E-2</v>
      </c>
    </row>
    <row r="123" spans="2:8">
      <c r="B123">
        <v>15</v>
      </c>
      <c r="C123" s="29">
        <f>ROUND(产出与消耗!Q17*D123,0)</f>
        <v>53438400</v>
      </c>
      <c r="D123" s="30">
        <v>0.05</v>
      </c>
      <c r="E123" s="29">
        <f>ROUND(产出与消耗!Q39*F123,0)</f>
        <v>23512896</v>
      </c>
      <c r="F123" s="30">
        <v>0.02</v>
      </c>
      <c r="G123" s="29">
        <f>ROUND(产出与消耗!Q61*H123,0)</f>
        <v>59851008</v>
      </c>
      <c r="H123" s="30">
        <v>7.0000000000000007E-2</v>
      </c>
    </row>
    <row r="124" spans="2:8">
      <c r="B124">
        <v>16</v>
      </c>
      <c r="C124" s="29">
        <f>ROUND(产出与消耗!Q18*D124,0)</f>
        <v>97060280</v>
      </c>
      <c r="D124" s="30">
        <v>0.05</v>
      </c>
      <c r="E124" s="29">
        <f>ROUND(产出与消耗!Q40*F124,0)</f>
        <v>42706523</v>
      </c>
      <c r="F124" s="30">
        <v>0.02</v>
      </c>
      <c r="G124" s="29">
        <f>ROUND(产出与消耗!Q62*H124,0)</f>
        <v>108707513</v>
      </c>
      <c r="H124" s="30">
        <v>7.0000000000000007E-2</v>
      </c>
    </row>
    <row r="125" spans="2:8">
      <c r="B125">
        <v>17</v>
      </c>
      <c r="C125" s="29">
        <f>ROUND(产出与消耗!Q19*D125,0)</f>
        <v>144959928</v>
      </c>
      <c r="D125" s="30">
        <v>0.05</v>
      </c>
      <c r="E125" s="29">
        <f>ROUND(产出与消耗!Q41*F125,0)</f>
        <v>63782368</v>
      </c>
      <c r="F125" s="30">
        <v>0.02</v>
      </c>
      <c r="G125" s="29">
        <f>ROUND(产出与消耗!Q63*H125,0)</f>
        <v>162355119</v>
      </c>
      <c r="H125" s="30">
        <v>7.0000000000000007E-2</v>
      </c>
    </row>
    <row r="126" spans="2:8">
      <c r="B126">
        <v>18</v>
      </c>
      <c r="C126" s="29">
        <f>ROUND(产出与消耗!Q20*D126,0)</f>
        <v>242113536</v>
      </c>
      <c r="D126" s="30">
        <v>0.05</v>
      </c>
      <c r="E126" s="29">
        <f>ROUND(产出与消耗!Q42*F126,0)</f>
        <v>106529956</v>
      </c>
      <c r="F126" s="30">
        <v>0.02</v>
      </c>
      <c r="G126" s="29">
        <f>ROUND(产出与消耗!Q64*H126,0)</f>
        <v>271167160</v>
      </c>
      <c r="H126" s="30">
        <v>7.0000000000000007E-2</v>
      </c>
    </row>
    <row r="127" spans="2:8">
      <c r="B127">
        <v>19</v>
      </c>
      <c r="C127" s="29">
        <f>ROUND(产出与消耗!Q21*D127,0)</f>
        <v>387234099</v>
      </c>
      <c r="D127" s="30">
        <v>0.05</v>
      </c>
      <c r="E127" s="29">
        <f>ROUND(产出与消耗!Q43*F127,0)</f>
        <v>170383004</v>
      </c>
      <c r="F127" s="30">
        <v>0.02</v>
      </c>
      <c r="G127" s="29">
        <f>ROUND(产出与消耗!Q65*H127,0)</f>
        <v>433702191</v>
      </c>
      <c r="H127" s="30">
        <v>7.0000000000000007E-2</v>
      </c>
    </row>
    <row r="128" spans="2:8">
      <c r="B128">
        <v>20</v>
      </c>
      <c r="C128" s="29">
        <f>ROUND(产出与消耗!Q22*D128,0)</f>
        <v>623856384</v>
      </c>
      <c r="D128" s="30">
        <v>0.05</v>
      </c>
      <c r="E128" s="29">
        <f>ROUND(产出与消耗!Q44*F128,0)</f>
        <v>274496809</v>
      </c>
      <c r="F128" s="30">
        <v>0.02</v>
      </c>
      <c r="G128" s="29">
        <f>ROUND(产出与消耗!Q66*H128,0)</f>
        <v>698719150</v>
      </c>
      <c r="H128" s="30">
        <v>7.0000000000000007E-2</v>
      </c>
    </row>
    <row r="129" spans="1:10" s="28" customFormat="1">
      <c r="A129" s="28" t="s">
        <v>215</v>
      </c>
      <c r="C129" s="29"/>
      <c r="D129" s="32"/>
      <c r="E129" s="29"/>
      <c r="F129" s="32"/>
      <c r="G129" s="29"/>
      <c r="H129" s="32"/>
      <c r="I129" s="35"/>
      <c r="J129" s="32"/>
    </row>
    <row r="130" spans="1:10">
      <c r="B130">
        <v>1</v>
      </c>
      <c r="C130" s="29">
        <f>ROUND(产出与消耗!Q3*D130,0)</f>
        <v>6</v>
      </c>
      <c r="D130" s="30">
        <v>0.06</v>
      </c>
      <c r="E130" s="29">
        <f>ROUND(产出与消耗!Q25*F130,0)</f>
        <v>4</v>
      </c>
      <c r="F130" s="30">
        <v>0.04</v>
      </c>
      <c r="G130" s="29">
        <f>ROUND(产出与消耗!Q47*H130,0)</f>
        <v>2</v>
      </c>
      <c r="H130" s="30">
        <v>0.02</v>
      </c>
    </row>
    <row r="131" spans="1:10">
      <c r="B131">
        <v>2</v>
      </c>
      <c r="C131" s="29">
        <f>ROUND(产出与消耗!Q4*D131,0)</f>
        <v>62</v>
      </c>
      <c r="D131" s="30">
        <v>0.06</v>
      </c>
      <c r="E131" s="29">
        <f>ROUND(产出与消耗!Q26*F131,0)</f>
        <v>46</v>
      </c>
      <c r="F131" s="30">
        <v>0.04</v>
      </c>
      <c r="G131" s="29">
        <f>ROUND(产出与消耗!Q48*H131,0)</f>
        <v>17</v>
      </c>
      <c r="H131" s="30">
        <v>0.02</v>
      </c>
    </row>
    <row r="132" spans="1:10">
      <c r="B132">
        <v>3</v>
      </c>
      <c r="C132" s="29">
        <f>ROUND(产出与消耗!Q5*D132,0)</f>
        <v>404</v>
      </c>
      <c r="D132" s="30">
        <v>0.06</v>
      </c>
      <c r="E132" s="29">
        <f>ROUND(产出与消耗!Q27*F132,0)</f>
        <v>297</v>
      </c>
      <c r="F132" s="30">
        <v>0.04</v>
      </c>
      <c r="G132" s="29">
        <f>ROUND(产出与消耗!Q49*H132,0)</f>
        <v>108</v>
      </c>
      <c r="H132" s="30">
        <v>0.02</v>
      </c>
    </row>
    <row r="133" spans="1:10">
      <c r="B133">
        <v>4</v>
      </c>
      <c r="C133" s="29">
        <f>ROUND(产出与消耗!Q6*D133,0)</f>
        <v>1633</v>
      </c>
      <c r="D133" s="30">
        <v>0.06</v>
      </c>
      <c r="E133" s="29">
        <f>ROUND(产出与消耗!Q28*F133,0)</f>
        <v>1198</v>
      </c>
      <c r="F133" s="30">
        <v>0.04</v>
      </c>
      <c r="G133" s="29">
        <f>ROUND(产出与消耗!Q50*H133,0)</f>
        <v>435</v>
      </c>
      <c r="H133" s="30">
        <v>0.02</v>
      </c>
    </row>
    <row r="134" spans="1:10">
      <c r="B134">
        <v>5</v>
      </c>
      <c r="C134" s="29">
        <f>ROUND(产出与消耗!Q7*D134,0)</f>
        <v>5288</v>
      </c>
      <c r="D134" s="30">
        <v>0.06</v>
      </c>
      <c r="E134" s="29">
        <f>ROUND(产出与消耗!Q29*F134,0)</f>
        <v>3878</v>
      </c>
      <c r="F134" s="30">
        <v>0.04</v>
      </c>
      <c r="G134" s="29">
        <f>ROUND(产出与消耗!Q51*H134,0)</f>
        <v>1410</v>
      </c>
      <c r="H134" s="30">
        <v>0.02</v>
      </c>
    </row>
    <row r="135" spans="1:10">
      <c r="B135">
        <v>6</v>
      </c>
      <c r="C135" s="29">
        <f>ROUND(产出与消耗!Q8*D135,0)</f>
        <v>15096</v>
      </c>
      <c r="D135" s="30">
        <v>0.06</v>
      </c>
      <c r="E135" s="29">
        <f>ROUND(产出与消耗!Q30*F135,0)</f>
        <v>11070</v>
      </c>
      <c r="F135" s="30">
        <v>0.04</v>
      </c>
      <c r="G135" s="29">
        <f>ROUND(产出与消耗!Q52*H135,0)</f>
        <v>4026</v>
      </c>
      <c r="H135" s="30">
        <v>0.02</v>
      </c>
    </row>
    <row r="136" spans="1:10">
      <c r="B136">
        <v>7</v>
      </c>
      <c r="C136" s="29">
        <f>ROUND(产出与消耗!Q9*D136,0)</f>
        <v>42566</v>
      </c>
      <c r="D136" s="30">
        <v>0.06</v>
      </c>
      <c r="E136" s="29">
        <f>ROUND(产出与消耗!Q31*F136,0)</f>
        <v>31215</v>
      </c>
      <c r="F136" s="30">
        <v>0.04</v>
      </c>
      <c r="G136" s="29">
        <f>ROUND(产出与消耗!Q53*H136,0)</f>
        <v>11351</v>
      </c>
      <c r="H136" s="30">
        <v>0.02</v>
      </c>
    </row>
    <row r="137" spans="1:10">
      <c r="B137">
        <v>8</v>
      </c>
      <c r="C137" s="29">
        <f>ROUND(产出与消耗!Q10*D137,0)</f>
        <v>214819</v>
      </c>
      <c r="D137" s="30">
        <v>0.06</v>
      </c>
      <c r="E137" s="29">
        <f>ROUND(产出与消耗!Q32*F137,0)</f>
        <v>157534</v>
      </c>
      <c r="F137" s="30">
        <v>0.04</v>
      </c>
      <c r="G137" s="29">
        <f>ROUND(产出与消耗!Q54*H137,0)</f>
        <v>57285</v>
      </c>
      <c r="H137" s="30">
        <v>0.02</v>
      </c>
    </row>
    <row r="138" spans="1:10">
      <c r="B138">
        <v>9</v>
      </c>
      <c r="C138" s="29">
        <f>ROUND(产出与消耗!Q11*D138,0)</f>
        <v>510274</v>
      </c>
      <c r="D138" s="30">
        <v>0.06</v>
      </c>
      <c r="E138" s="29">
        <f>ROUND(产出与消耗!Q33*F138,0)</f>
        <v>374201</v>
      </c>
      <c r="F138" s="30">
        <v>0.04</v>
      </c>
      <c r="G138" s="29">
        <f>ROUND(产出与消耗!Q55*H138,0)</f>
        <v>136073</v>
      </c>
      <c r="H138" s="30">
        <v>0.02</v>
      </c>
    </row>
    <row r="139" spans="1:10">
      <c r="B139">
        <v>10</v>
      </c>
      <c r="C139" s="29">
        <f>ROUND(产出与消耗!Q12*D139,0)</f>
        <v>1666865</v>
      </c>
      <c r="D139" s="30">
        <v>0.06</v>
      </c>
      <c r="E139" s="29">
        <f>ROUND(产出与消耗!Q34*F139,0)</f>
        <v>1222367</v>
      </c>
      <c r="F139" s="30">
        <v>0.04</v>
      </c>
      <c r="G139" s="29">
        <f>ROUND(产出与消耗!Q56*H139,0)</f>
        <v>444497</v>
      </c>
      <c r="H139" s="30">
        <v>0.02</v>
      </c>
    </row>
    <row r="140" spans="1:10">
      <c r="B140">
        <v>11</v>
      </c>
      <c r="C140" s="29">
        <f>ROUND(产出与消耗!Q13*D140,0)</f>
        <v>3411502</v>
      </c>
      <c r="D140" s="30">
        <v>0.06</v>
      </c>
      <c r="E140" s="29">
        <f>ROUND(产出与消耗!Q35*F140,0)</f>
        <v>2501768</v>
      </c>
      <c r="F140" s="30">
        <v>0.04</v>
      </c>
      <c r="G140" s="29">
        <f>ROUND(产出与消耗!Q57*H140,0)</f>
        <v>909734</v>
      </c>
      <c r="H140" s="30">
        <v>0.02</v>
      </c>
    </row>
    <row r="141" spans="1:10">
      <c r="B141">
        <v>12</v>
      </c>
      <c r="C141" s="29">
        <f>ROUND(产出与消耗!Q14*D141,0)</f>
        <v>9646203</v>
      </c>
      <c r="D141" s="30">
        <v>0.06</v>
      </c>
      <c r="E141" s="29">
        <f>ROUND(产出与消耗!Q36*F141,0)</f>
        <v>7073882</v>
      </c>
      <c r="F141" s="30">
        <v>0.04</v>
      </c>
      <c r="G141" s="29">
        <f>ROUND(产出与消耗!Q58*H141,0)</f>
        <v>2572321</v>
      </c>
      <c r="H141" s="30">
        <v>0.02</v>
      </c>
    </row>
    <row r="142" spans="1:10">
      <c r="B142">
        <v>13</v>
      </c>
      <c r="C142" s="29">
        <f>ROUND(产出与消耗!Q15*D142,0)</f>
        <v>18707787</v>
      </c>
      <c r="D142" s="30">
        <v>0.06</v>
      </c>
      <c r="E142" s="29">
        <f>ROUND(产出与消耗!Q37*F142,0)</f>
        <v>13719044</v>
      </c>
      <c r="F142" s="30">
        <v>0.04</v>
      </c>
      <c r="G142" s="29">
        <f>ROUND(产出与消耗!Q59*H142,0)</f>
        <v>4988743</v>
      </c>
      <c r="H142" s="30">
        <v>0.02</v>
      </c>
    </row>
    <row r="143" spans="1:10">
      <c r="B143">
        <v>14</v>
      </c>
      <c r="C143" s="29">
        <f>ROUND(产出与消耗!Q16*D143,0)</f>
        <v>39070738</v>
      </c>
      <c r="D143" s="30">
        <v>0.06</v>
      </c>
      <c r="E143" s="29">
        <f>ROUND(产出与消耗!Q38*F143,0)</f>
        <v>28651875</v>
      </c>
      <c r="F143" s="30">
        <v>0.04</v>
      </c>
      <c r="G143" s="29">
        <f>ROUND(产出与消耗!Q60*H143,0)</f>
        <v>10418863</v>
      </c>
      <c r="H143" s="30">
        <v>0.02</v>
      </c>
    </row>
    <row r="144" spans="1:10">
      <c r="B144">
        <v>15</v>
      </c>
      <c r="C144" s="29">
        <f>ROUND(产出与消耗!Q17*D144,0)</f>
        <v>64126080</v>
      </c>
      <c r="D144" s="30">
        <v>0.06</v>
      </c>
      <c r="E144" s="29">
        <f>ROUND(产出与消耗!Q39*F144,0)</f>
        <v>47025792</v>
      </c>
      <c r="F144" s="30">
        <v>0.04</v>
      </c>
      <c r="G144" s="29">
        <f>ROUND(产出与消耗!Q61*H144,0)</f>
        <v>17100288</v>
      </c>
      <c r="H144" s="30">
        <v>0.02</v>
      </c>
    </row>
    <row r="145" spans="1:10">
      <c r="B145">
        <v>16</v>
      </c>
      <c r="C145" s="29">
        <f>ROUND(产出与消耗!Q18*D145,0)</f>
        <v>116472336</v>
      </c>
      <c r="D145" s="30">
        <v>0.06</v>
      </c>
      <c r="E145" s="29">
        <f>ROUND(产出与消耗!Q40*F145,0)</f>
        <v>85413046</v>
      </c>
      <c r="F145" s="30">
        <v>0.04</v>
      </c>
      <c r="G145" s="29">
        <f>ROUND(产出与消耗!Q62*H145,0)</f>
        <v>31059290</v>
      </c>
      <c r="H145" s="30">
        <v>0.02</v>
      </c>
    </row>
    <row r="146" spans="1:10">
      <c r="B146">
        <v>17</v>
      </c>
      <c r="C146" s="29">
        <f>ROUND(产出与消耗!Q19*D146,0)</f>
        <v>173951913</v>
      </c>
      <c r="D146" s="30">
        <v>0.06</v>
      </c>
      <c r="E146" s="29">
        <f>ROUND(产出与消耗!Q41*F146,0)</f>
        <v>127564736</v>
      </c>
      <c r="F146" s="30">
        <v>0.04</v>
      </c>
      <c r="G146" s="29">
        <f>ROUND(产出与消耗!Q63*H146,0)</f>
        <v>46387177</v>
      </c>
      <c r="H146" s="30">
        <v>0.02</v>
      </c>
    </row>
    <row r="147" spans="1:10">
      <c r="B147">
        <v>18</v>
      </c>
      <c r="C147" s="29">
        <f>ROUND(产出与消耗!Q20*D147,0)</f>
        <v>290536243</v>
      </c>
      <c r="D147" s="30">
        <v>0.06</v>
      </c>
      <c r="E147" s="29">
        <f>ROUND(产出与消耗!Q42*F147,0)</f>
        <v>213059912</v>
      </c>
      <c r="F147" s="30">
        <v>0.04</v>
      </c>
      <c r="G147" s="29">
        <f>ROUND(产出与消耗!Q64*H147,0)</f>
        <v>77476332</v>
      </c>
      <c r="H147" s="30">
        <v>0.02</v>
      </c>
    </row>
    <row r="148" spans="1:10">
      <c r="B148">
        <v>19</v>
      </c>
      <c r="C148" s="29">
        <f>ROUND(产出与消耗!Q21*D148,0)</f>
        <v>464680919</v>
      </c>
      <c r="D148" s="30">
        <v>0.06</v>
      </c>
      <c r="E148" s="29">
        <f>ROUND(产出与消耗!Q43*F148,0)</f>
        <v>340766007</v>
      </c>
      <c r="F148" s="30">
        <v>0.04</v>
      </c>
      <c r="G148" s="29">
        <f>ROUND(产出与消耗!Q65*H148,0)</f>
        <v>123914912</v>
      </c>
      <c r="H148" s="30">
        <v>0.02</v>
      </c>
    </row>
    <row r="149" spans="1:10">
      <c r="B149">
        <v>20</v>
      </c>
      <c r="C149" s="29">
        <f>ROUND(产出与消耗!Q22*D149,0)</f>
        <v>748627661</v>
      </c>
      <c r="D149" s="30">
        <v>0.06</v>
      </c>
      <c r="E149" s="29">
        <f>ROUND(产出与消耗!Q44*F149,0)</f>
        <v>548993618</v>
      </c>
      <c r="F149" s="30">
        <v>0.04</v>
      </c>
      <c r="G149" s="29">
        <f>ROUND(产出与消耗!Q66*H149,0)</f>
        <v>199634043</v>
      </c>
      <c r="H149" s="30">
        <v>0.02</v>
      </c>
    </row>
    <row r="150" spans="1:10" s="28" customFormat="1">
      <c r="A150" s="28" t="s">
        <v>94</v>
      </c>
      <c r="C150" s="29"/>
      <c r="D150" s="32"/>
      <c r="E150" s="29"/>
      <c r="F150" s="32"/>
      <c r="G150" s="29"/>
      <c r="H150" s="32"/>
      <c r="I150" s="35"/>
      <c r="J150" s="32"/>
    </row>
    <row r="151" spans="1:10">
      <c r="B151">
        <v>1</v>
      </c>
      <c r="C151" s="29">
        <f>ROUND(产出与消耗!Q3*D151,0)</f>
        <v>1</v>
      </c>
      <c r="D151" s="30">
        <v>1.4999999999999999E-2</v>
      </c>
      <c r="E151" s="29">
        <f>ROUND(产出与消耗!Q25*F151,0)</f>
        <v>3</v>
      </c>
      <c r="F151" s="30">
        <v>0.03</v>
      </c>
      <c r="G151" s="29">
        <f>ROUND(产出与消耗!Q47*H151,0)</f>
        <v>3</v>
      </c>
      <c r="H151" s="30">
        <v>4.4999999999999998E-2</v>
      </c>
    </row>
    <row r="152" spans="1:10">
      <c r="B152">
        <v>2</v>
      </c>
      <c r="C152" s="29">
        <f>ROUND(产出与消耗!Q4*D152,0)</f>
        <v>16</v>
      </c>
      <c r="D152" s="30">
        <v>1.4999999999999999E-2</v>
      </c>
      <c r="E152" s="29">
        <f>ROUND(产出与消耗!Q26*F152,0)</f>
        <v>34</v>
      </c>
      <c r="F152" s="30">
        <v>0.03</v>
      </c>
      <c r="G152" s="29">
        <f>ROUND(产出与消耗!Q48*H152,0)</f>
        <v>37</v>
      </c>
      <c r="H152" s="30">
        <v>4.4999999999999998E-2</v>
      </c>
    </row>
    <row r="153" spans="1:10">
      <c r="B153">
        <v>3</v>
      </c>
      <c r="C153" s="29">
        <f>ROUND(产出与消耗!Q5*D153,0)</f>
        <v>101</v>
      </c>
      <c r="D153" s="30">
        <v>1.4999999999999999E-2</v>
      </c>
      <c r="E153" s="29">
        <f>ROUND(产出与消耗!Q27*F153,0)</f>
        <v>222</v>
      </c>
      <c r="F153" s="30">
        <v>0.03</v>
      </c>
      <c r="G153" s="29">
        <f>ROUND(产出与消耗!Q49*H153,0)</f>
        <v>243</v>
      </c>
      <c r="H153" s="30">
        <v>4.4999999999999998E-2</v>
      </c>
    </row>
    <row r="154" spans="1:10">
      <c r="B154">
        <v>4</v>
      </c>
      <c r="C154" s="29">
        <f>ROUND(产出与消耗!Q6*D154,0)</f>
        <v>408</v>
      </c>
      <c r="D154" s="30">
        <v>1.4999999999999999E-2</v>
      </c>
      <c r="E154" s="29">
        <f>ROUND(产出与消耗!Q28*F154,0)</f>
        <v>898</v>
      </c>
      <c r="F154" s="30">
        <v>0.03</v>
      </c>
      <c r="G154" s="29">
        <f>ROUND(产出与消耗!Q50*H154,0)</f>
        <v>980</v>
      </c>
      <c r="H154" s="30">
        <v>4.4999999999999998E-2</v>
      </c>
    </row>
    <row r="155" spans="1:10">
      <c r="B155">
        <v>5</v>
      </c>
      <c r="C155" s="29">
        <f>ROUND(产出与消耗!Q7*D155,0)</f>
        <v>1322</v>
      </c>
      <c r="D155" s="30">
        <v>1.4999999999999999E-2</v>
      </c>
      <c r="E155" s="29">
        <f>ROUND(产出与消耗!Q29*F155,0)</f>
        <v>2908</v>
      </c>
      <c r="F155" s="30">
        <v>0.03</v>
      </c>
      <c r="G155" s="29">
        <f>ROUND(产出与消耗!Q51*H155,0)</f>
        <v>3173</v>
      </c>
      <c r="H155" s="30">
        <v>4.4999999999999998E-2</v>
      </c>
    </row>
    <row r="156" spans="1:10">
      <c r="B156">
        <v>6</v>
      </c>
      <c r="C156" s="29">
        <f>ROUND(产出与消耗!Q8*D156,0)</f>
        <v>3774</v>
      </c>
      <c r="D156" s="30">
        <v>1.4999999999999999E-2</v>
      </c>
      <c r="E156" s="29">
        <f>ROUND(产出与消耗!Q30*F156,0)</f>
        <v>8303</v>
      </c>
      <c r="F156" s="30">
        <v>0.03</v>
      </c>
      <c r="G156" s="29">
        <f>ROUND(产出与消耗!Q52*H156,0)</f>
        <v>9057</v>
      </c>
      <c r="H156" s="30">
        <v>4.4999999999999998E-2</v>
      </c>
    </row>
    <row r="157" spans="1:10">
      <c r="B157">
        <v>7</v>
      </c>
      <c r="C157" s="29">
        <f>ROUND(产出与消耗!Q9*D157,0)</f>
        <v>10641</v>
      </c>
      <c r="D157" s="30">
        <v>1.4999999999999999E-2</v>
      </c>
      <c r="E157" s="29">
        <f>ROUND(产出与消耗!Q31*F157,0)</f>
        <v>23411</v>
      </c>
      <c r="F157" s="30">
        <v>0.03</v>
      </c>
      <c r="G157" s="29">
        <f>ROUND(产出与消耗!Q53*H157,0)</f>
        <v>25539</v>
      </c>
      <c r="H157" s="30">
        <v>4.4999999999999998E-2</v>
      </c>
    </row>
    <row r="158" spans="1:10">
      <c r="B158">
        <v>8</v>
      </c>
      <c r="C158" s="29">
        <f>ROUND(产出与消耗!Q10*D158,0)</f>
        <v>53705</v>
      </c>
      <c r="D158" s="30">
        <v>1.4999999999999999E-2</v>
      </c>
      <c r="E158" s="29">
        <f>ROUND(产出与消耗!Q32*F158,0)</f>
        <v>118151</v>
      </c>
      <c r="F158" s="30">
        <v>0.03</v>
      </c>
      <c r="G158" s="29">
        <f>ROUND(产出与消耗!Q54*H158,0)</f>
        <v>128892</v>
      </c>
      <c r="H158" s="30">
        <v>4.4999999999999998E-2</v>
      </c>
    </row>
    <row r="159" spans="1:10">
      <c r="B159">
        <v>9</v>
      </c>
      <c r="C159" s="29">
        <f>ROUND(产出与消耗!Q11*D159,0)</f>
        <v>127568</v>
      </c>
      <c r="D159" s="30">
        <v>1.4999999999999999E-2</v>
      </c>
      <c r="E159" s="29">
        <f>ROUND(产出与消耗!Q33*F159,0)</f>
        <v>280651</v>
      </c>
      <c r="F159" s="30">
        <v>0.03</v>
      </c>
      <c r="G159" s="29">
        <f>ROUND(产出与消耗!Q55*H159,0)</f>
        <v>306164</v>
      </c>
      <c r="H159" s="30">
        <v>4.4999999999999998E-2</v>
      </c>
    </row>
    <row r="160" spans="1:10">
      <c r="B160">
        <v>10</v>
      </c>
      <c r="C160" s="29">
        <f>ROUND(产出与消耗!Q12*D160,0)</f>
        <v>416716</v>
      </c>
      <c r="D160" s="30">
        <v>1.4999999999999999E-2</v>
      </c>
      <c r="E160" s="29">
        <f>ROUND(产出与消耗!Q34*F160,0)</f>
        <v>916776</v>
      </c>
      <c r="F160" s="30">
        <v>0.03</v>
      </c>
      <c r="G160" s="29">
        <f>ROUND(产出与消耗!Q56*H160,0)</f>
        <v>1000119</v>
      </c>
      <c r="H160" s="30">
        <v>4.4999999999999998E-2</v>
      </c>
    </row>
    <row r="161" spans="1:10">
      <c r="B161">
        <v>11</v>
      </c>
      <c r="C161" s="29">
        <f>ROUND(产出与消耗!Q13*D161,0)</f>
        <v>852875</v>
      </c>
      <c r="D161" s="30">
        <v>1.4999999999999999E-2</v>
      </c>
      <c r="E161" s="29">
        <f>ROUND(产出与消耗!Q35*F161,0)</f>
        <v>1876326</v>
      </c>
      <c r="F161" s="30">
        <v>0.03</v>
      </c>
      <c r="G161" s="29">
        <f>ROUND(产出与消耗!Q57*H161,0)</f>
        <v>2046901</v>
      </c>
      <c r="H161" s="30">
        <v>4.4999999999999998E-2</v>
      </c>
    </row>
    <row r="162" spans="1:10">
      <c r="B162">
        <v>12</v>
      </c>
      <c r="C162" s="29">
        <f>ROUND(产出与消耗!Q14*D162,0)</f>
        <v>2411551</v>
      </c>
      <c r="D162" s="30">
        <v>1.4999999999999999E-2</v>
      </c>
      <c r="E162" s="29">
        <f>ROUND(产出与消耗!Q36*F162,0)</f>
        <v>5305411</v>
      </c>
      <c r="F162" s="30">
        <v>0.03</v>
      </c>
      <c r="G162" s="29">
        <f>ROUND(产出与消耗!Q58*H162,0)</f>
        <v>5787722</v>
      </c>
      <c r="H162" s="30">
        <v>4.4999999999999998E-2</v>
      </c>
    </row>
    <row r="163" spans="1:10">
      <c r="B163">
        <v>13</v>
      </c>
      <c r="C163" s="29">
        <f>ROUND(产出与消耗!Q15*D163,0)</f>
        <v>4676947</v>
      </c>
      <c r="D163" s="30">
        <v>1.4999999999999999E-2</v>
      </c>
      <c r="E163" s="29">
        <f>ROUND(产出与消耗!Q37*F163,0)</f>
        <v>10289283</v>
      </c>
      <c r="F163" s="30">
        <v>0.03</v>
      </c>
      <c r="G163" s="29">
        <f>ROUND(产出与消耗!Q59*H163,0)</f>
        <v>11224672</v>
      </c>
      <c r="H163" s="30">
        <v>4.4999999999999998E-2</v>
      </c>
    </row>
    <row r="164" spans="1:10">
      <c r="B164">
        <v>14</v>
      </c>
      <c r="C164" s="29">
        <f>ROUND(产出与消耗!Q16*D164,0)</f>
        <v>9767685</v>
      </c>
      <c r="D164" s="30">
        <v>1.4999999999999999E-2</v>
      </c>
      <c r="E164" s="29">
        <f>ROUND(产出与消耗!Q38*F164,0)</f>
        <v>21488906</v>
      </c>
      <c r="F164" s="30">
        <v>0.03</v>
      </c>
      <c r="G164" s="29">
        <f>ROUND(产出与消耗!Q60*H164,0)</f>
        <v>23442443</v>
      </c>
      <c r="H164" s="30">
        <v>4.4999999999999998E-2</v>
      </c>
    </row>
    <row r="165" spans="1:10">
      <c r="B165">
        <v>15</v>
      </c>
      <c r="C165" s="29">
        <f>ROUND(产出与消耗!Q17*D165,0)</f>
        <v>16031520</v>
      </c>
      <c r="D165" s="30">
        <v>1.4999999999999999E-2</v>
      </c>
      <c r="E165" s="29">
        <f>ROUND(产出与消耗!Q39*F165,0)</f>
        <v>35269344</v>
      </c>
      <c r="F165" s="30">
        <v>0.03</v>
      </c>
      <c r="G165" s="29">
        <f>ROUND(产出与消耗!Q61*H165,0)</f>
        <v>38475648</v>
      </c>
      <c r="H165" s="30">
        <v>4.4999999999999998E-2</v>
      </c>
    </row>
    <row r="166" spans="1:10">
      <c r="B166">
        <v>16</v>
      </c>
      <c r="C166" s="29">
        <f>ROUND(产出与消耗!Q18*D166,0)</f>
        <v>29118084</v>
      </c>
      <c r="D166" s="30">
        <v>1.4999999999999999E-2</v>
      </c>
      <c r="E166" s="29">
        <f>ROUND(产出与消耗!Q40*F166,0)</f>
        <v>64059785</v>
      </c>
      <c r="F166" s="30">
        <v>0.03</v>
      </c>
      <c r="G166" s="29">
        <f>ROUND(产出与消耗!Q62*H166,0)</f>
        <v>69883401</v>
      </c>
      <c r="H166" s="30">
        <v>4.4999999999999998E-2</v>
      </c>
    </row>
    <row r="167" spans="1:10">
      <c r="B167">
        <v>17</v>
      </c>
      <c r="C167" s="29">
        <f>ROUND(产出与消耗!Q19*D167,0)</f>
        <v>43487978</v>
      </c>
      <c r="D167" s="30">
        <v>1.4999999999999999E-2</v>
      </c>
      <c r="E167" s="29">
        <f>ROUND(产出与消耗!Q41*F167,0)</f>
        <v>95673552</v>
      </c>
      <c r="F167" s="30">
        <v>0.03</v>
      </c>
      <c r="G167" s="29">
        <f>ROUND(产出与消耗!Q63*H167,0)</f>
        <v>104371148</v>
      </c>
      <c r="H167" s="30">
        <v>4.4999999999999998E-2</v>
      </c>
    </row>
    <row r="168" spans="1:10">
      <c r="B168">
        <v>18</v>
      </c>
      <c r="C168" s="29">
        <f>ROUND(产出与消耗!Q20*D168,0)</f>
        <v>72634061</v>
      </c>
      <c r="D168" s="30">
        <v>1.4999999999999999E-2</v>
      </c>
      <c r="E168" s="29">
        <f>ROUND(产出与消耗!Q42*F168,0)</f>
        <v>159794934</v>
      </c>
      <c r="F168" s="30">
        <v>0.03</v>
      </c>
      <c r="G168" s="29">
        <f>ROUND(产出与消耗!Q64*H168,0)</f>
        <v>174321746</v>
      </c>
      <c r="H168" s="30">
        <v>4.4999999999999998E-2</v>
      </c>
    </row>
    <row r="169" spans="1:10">
      <c r="B169">
        <v>19</v>
      </c>
      <c r="C169" s="29">
        <f>ROUND(产出与消耗!Q21*D169,0)</f>
        <v>116170230</v>
      </c>
      <c r="D169" s="30">
        <v>1.4999999999999999E-2</v>
      </c>
      <c r="E169" s="29">
        <f>ROUND(产出与消耗!Q43*F169,0)</f>
        <v>255574505</v>
      </c>
      <c r="F169" s="30">
        <v>0.03</v>
      </c>
      <c r="G169" s="29">
        <f>ROUND(产出与消耗!Q65*H169,0)</f>
        <v>278808551</v>
      </c>
      <c r="H169" s="30">
        <v>4.4999999999999998E-2</v>
      </c>
    </row>
    <row r="170" spans="1:10">
      <c r="B170">
        <v>20</v>
      </c>
      <c r="C170" s="29">
        <f>ROUND(产出与消耗!Q22*D170,0)</f>
        <v>187156915</v>
      </c>
      <c r="D170" s="30">
        <v>1.4999999999999999E-2</v>
      </c>
      <c r="E170" s="29">
        <f>ROUND(产出与消耗!Q44*F170,0)</f>
        <v>411745213</v>
      </c>
      <c r="F170" s="30">
        <v>0.03</v>
      </c>
      <c r="G170" s="29">
        <f>ROUND(产出与消耗!Q66*H170,0)</f>
        <v>449176596</v>
      </c>
      <c r="H170" s="30">
        <v>4.4999999999999998E-2</v>
      </c>
    </row>
    <row r="171" spans="1:10" s="28" customFormat="1">
      <c r="A171" s="28" t="s">
        <v>84</v>
      </c>
      <c r="C171" s="29"/>
      <c r="D171" s="32"/>
      <c r="E171" s="29"/>
      <c r="F171" s="32"/>
      <c r="G171" s="29"/>
      <c r="H171" s="32"/>
      <c r="I171" s="35"/>
      <c r="J171" s="32"/>
    </row>
    <row r="172" spans="1:10">
      <c r="B172">
        <v>1</v>
      </c>
      <c r="C172" s="29">
        <f>ROUND(产出与消耗!Q3*D172,0)</f>
        <v>13</v>
      </c>
      <c r="D172" s="30">
        <v>0.14000000000000001</v>
      </c>
      <c r="E172" s="29">
        <f>ROUND(产出与消耗!Q25*F172,0)</f>
        <v>14</v>
      </c>
      <c r="F172" s="30">
        <v>0.13</v>
      </c>
      <c r="G172" s="29">
        <f>ROUND(产出与消耗!Q47*H172,0)</f>
        <v>8</v>
      </c>
      <c r="H172" s="30">
        <v>0.1</v>
      </c>
    </row>
    <row r="173" spans="1:10">
      <c r="B173">
        <v>2</v>
      </c>
      <c r="C173" s="29">
        <f>ROUND(产出与消耗!Q4*D173,0)</f>
        <v>145</v>
      </c>
      <c r="D173" s="30">
        <v>0.14000000000000001</v>
      </c>
      <c r="E173" s="29">
        <f>ROUND(产出与消耗!Q26*F173,0)</f>
        <v>148</v>
      </c>
      <c r="F173" s="30">
        <v>0.13</v>
      </c>
      <c r="G173" s="29">
        <f>ROUND(产出与消耗!Q48*H173,0)</f>
        <v>83</v>
      </c>
      <c r="H173" s="30">
        <v>0.1</v>
      </c>
    </row>
    <row r="174" spans="1:10">
      <c r="B174">
        <v>3</v>
      </c>
      <c r="C174" s="29">
        <f>ROUND(产出与消耗!Q5*D174,0)</f>
        <v>943</v>
      </c>
      <c r="D174" s="30">
        <v>0.14000000000000001</v>
      </c>
      <c r="E174" s="29">
        <f>ROUND(产出与消耗!Q27*F174,0)</f>
        <v>964</v>
      </c>
      <c r="F174" s="30">
        <v>0.13</v>
      </c>
      <c r="G174" s="29">
        <f>ROUND(产出与消耗!Q49*H174,0)</f>
        <v>539</v>
      </c>
      <c r="H174" s="30">
        <v>0.1</v>
      </c>
    </row>
    <row r="175" spans="1:10">
      <c r="B175">
        <v>4</v>
      </c>
      <c r="C175" s="29">
        <f>ROUND(产出与消耗!Q6*D175,0)</f>
        <v>3810</v>
      </c>
      <c r="D175" s="30">
        <v>0.14000000000000001</v>
      </c>
      <c r="E175" s="29">
        <f>ROUND(产出与消耗!Q28*F175,0)</f>
        <v>3892</v>
      </c>
      <c r="F175" s="30">
        <v>0.13</v>
      </c>
      <c r="G175" s="29">
        <f>ROUND(产出与消耗!Q50*H175,0)</f>
        <v>2177</v>
      </c>
      <c r="H175" s="30">
        <v>0.1</v>
      </c>
    </row>
    <row r="176" spans="1:10">
      <c r="B176">
        <v>5</v>
      </c>
      <c r="C176" s="29">
        <f>ROUND(产出与消耗!Q7*D176,0)</f>
        <v>12338</v>
      </c>
      <c r="D176" s="30">
        <v>0.14000000000000001</v>
      </c>
      <c r="E176" s="29">
        <f>ROUND(产出与消耗!Q29*F176,0)</f>
        <v>12602</v>
      </c>
      <c r="F176" s="30">
        <v>0.13</v>
      </c>
      <c r="G176" s="29">
        <f>ROUND(产出与消耗!Q51*H176,0)</f>
        <v>7050</v>
      </c>
      <c r="H176" s="30">
        <v>0.1</v>
      </c>
    </row>
    <row r="177" spans="1:10">
      <c r="B177">
        <v>6</v>
      </c>
      <c r="C177" s="29">
        <f>ROUND(产出与消耗!Q8*D177,0)</f>
        <v>35224</v>
      </c>
      <c r="D177" s="30">
        <v>0.14000000000000001</v>
      </c>
      <c r="E177" s="29">
        <f>ROUND(产出与消耗!Q30*F177,0)</f>
        <v>35978</v>
      </c>
      <c r="F177" s="30">
        <v>0.13</v>
      </c>
      <c r="G177" s="29">
        <f>ROUND(产出与消耗!Q52*H177,0)</f>
        <v>20128</v>
      </c>
      <c r="H177" s="30">
        <v>0.1</v>
      </c>
    </row>
    <row r="178" spans="1:10">
      <c r="B178">
        <v>7</v>
      </c>
      <c r="C178" s="29">
        <f>ROUND(产出与消耗!Q9*D178,0)</f>
        <v>99320</v>
      </c>
      <c r="D178" s="30">
        <v>0.14000000000000001</v>
      </c>
      <c r="E178" s="29">
        <f>ROUND(产出与消耗!Q31*F178,0)</f>
        <v>101448</v>
      </c>
      <c r="F178" s="30">
        <v>0.13</v>
      </c>
      <c r="G178" s="29">
        <f>ROUND(产出与消耗!Q53*H178,0)</f>
        <v>56754</v>
      </c>
      <c r="H178" s="30">
        <v>0.1</v>
      </c>
    </row>
    <row r="179" spans="1:10">
      <c r="B179">
        <v>8</v>
      </c>
      <c r="C179" s="29">
        <f>ROUND(产出与消耗!Q10*D179,0)</f>
        <v>501245</v>
      </c>
      <c r="D179" s="30">
        <v>0.14000000000000001</v>
      </c>
      <c r="E179" s="29">
        <f>ROUND(产出与消耗!Q32*F179,0)</f>
        <v>511986</v>
      </c>
      <c r="F179" s="30">
        <v>0.13</v>
      </c>
      <c r="G179" s="29">
        <f>ROUND(产出与消耗!Q54*H179,0)</f>
        <v>286426</v>
      </c>
      <c r="H179" s="30">
        <v>0.1</v>
      </c>
    </row>
    <row r="180" spans="1:10">
      <c r="B180">
        <v>9</v>
      </c>
      <c r="C180" s="29">
        <f>ROUND(产出与消耗!Q11*D180,0)</f>
        <v>1190639</v>
      </c>
      <c r="D180" s="30">
        <v>0.14000000000000001</v>
      </c>
      <c r="E180" s="29">
        <f>ROUND(产出与消耗!Q33*F180,0)</f>
        <v>1216152</v>
      </c>
      <c r="F180" s="30">
        <v>0.13</v>
      </c>
      <c r="G180" s="29">
        <f>ROUND(产出与消耗!Q55*H180,0)</f>
        <v>680365</v>
      </c>
      <c r="H180" s="30">
        <v>0.1</v>
      </c>
    </row>
    <row r="181" spans="1:10">
      <c r="B181">
        <v>10</v>
      </c>
      <c r="C181" s="29">
        <f>ROUND(产出与消耗!Q12*D181,0)</f>
        <v>3889351</v>
      </c>
      <c r="D181" s="30">
        <v>0.14000000000000001</v>
      </c>
      <c r="E181" s="29">
        <f>ROUND(产出与消耗!Q34*F181,0)</f>
        <v>3972694</v>
      </c>
      <c r="F181" s="30">
        <v>0.13</v>
      </c>
      <c r="G181" s="29">
        <f>ROUND(产出与消耗!Q56*H181,0)</f>
        <v>2222486</v>
      </c>
      <c r="H181" s="30">
        <v>0.1</v>
      </c>
    </row>
    <row r="182" spans="1:10">
      <c r="B182">
        <v>11</v>
      </c>
      <c r="C182" s="29">
        <f>ROUND(产出与消耗!Q13*D182,0)</f>
        <v>7960171</v>
      </c>
      <c r="D182" s="30">
        <v>0.14000000000000001</v>
      </c>
      <c r="E182" s="29">
        <f>ROUND(产出与消耗!Q35*F182,0)</f>
        <v>8130746</v>
      </c>
      <c r="F182" s="30">
        <v>0.13</v>
      </c>
      <c r="G182" s="29">
        <f>ROUND(产出与消耗!Q57*H182,0)</f>
        <v>4548669</v>
      </c>
      <c r="H182" s="30">
        <v>0.1</v>
      </c>
    </row>
    <row r="183" spans="1:10">
      <c r="B183">
        <v>12</v>
      </c>
      <c r="C183" s="29">
        <f>ROUND(产出与消耗!Q14*D183,0)</f>
        <v>22507806</v>
      </c>
      <c r="D183" s="30">
        <v>0.14000000000000001</v>
      </c>
      <c r="E183" s="29">
        <f>ROUND(产出与消耗!Q36*F183,0)</f>
        <v>22990116</v>
      </c>
      <c r="F183" s="30">
        <v>0.13</v>
      </c>
      <c r="G183" s="29">
        <f>ROUND(产出与消耗!Q58*H183,0)</f>
        <v>12861604</v>
      </c>
      <c r="H183" s="30">
        <v>0.1</v>
      </c>
    </row>
    <row r="184" spans="1:10">
      <c r="B184">
        <v>13</v>
      </c>
      <c r="C184" s="29">
        <f>ROUND(产出与消耗!Q15*D184,0)</f>
        <v>43651503</v>
      </c>
      <c r="D184" s="30">
        <v>0.14000000000000001</v>
      </c>
      <c r="E184" s="29">
        <f>ROUND(产出与消耗!Q37*F184,0)</f>
        <v>44586892</v>
      </c>
      <c r="F184" s="30">
        <v>0.13</v>
      </c>
      <c r="G184" s="29">
        <f>ROUND(产出与消耗!Q59*H184,0)</f>
        <v>24943716</v>
      </c>
      <c r="H184" s="30">
        <v>0.1</v>
      </c>
    </row>
    <row r="185" spans="1:10">
      <c r="B185">
        <v>14</v>
      </c>
      <c r="C185" s="29">
        <f>ROUND(产出与消耗!Q16*D185,0)</f>
        <v>91165055</v>
      </c>
      <c r="D185" s="30">
        <v>0.14000000000000001</v>
      </c>
      <c r="E185" s="29">
        <f>ROUND(产出与消耗!Q38*F185,0)</f>
        <v>93118592</v>
      </c>
      <c r="F185" s="30">
        <v>0.13</v>
      </c>
      <c r="G185" s="29">
        <f>ROUND(产出与消耗!Q60*H185,0)</f>
        <v>52094317</v>
      </c>
      <c r="H185" s="30">
        <v>0.1</v>
      </c>
    </row>
    <row r="186" spans="1:10">
      <c r="B186">
        <v>15</v>
      </c>
      <c r="C186" s="29">
        <f>ROUND(产出与消耗!Q17*D186,0)</f>
        <v>149627520</v>
      </c>
      <c r="D186" s="30">
        <v>0.14000000000000001</v>
      </c>
      <c r="E186" s="29">
        <f>ROUND(产出与消耗!Q39*F186,0)</f>
        <v>152833824</v>
      </c>
      <c r="F186" s="30">
        <v>0.13</v>
      </c>
      <c r="G186" s="29">
        <f>ROUND(产出与消耗!Q61*H186,0)</f>
        <v>85501440</v>
      </c>
      <c r="H186" s="30">
        <v>0.1</v>
      </c>
    </row>
    <row r="187" spans="1:10">
      <c r="B187">
        <v>16</v>
      </c>
      <c r="C187" s="29">
        <f>ROUND(产出与消耗!Q18*D187,0)</f>
        <v>271768783</v>
      </c>
      <c r="D187" s="30">
        <v>0.14000000000000001</v>
      </c>
      <c r="E187" s="29">
        <f>ROUND(产出与消耗!Q40*F187,0)</f>
        <v>277592400</v>
      </c>
      <c r="F187" s="30">
        <v>0.13</v>
      </c>
      <c r="G187" s="29">
        <f>ROUND(产出与消耗!Q62*H187,0)</f>
        <v>155296448</v>
      </c>
      <c r="H187" s="30">
        <v>0.1</v>
      </c>
    </row>
    <row r="188" spans="1:10">
      <c r="B188">
        <v>17</v>
      </c>
      <c r="C188" s="29">
        <f>ROUND(产出与消耗!Q19*D188,0)</f>
        <v>405887797</v>
      </c>
      <c r="D188" s="30">
        <v>0.14000000000000001</v>
      </c>
      <c r="E188" s="29">
        <f>ROUND(产出与消耗!Q41*F188,0)</f>
        <v>414585393</v>
      </c>
      <c r="F188" s="30">
        <v>0.13</v>
      </c>
      <c r="G188" s="29">
        <f>ROUND(产出与消耗!Q63*H188,0)</f>
        <v>231935884</v>
      </c>
      <c r="H188" s="30">
        <v>0.1</v>
      </c>
    </row>
    <row r="189" spans="1:10">
      <c r="B189">
        <v>18</v>
      </c>
      <c r="C189" s="29">
        <f>ROUND(产出与消耗!Q20*D189,0)</f>
        <v>677917901</v>
      </c>
      <c r="D189" s="30">
        <v>0.14000000000000001</v>
      </c>
      <c r="E189" s="29">
        <f>ROUND(产出与消耗!Q42*F189,0)</f>
        <v>692444713</v>
      </c>
      <c r="F189" s="30">
        <v>0.13</v>
      </c>
      <c r="G189" s="29">
        <f>ROUND(产出与消耗!Q64*H189,0)</f>
        <v>387381658</v>
      </c>
      <c r="H189" s="30">
        <v>0.1</v>
      </c>
    </row>
    <row r="190" spans="1:10">
      <c r="B190">
        <v>19</v>
      </c>
      <c r="C190" s="29">
        <f>ROUND(产出与消耗!Q21*D190,0)</f>
        <v>1084255477</v>
      </c>
      <c r="D190" s="30">
        <v>0.14000000000000001</v>
      </c>
      <c r="E190" s="29">
        <f>ROUND(产出与消耗!Q43*F190,0)</f>
        <v>1107489523</v>
      </c>
      <c r="F190" s="30">
        <v>0.13</v>
      </c>
      <c r="G190" s="29">
        <f>ROUND(产出与消耗!Q65*H190,0)</f>
        <v>619574559</v>
      </c>
      <c r="H190" s="30">
        <v>0.1</v>
      </c>
    </row>
    <row r="191" spans="1:10">
      <c r="B191">
        <v>20</v>
      </c>
      <c r="C191" s="29">
        <f>ROUND(产出与消耗!Q22*D191,0)</f>
        <v>1746797875</v>
      </c>
      <c r="D191" s="30">
        <v>0.14000000000000001</v>
      </c>
      <c r="E191" s="29">
        <f>ROUND(产出与消耗!Q44*F191,0)</f>
        <v>2195974472</v>
      </c>
      <c r="F191" s="30">
        <v>0.16</v>
      </c>
      <c r="G191" s="29">
        <f>ROUND(产出与消耗!Q66*H191,0)</f>
        <v>998170214</v>
      </c>
      <c r="H191" s="30">
        <v>0.1</v>
      </c>
    </row>
    <row r="192" spans="1:10" s="28" customFormat="1">
      <c r="A192" s="28" t="s">
        <v>85</v>
      </c>
      <c r="C192" s="29"/>
      <c r="D192" s="32"/>
      <c r="E192" s="29"/>
      <c r="F192" s="32"/>
      <c r="G192" s="29"/>
      <c r="H192" s="32"/>
      <c r="I192" s="35"/>
      <c r="J192" s="32"/>
    </row>
    <row r="193" spans="2:8">
      <c r="B193">
        <v>1</v>
      </c>
      <c r="C193" s="29">
        <f>ROUND(产出与消耗!Q3*D193,0)</f>
        <v>7</v>
      </c>
      <c r="D193" s="30">
        <v>7.0000000000000007E-2</v>
      </c>
      <c r="E193" s="29">
        <f>ROUND(产出与消耗!Q25*F193,0)</f>
        <v>9</v>
      </c>
      <c r="F193" s="30">
        <v>0.09</v>
      </c>
      <c r="G193" s="29">
        <f>ROUND(产出与消耗!Q47*H193,0)</f>
        <v>8</v>
      </c>
      <c r="H193" s="30">
        <v>0.11</v>
      </c>
    </row>
    <row r="194" spans="2:8">
      <c r="B194">
        <v>2</v>
      </c>
      <c r="C194" s="29">
        <f>ROUND(产出与消耗!Q4*D194,0)</f>
        <v>73</v>
      </c>
      <c r="D194" s="30">
        <v>7.0000000000000007E-2</v>
      </c>
      <c r="E194" s="29">
        <f>ROUND(产出与消耗!Q26*F194,0)</f>
        <v>103</v>
      </c>
      <c r="F194" s="30">
        <v>0.09</v>
      </c>
      <c r="G194" s="29">
        <f>ROUND(产出与消耗!Q48*H194,0)</f>
        <v>91</v>
      </c>
      <c r="H194" s="30">
        <v>0.11</v>
      </c>
    </row>
    <row r="195" spans="2:8">
      <c r="B195">
        <v>3</v>
      </c>
      <c r="C195" s="29">
        <f>ROUND(产出与消耗!Q5*D195,0)</f>
        <v>472</v>
      </c>
      <c r="D195" s="30">
        <v>7.0000000000000007E-2</v>
      </c>
      <c r="E195" s="29">
        <f>ROUND(产出与消耗!Q27*F195,0)</f>
        <v>667</v>
      </c>
      <c r="F195" s="30">
        <v>0.09</v>
      </c>
      <c r="G195" s="29">
        <f>ROUND(产出与消耗!Q49*H195,0)</f>
        <v>593</v>
      </c>
      <c r="H195" s="30">
        <v>0.11</v>
      </c>
    </row>
    <row r="196" spans="2:8">
      <c r="B196">
        <v>4</v>
      </c>
      <c r="C196" s="29">
        <f>ROUND(产出与消耗!Q6*D196,0)</f>
        <v>1905</v>
      </c>
      <c r="D196" s="30">
        <v>7.0000000000000007E-2</v>
      </c>
      <c r="E196" s="29">
        <f>ROUND(产出与消耗!Q28*F196,0)</f>
        <v>2694</v>
      </c>
      <c r="F196" s="30">
        <v>0.09</v>
      </c>
      <c r="G196" s="29">
        <f>ROUND(产出与消耗!Q50*H196,0)</f>
        <v>2395</v>
      </c>
      <c r="H196" s="30">
        <v>0.11</v>
      </c>
    </row>
    <row r="197" spans="2:8">
      <c r="B197">
        <v>5</v>
      </c>
      <c r="C197" s="29">
        <f>ROUND(产出与消耗!Q7*D197,0)</f>
        <v>6169</v>
      </c>
      <c r="D197" s="30">
        <v>7.0000000000000007E-2</v>
      </c>
      <c r="E197" s="29">
        <f>ROUND(产出与消耗!Q29*F197,0)</f>
        <v>8725</v>
      </c>
      <c r="F197" s="30">
        <v>0.09</v>
      </c>
      <c r="G197" s="29">
        <f>ROUND(产出与消耗!Q51*H197,0)</f>
        <v>7755</v>
      </c>
      <c r="H197" s="30">
        <v>0.11</v>
      </c>
    </row>
    <row r="198" spans="2:8">
      <c r="B198">
        <v>6</v>
      </c>
      <c r="C198" s="29">
        <f>ROUND(产出与消耗!Q8*D198,0)</f>
        <v>17612</v>
      </c>
      <c r="D198" s="30">
        <v>7.0000000000000007E-2</v>
      </c>
      <c r="E198" s="29">
        <f>ROUND(产出与消耗!Q30*F198,0)</f>
        <v>24908</v>
      </c>
      <c r="F198" s="30">
        <v>0.09</v>
      </c>
      <c r="G198" s="29">
        <f>ROUND(产出与消耗!Q52*H198,0)</f>
        <v>22140</v>
      </c>
      <c r="H198" s="30">
        <v>0.11</v>
      </c>
    </row>
    <row r="199" spans="2:8">
      <c r="B199">
        <v>7</v>
      </c>
      <c r="C199" s="29">
        <f>ROUND(产出与消耗!Q9*D199,0)</f>
        <v>49660</v>
      </c>
      <c r="D199" s="30">
        <v>7.0000000000000007E-2</v>
      </c>
      <c r="E199" s="29">
        <f>ROUND(产出与消耗!Q31*F199,0)</f>
        <v>70234</v>
      </c>
      <c r="F199" s="30">
        <v>0.09</v>
      </c>
      <c r="G199" s="29">
        <f>ROUND(产出与消耗!Q53*H199,0)</f>
        <v>62430</v>
      </c>
      <c r="H199" s="30">
        <v>0.11</v>
      </c>
    </row>
    <row r="200" spans="2:8">
      <c r="B200">
        <v>8</v>
      </c>
      <c r="C200" s="29">
        <f>ROUND(产出与消耗!Q10*D200,0)</f>
        <v>250623</v>
      </c>
      <c r="D200" s="30">
        <v>7.0000000000000007E-2</v>
      </c>
      <c r="E200" s="29">
        <f>ROUND(产出与消耗!Q32*F200,0)</f>
        <v>354452</v>
      </c>
      <c r="F200" s="30">
        <v>0.09</v>
      </c>
      <c r="G200" s="29">
        <f>ROUND(产出与消耗!Q54*H200,0)</f>
        <v>315068</v>
      </c>
      <c r="H200" s="30">
        <v>0.11</v>
      </c>
    </row>
    <row r="201" spans="2:8">
      <c r="B201">
        <v>9</v>
      </c>
      <c r="C201" s="29">
        <f>ROUND(产出与消耗!Q11*D201,0)</f>
        <v>595319</v>
      </c>
      <c r="D201" s="30">
        <v>7.0000000000000007E-2</v>
      </c>
      <c r="E201" s="29">
        <f>ROUND(产出与消耗!Q33*F201,0)</f>
        <v>841952</v>
      </c>
      <c r="F201" s="30">
        <v>0.09</v>
      </c>
      <c r="G201" s="29">
        <f>ROUND(产出与消耗!Q55*H201,0)</f>
        <v>748401</v>
      </c>
      <c r="H201" s="30">
        <v>0.11</v>
      </c>
    </row>
    <row r="202" spans="2:8">
      <c r="B202">
        <v>10</v>
      </c>
      <c r="C202" s="29">
        <f>ROUND(产出与消耗!Q12*D202,0)</f>
        <v>1944676</v>
      </c>
      <c r="D202" s="30">
        <v>7.0000000000000007E-2</v>
      </c>
      <c r="E202" s="29">
        <f>ROUND(产出与消耗!Q34*F202,0)</f>
        <v>2750327</v>
      </c>
      <c r="F202" s="30">
        <v>0.09</v>
      </c>
      <c r="G202" s="29">
        <f>ROUND(产出与消耗!Q56*H202,0)</f>
        <v>2444735</v>
      </c>
      <c r="H202" s="30">
        <v>0.11</v>
      </c>
    </row>
    <row r="203" spans="2:8">
      <c r="B203">
        <v>11</v>
      </c>
      <c r="C203" s="29">
        <f>ROUND(产出与消耗!Q13*D203,0)</f>
        <v>3980085</v>
      </c>
      <c r="D203" s="30">
        <v>7.0000000000000007E-2</v>
      </c>
      <c r="E203" s="29">
        <f>ROUND(产出与消耗!Q35*F203,0)</f>
        <v>5628978</v>
      </c>
      <c r="F203" s="30">
        <v>0.09</v>
      </c>
      <c r="G203" s="29">
        <f>ROUND(产出与消耗!Q57*H203,0)</f>
        <v>5003536</v>
      </c>
      <c r="H203" s="30">
        <v>0.11</v>
      </c>
    </row>
    <row r="204" spans="2:8">
      <c r="B204">
        <v>12</v>
      </c>
      <c r="C204" s="29">
        <f>ROUND(产出与消耗!Q14*D204,0)</f>
        <v>11253903</v>
      </c>
      <c r="D204" s="30">
        <v>7.0000000000000007E-2</v>
      </c>
      <c r="E204" s="29">
        <f>ROUND(产出与消耗!Q36*F204,0)</f>
        <v>15916234</v>
      </c>
      <c r="F204" s="30">
        <v>0.09</v>
      </c>
      <c r="G204" s="29">
        <f>ROUND(产出与消耗!Q58*H204,0)</f>
        <v>14147764</v>
      </c>
      <c r="H204" s="30">
        <v>0.11</v>
      </c>
    </row>
    <row r="205" spans="2:8">
      <c r="B205">
        <v>13</v>
      </c>
      <c r="C205" s="29">
        <f>ROUND(产出与消耗!Q15*D205,0)</f>
        <v>21825751</v>
      </c>
      <c r="D205" s="30">
        <v>7.0000000000000007E-2</v>
      </c>
      <c r="E205" s="29">
        <f>ROUND(产出与消耗!Q37*F205,0)</f>
        <v>30867848</v>
      </c>
      <c r="F205" s="30">
        <v>0.09</v>
      </c>
      <c r="G205" s="29">
        <f>ROUND(产出与消耗!Q59*H205,0)</f>
        <v>27438087</v>
      </c>
      <c r="H205" s="30">
        <v>0.11</v>
      </c>
    </row>
    <row r="206" spans="2:8">
      <c r="B206">
        <v>14</v>
      </c>
      <c r="C206" s="29">
        <f>ROUND(产出与消耗!Q16*D206,0)</f>
        <v>45582528</v>
      </c>
      <c r="D206" s="30">
        <v>7.0000000000000007E-2</v>
      </c>
      <c r="E206" s="29">
        <f>ROUND(产出与消耗!Q38*F206,0)</f>
        <v>64466718</v>
      </c>
      <c r="F206" s="30">
        <v>0.09</v>
      </c>
      <c r="G206" s="29">
        <f>ROUND(产出与消耗!Q60*H206,0)</f>
        <v>57303749</v>
      </c>
      <c r="H206" s="30">
        <v>0.11</v>
      </c>
    </row>
    <row r="207" spans="2:8">
      <c r="B207">
        <v>15</v>
      </c>
      <c r="C207" s="29">
        <f>ROUND(产出与消耗!Q17*D207,0)</f>
        <v>74813760</v>
      </c>
      <c r="D207" s="30">
        <v>7.0000000000000007E-2</v>
      </c>
      <c r="E207" s="29">
        <f>ROUND(产出与消耗!Q39*F207,0)</f>
        <v>105808032</v>
      </c>
      <c r="F207" s="30">
        <v>0.09</v>
      </c>
      <c r="G207" s="29">
        <f>ROUND(产出与消耗!Q61*H207,0)</f>
        <v>94051584</v>
      </c>
      <c r="H207" s="30">
        <v>0.11</v>
      </c>
    </row>
    <row r="208" spans="2:8">
      <c r="B208">
        <v>16</v>
      </c>
      <c r="C208" s="29">
        <f>ROUND(产出与消耗!Q18*D208,0)</f>
        <v>135884392</v>
      </c>
      <c r="D208" s="30">
        <v>7.0000000000000007E-2</v>
      </c>
      <c r="E208" s="29">
        <f>ROUND(产出与消耗!Q40*F208,0)</f>
        <v>192179354</v>
      </c>
      <c r="F208" s="30">
        <v>0.09</v>
      </c>
      <c r="G208" s="29">
        <f>ROUND(产出与消耗!Q62*H208,0)</f>
        <v>170826092</v>
      </c>
      <c r="H208" s="30">
        <v>0.11</v>
      </c>
    </row>
    <row r="209" spans="1:10">
      <c r="B209">
        <v>17</v>
      </c>
      <c r="C209" s="29">
        <f>ROUND(产出与消耗!Q19*D209,0)</f>
        <v>202943899</v>
      </c>
      <c r="D209" s="30">
        <v>7.0000000000000007E-2</v>
      </c>
      <c r="E209" s="29">
        <f>ROUND(产出与消耗!Q41*F209,0)</f>
        <v>287020657</v>
      </c>
      <c r="F209" s="30">
        <v>0.09</v>
      </c>
      <c r="G209" s="29">
        <f>ROUND(产出与消耗!Q63*H209,0)</f>
        <v>255129473</v>
      </c>
      <c r="H209" s="30">
        <v>0.11</v>
      </c>
    </row>
    <row r="210" spans="1:10">
      <c r="B210">
        <v>18</v>
      </c>
      <c r="C210" s="29">
        <f>ROUND(产出与消耗!Q20*D210,0)</f>
        <v>338958950</v>
      </c>
      <c r="D210" s="30">
        <v>7.0000000000000007E-2</v>
      </c>
      <c r="E210" s="29">
        <f>ROUND(产出与消耗!Q42*F210,0)</f>
        <v>479384801</v>
      </c>
      <c r="F210" s="30">
        <v>0.09</v>
      </c>
      <c r="G210" s="29">
        <f>ROUND(产出与消耗!Q64*H210,0)</f>
        <v>426119823</v>
      </c>
      <c r="H210" s="30">
        <v>0.11</v>
      </c>
    </row>
    <row r="211" spans="1:10">
      <c r="B211">
        <v>19</v>
      </c>
      <c r="C211" s="29">
        <f>ROUND(产出与消耗!Q21*D211,0)</f>
        <v>542127739</v>
      </c>
      <c r="D211" s="30">
        <v>7.0000000000000007E-2</v>
      </c>
      <c r="E211" s="29">
        <f>ROUND(产出与消耗!Q43*F211,0)</f>
        <v>766723516</v>
      </c>
      <c r="F211" s="30">
        <v>0.09</v>
      </c>
      <c r="G211" s="29">
        <f>ROUND(产出与消耗!Q65*H211,0)</f>
        <v>681532014</v>
      </c>
      <c r="H211" s="30">
        <v>0.11</v>
      </c>
    </row>
    <row r="212" spans="1:10">
      <c r="B212">
        <v>20</v>
      </c>
      <c r="C212" s="29">
        <f>ROUND(产出与消耗!Q22*D212,0)</f>
        <v>873398938</v>
      </c>
      <c r="D212" s="30">
        <v>7.0000000000000007E-2</v>
      </c>
      <c r="E212" s="29">
        <f>ROUND(产出与消耗!Q44*F212,0)</f>
        <v>1235235640</v>
      </c>
      <c r="F212" s="30">
        <v>0.09</v>
      </c>
      <c r="G212" s="29">
        <f>ROUND(产出与消耗!Q66*H212,0)</f>
        <v>1097987236</v>
      </c>
      <c r="H212" s="30">
        <v>0.11</v>
      </c>
    </row>
    <row r="213" spans="1:10" s="28" customFormat="1">
      <c r="A213" s="28" t="s">
        <v>86</v>
      </c>
      <c r="C213" s="29"/>
      <c r="D213" s="32"/>
      <c r="E213" s="29"/>
      <c r="F213" s="32"/>
      <c r="G213" s="29"/>
      <c r="H213" s="32"/>
      <c r="I213" s="35"/>
      <c r="J213" s="32"/>
    </row>
    <row r="214" spans="1:10">
      <c r="A214" s="1"/>
      <c r="B214">
        <v>1</v>
      </c>
      <c r="C214" s="29">
        <f>ROUND(产出与消耗!Q3*D214,0)</f>
        <v>4</v>
      </c>
      <c r="D214" s="30">
        <v>0.04</v>
      </c>
      <c r="E214" s="29">
        <f>ROUND(产出与消耗!Q25*F214,0)</f>
        <v>5</v>
      </c>
      <c r="F214" s="30">
        <v>0.05</v>
      </c>
      <c r="G214" s="29">
        <f>ROUND(产出与消耗!Q47*H214,0)</f>
        <v>2</v>
      </c>
      <c r="H214" s="30">
        <v>0.03</v>
      </c>
    </row>
    <row r="215" spans="1:10">
      <c r="A215" s="1"/>
      <c r="B215">
        <v>2</v>
      </c>
      <c r="C215" s="29">
        <f>ROUND(产出与消耗!Q4*D215,0)</f>
        <v>41</v>
      </c>
      <c r="D215" s="30">
        <v>0.04</v>
      </c>
      <c r="E215" s="29">
        <f>ROUND(产出与消耗!Q26*F215,0)</f>
        <v>57</v>
      </c>
      <c r="F215" s="30">
        <v>0.05</v>
      </c>
      <c r="G215" s="29">
        <f>ROUND(产出与消耗!Q48*H215,0)</f>
        <v>25</v>
      </c>
      <c r="H215" s="30">
        <v>0.03</v>
      </c>
    </row>
    <row r="216" spans="1:10">
      <c r="A216" s="1"/>
      <c r="B216">
        <v>3</v>
      </c>
      <c r="C216" s="29">
        <f>ROUND(产出与消耗!Q5*D216,0)</f>
        <v>270</v>
      </c>
      <c r="D216" s="30">
        <v>0.04</v>
      </c>
      <c r="E216" s="29">
        <f>ROUND(产出与消耗!Q27*F216,0)</f>
        <v>371</v>
      </c>
      <c r="F216" s="30">
        <v>0.05</v>
      </c>
      <c r="G216" s="29">
        <f>ROUND(产出与消耗!Q49*H216,0)</f>
        <v>162</v>
      </c>
      <c r="H216" s="30">
        <v>0.03</v>
      </c>
    </row>
    <row r="217" spans="1:10">
      <c r="A217" s="1"/>
      <c r="B217">
        <v>4</v>
      </c>
      <c r="C217" s="29">
        <f>ROUND(产出与消耗!Q6*D217,0)</f>
        <v>1089</v>
      </c>
      <c r="D217" s="30">
        <v>0.04</v>
      </c>
      <c r="E217" s="29">
        <f>ROUND(产出与消耗!Q28*F217,0)</f>
        <v>1497</v>
      </c>
      <c r="F217" s="30">
        <v>0.05</v>
      </c>
      <c r="G217" s="29">
        <f>ROUND(产出与消耗!Q50*H217,0)</f>
        <v>653</v>
      </c>
      <c r="H217" s="30">
        <v>0.03</v>
      </c>
    </row>
    <row r="218" spans="1:10">
      <c r="A218" s="1"/>
      <c r="B218">
        <v>5</v>
      </c>
      <c r="C218" s="29">
        <f>ROUND(产出与消耗!Q7*D218,0)</f>
        <v>3525</v>
      </c>
      <c r="D218" s="30">
        <v>0.04</v>
      </c>
      <c r="E218" s="29">
        <f>ROUND(产出与消耗!Q29*F218,0)</f>
        <v>4847</v>
      </c>
      <c r="F218" s="30">
        <v>0.05</v>
      </c>
      <c r="G218" s="29">
        <f>ROUND(产出与消耗!Q51*H218,0)</f>
        <v>2115</v>
      </c>
      <c r="H218" s="30">
        <v>0.03</v>
      </c>
    </row>
    <row r="219" spans="1:10">
      <c r="A219" s="1"/>
      <c r="B219">
        <v>6</v>
      </c>
      <c r="C219" s="29">
        <f>ROUND(产出与消耗!Q8*D219,0)</f>
        <v>10064</v>
      </c>
      <c r="D219" s="30">
        <v>0.04</v>
      </c>
      <c r="E219" s="29">
        <f>ROUND(产出与消耗!Q30*F219,0)</f>
        <v>13838</v>
      </c>
      <c r="F219" s="30">
        <v>0.05</v>
      </c>
      <c r="G219" s="29">
        <f>ROUND(产出与消耗!Q52*H219,0)</f>
        <v>6038</v>
      </c>
      <c r="H219" s="30">
        <v>0.03</v>
      </c>
    </row>
    <row r="220" spans="1:10">
      <c r="A220" s="1"/>
      <c r="B220">
        <v>7</v>
      </c>
      <c r="C220" s="29">
        <f>ROUND(产出与消耗!Q9*D220,0)</f>
        <v>28377</v>
      </c>
      <c r="D220" s="30">
        <v>0.04</v>
      </c>
      <c r="E220" s="29">
        <f>ROUND(产出与消耗!Q31*F220,0)</f>
        <v>39019</v>
      </c>
      <c r="F220" s="30">
        <v>0.05</v>
      </c>
      <c r="G220" s="29">
        <f>ROUND(产出与消耗!Q53*H220,0)</f>
        <v>17026</v>
      </c>
      <c r="H220" s="30">
        <v>0.03</v>
      </c>
    </row>
    <row r="221" spans="1:10">
      <c r="A221" s="1"/>
      <c r="B221">
        <v>8</v>
      </c>
      <c r="C221" s="29">
        <f>ROUND(产出与消耗!Q10*D221,0)</f>
        <v>143213</v>
      </c>
      <c r="D221" s="30">
        <v>0.04</v>
      </c>
      <c r="E221" s="29">
        <f>ROUND(产出与消耗!Q32*F221,0)</f>
        <v>196918</v>
      </c>
      <c r="F221" s="30">
        <v>0.05</v>
      </c>
      <c r="G221" s="29">
        <f>ROUND(产出与消耗!Q54*H221,0)</f>
        <v>85928</v>
      </c>
      <c r="H221" s="30">
        <v>0.03</v>
      </c>
    </row>
    <row r="222" spans="1:10">
      <c r="A222" s="1"/>
      <c r="B222">
        <v>9</v>
      </c>
      <c r="C222" s="29">
        <f>ROUND(产出与消耗!Q11*D222,0)</f>
        <v>340182</v>
      </c>
      <c r="D222" s="30">
        <v>0.04</v>
      </c>
      <c r="E222" s="29">
        <f>ROUND(产出与消耗!Q33*F222,0)</f>
        <v>467751</v>
      </c>
      <c r="F222" s="30">
        <v>0.05</v>
      </c>
      <c r="G222" s="29">
        <f>ROUND(产出与消耗!Q55*H222,0)</f>
        <v>204109</v>
      </c>
      <c r="H222" s="30">
        <v>0.03</v>
      </c>
    </row>
    <row r="223" spans="1:10">
      <c r="A223" s="1"/>
      <c r="B223">
        <v>10</v>
      </c>
      <c r="C223" s="29">
        <f>ROUND(产出与消耗!Q12*D223,0)</f>
        <v>1111243</v>
      </c>
      <c r="D223" s="30">
        <v>0.04</v>
      </c>
      <c r="E223" s="29">
        <f>ROUND(产出与消耗!Q34*F223,0)</f>
        <v>1527959</v>
      </c>
      <c r="F223" s="30">
        <v>0.05</v>
      </c>
      <c r="G223" s="29">
        <f>ROUND(产出与消耗!Q56*H223,0)</f>
        <v>666746</v>
      </c>
      <c r="H223" s="30">
        <v>0.03</v>
      </c>
    </row>
    <row r="224" spans="1:10">
      <c r="A224" s="1"/>
      <c r="B224">
        <v>11</v>
      </c>
      <c r="C224" s="29">
        <f>ROUND(产出与消耗!Q13*D224,0)</f>
        <v>2274334</v>
      </c>
      <c r="D224" s="30">
        <v>0.04</v>
      </c>
      <c r="E224" s="29">
        <f>ROUND(产出与消耗!Q35*F224,0)</f>
        <v>3127210</v>
      </c>
      <c r="F224" s="30">
        <v>0.05</v>
      </c>
      <c r="G224" s="29">
        <f>ROUND(产出与消耗!Q57*H224,0)</f>
        <v>1364601</v>
      </c>
      <c r="H224" s="30">
        <v>0.03</v>
      </c>
    </row>
    <row r="225" spans="1:10">
      <c r="A225" s="1"/>
      <c r="B225">
        <v>12</v>
      </c>
      <c r="C225" s="29">
        <f>ROUND(产出与消耗!Q14*D225,0)</f>
        <v>6430802</v>
      </c>
      <c r="D225" s="30">
        <v>0.04</v>
      </c>
      <c r="E225" s="29">
        <f>ROUND(产出与消耗!Q36*F225,0)</f>
        <v>8842352</v>
      </c>
      <c r="F225" s="30">
        <v>0.05</v>
      </c>
      <c r="G225" s="29">
        <f>ROUND(产出与消耗!Q58*H225,0)</f>
        <v>3858481</v>
      </c>
      <c r="H225" s="30">
        <v>0.03</v>
      </c>
    </row>
    <row r="226" spans="1:10">
      <c r="A226" s="1"/>
      <c r="B226">
        <v>13</v>
      </c>
      <c r="C226" s="29">
        <f>ROUND(产出与消耗!Q15*D226,0)</f>
        <v>12471858</v>
      </c>
      <c r="D226" s="30">
        <v>0.04</v>
      </c>
      <c r="E226" s="29">
        <f>ROUND(产出与消耗!Q37*F226,0)</f>
        <v>17148805</v>
      </c>
      <c r="F226" s="30">
        <v>0.05</v>
      </c>
      <c r="G226" s="29">
        <f>ROUND(产出与消耗!Q59*H226,0)</f>
        <v>7483115</v>
      </c>
      <c r="H226" s="30">
        <v>0.03</v>
      </c>
    </row>
    <row r="227" spans="1:10">
      <c r="A227" s="1"/>
      <c r="B227">
        <v>14</v>
      </c>
      <c r="C227" s="29">
        <f>ROUND(产出与消耗!Q16*D227,0)</f>
        <v>26047159</v>
      </c>
      <c r="D227" s="30">
        <v>0.04</v>
      </c>
      <c r="E227" s="29">
        <f>ROUND(产出与消耗!Q38*F227,0)</f>
        <v>35814843</v>
      </c>
      <c r="F227" s="30">
        <v>0.05</v>
      </c>
      <c r="G227" s="29">
        <f>ROUND(产出与消耗!Q60*H227,0)</f>
        <v>15628295</v>
      </c>
      <c r="H227" s="30">
        <v>0.03</v>
      </c>
    </row>
    <row r="228" spans="1:10">
      <c r="A228" s="1"/>
      <c r="B228">
        <v>15</v>
      </c>
      <c r="C228" s="29">
        <f>ROUND(产出与消耗!Q17*D228,0)</f>
        <v>42750720</v>
      </c>
      <c r="D228" s="30">
        <v>0.04</v>
      </c>
      <c r="E228" s="29">
        <f>ROUND(产出与消耗!Q39*F228,0)</f>
        <v>58782240</v>
      </c>
      <c r="F228" s="30">
        <v>0.05</v>
      </c>
      <c r="G228" s="29">
        <f>ROUND(产出与消耗!Q61*H228,0)</f>
        <v>25650432</v>
      </c>
      <c r="H228" s="30">
        <v>0.03</v>
      </c>
    </row>
    <row r="229" spans="1:10">
      <c r="A229" s="1"/>
      <c r="B229">
        <v>16</v>
      </c>
      <c r="C229" s="29">
        <f>ROUND(产出与消耗!Q18*D229,0)</f>
        <v>77648224</v>
      </c>
      <c r="D229" s="30">
        <v>0.04</v>
      </c>
      <c r="E229" s="29">
        <f>ROUND(产出与消耗!Q40*F229,0)</f>
        <v>106766308</v>
      </c>
      <c r="F229" s="30">
        <v>0.05</v>
      </c>
      <c r="G229" s="29">
        <f>ROUND(产出与消耗!Q62*H229,0)</f>
        <v>46588934</v>
      </c>
      <c r="H229" s="30">
        <v>0.03</v>
      </c>
    </row>
    <row r="230" spans="1:10">
      <c r="A230" s="1"/>
      <c r="B230">
        <v>17</v>
      </c>
      <c r="C230" s="29">
        <f>ROUND(产出与消耗!Q19*D230,0)</f>
        <v>115967942</v>
      </c>
      <c r="D230" s="30">
        <v>0.04</v>
      </c>
      <c r="E230" s="29">
        <f>ROUND(产出与消耗!Q41*F230,0)</f>
        <v>159455920</v>
      </c>
      <c r="F230" s="30">
        <v>0.05</v>
      </c>
      <c r="G230" s="29">
        <f>ROUND(产出与消耗!Q63*H230,0)</f>
        <v>69580765</v>
      </c>
      <c r="H230" s="30">
        <v>0.03</v>
      </c>
    </row>
    <row r="231" spans="1:10">
      <c r="A231" s="1"/>
      <c r="B231">
        <v>18</v>
      </c>
      <c r="C231" s="29">
        <f>ROUND(产出与消耗!Q20*D231,0)</f>
        <v>193690829</v>
      </c>
      <c r="D231" s="30">
        <v>0.04</v>
      </c>
      <c r="E231" s="29">
        <f>ROUND(产出与消耗!Q42*F231,0)</f>
        <v>266324890</v>
      </c>
      <c r="F231" s="30">
        <v>0.05</v>
      </c>
      <c r="G231" s="29">
        <f>ROUND(产出与消耗!Q64*H231,0)</f>
        <v>116214497</v>
      </c>
      <c r="H231" s="30">
        <v>0.03</v>
      </c>
    </row>
    <row r="232" spans="1:10">
      <c r="A232" s="1"/>
      <c r="B232">
        <v>19</v>
      </c>
      <c r="C232" s="29">
        <f>ROUND(产出与消耗!Q21*D232,0)</f>
        <v>309787279</v>
      </c>
      <c r="D232" s="30">
        <v>0.04</v>
      </c>
      <c r="E232" s="29">
        <f>ROUND(产出与消耗!Q43*F232,0)</f>
        <v>425957509</v>
      </c>
      <c r="F232" s="30">
        <v>0.05</v>
      </c>
      <c r="G232" s="29">
        <f>ROUND(产出与消耗!Q65*H232,0)</f>
        <v>185872368</v>
      </c>
      <c r="H232" s="30">
        <v>0.03</v>
      </c>
    </row>
    <row r="233" spans="1:10">
      <c r="A233" s="1"/>
      <c r="B233">
        <v>20</v>
      </c>
      <c r="C233" s="29">
        <f>ROUND(产出与消耗!Q22*D233,0)</f>
        <v>499085107</v>
      </c>
      <c r="D233" s="30">
        <v>0.04</v>
      </c>
      <c r="E233" s="29">
        <f>ROUND(产出与消耗!Q44*F233,0)</f>
        <v>686242022</v>
      </c>
      <c r="F233" s="30">
        <v>0.05</v>
      </c>
      <c r="G233" s="29">
        <f>ROUND(产出与消耗!Q66*H233,0)</f>
        <v>299451064</v>
      </c>
      <c r="H233" s="30">
        <v>0.03</v>
      </c>
    </row>
    <row r="234" spans="1:10" s="28" customFormat="1">
      <c r="A234" s="28" t="s">
        <v>87</v>
      </c>
      <c r="C234" s="29"/>
      <c r="D234" s="32"/>
      <c r="E234" s="29"/>
      <c r="F234" s="32"/>
      <c r="G234" s="29"/>
      <c r="H234" s="32"/>
      <c r="I234" s="35"/>
      <c r="J234" s="32"/>
    </row>
    <row r="235" spans="1:10">
      <c r="A235" s="1"/>
      <c r="B235">
        <v>1</v>
      </c>
      <c r="C235" s="29">
        <f>ROUND(产出与消耗!Q3*D235,0)</f>
        <v>2</v>
      </c>
      <c r="D235" s="30">
        <v>0.02</v>
      </c>
      <c r="E235" s="29">
        <f>ROUND(产出与消耗!Q25*F235,0)</f>
        <v>3</v>
      </c>
      <c r="F235" s="30">
        <v>0.03</v>
      </c>
      <c r="G235" s="29">
        <f>ROUND(产出与消耗!Q47*H235,0)</f>
        <v>4</v>
      </c>
      <c r="H235" s="30">
        <v>0.05</v>
      </c>
    </row>
    <row r="236" spans="1:10">
      <c r="A236" s="1"/>
      <c r="B236">
        <v>2</v>
      </c>
      <c r="C236" s="29">
        <f>ROUND(产出与消耗!Q4*D236,0)</f>
        <v>21</v>
      </c>
      <c r="D236" s="30">
        <v>0.02</v>
      </c>
      <c r="E236" s="29">
        <f>ROUND(产出与消耗!Q26*F236,0)</f>
        <v>34</v>
      </c>
      <c r="F236" s="30">
        <v>0.03</v>
      </c>
      <c r="G236" s="29">
        <f>ROUND(产出与消耗!Q48*H236,0)</f>
        <v>41</v>
      </c>
      <c r="H236" s="30">
        <v>0.05</v>
      </c>
    </row>
    <row r="237" spans="1:10">
      <c r="A237" s="1"/>
      <c r="B237">
        <v>3</v>
      </c>
      <c r="C237" s="29">
        <f>ROUND(产出与消耗!Q5*D237,0)</f>
        <v>135</v>
      </c>
      <c r="D237" s="30">
        <v>0.02</v>
      </c>
      <c r="E237" s="29">
        <f>ROUND(产出与消耗!Q27*F237,0)</f>
        <v>222</v>
      </c>
      <c r="F237" s="30">
        <v>0.03</v>
      </c>
      <c r="G237" s="29">
        <f>ROUND(产出与消耗!Q49*H237,0)</f>
        <v>270</v>
      </c>
      <c r="H237" s="30">
        <v>0.05</v>
      </c>
    </row>
    <row r="238" spans="1:10">
      <c r="A238" s="1"/>
      <c r="B238">
        <v>4</v>
      </c>
      <c r="C238" s="29">
        <f>ROUND(产出与消耗!Q6*D238,0)</f>
        <v>544</v>
      </c>
      <c r="D238" s="30">
        <v>0.02</v>
      </c>
      <c r="E238" s="29">
        <f>ROUND(产出与消耗!Q28*F238,0)</f>
        <v>898</v>
      </c>
      <c r="F238" s="30">
        <v>0.03</v>
      </c>
      <c r="G238" s="29">
        <f>ROUND(产出与消耗!Q50*H238,0)</f>
        <v>1089</v>
      </c>
      <c r="H238" s="30">
        <v>0.05</v>
      </c>
    </row>
    <row r="239" spans="1:10">
      <c r="A239" s="1"/>
      <c r="B239">
        <v>5</v>
      </c>
      <c r="C239" s="29">
        <f>ROUND(产出与消耗!Q7*D239,0)</f>
        <v>1763</v>
      </c>
      <c r="D239" s="30">
        <v>0.02</v>
      </c>
      <c r="E239" s="29">
        <f>ROUND(产出与消耗!Q29*F239,0)</f>
        <v>2908</v>
      </c>
      <c r="F239" s="30">
        <v>0.03</v>
      </c>
      <c r="G239" s="29">
        <f>ROUND(产出与消耗!Q51*H239,0)</f>
        <v>3525</v>
      </c>
      <c r="H239" s="30">
        <v>0.05</v>
      </c>
    </row>
    <row r="240" spans="1:10">
      <c r="A240" s="1"/>
      <c r="B240">
        <v>6</v>
      </c>
      <c r="C240" s="29">
        <f>ROUND(产出与消耗!Q8*D240,0)</f>
        <v>5032</v>
      </c>
      <c r="D240" s="30">
        <v>0.02</v>
      </c>
      <c r="E240" s="29">
        <f>ROUND(产出与消耗!Q30*F240,0)</f>
        <v>8303</v>
      </c>
      <c r="F240" s="30">
        <v>0.03</v>
      </c>
      <c r="G240" s="29">
        <f>ROUND(产出与消耗!Q52*H240,0)</f>
        <v>10064</v>
      </c>
      <c r="H240" s="30">
        <v>0.05</v>
      </c>
    </row>
    <row r="241" spans="1:10">
      <c r="A241" s="1"/>
      <c r="B241">
        <v>7</v>
      </c>
      <c r="C241" s="29">
        <f>ROUND(产出与消耗!Q9*D241,0)</f>
        <v>14189</v>
      </c>
      <c r="D241" s="30">
        <v>0.02</v>
      </c>
      <c r="E241" s="29">
        <f>ROUND(产出与消耗!Q31*F241,0)</f>
        <v>23411</v>
      </c>
      <c r="F241" s="30">
        <v>0.03</v>
      </c>
      <c r="G241" s="29">
        <f>ROUND(产出与消耗!Q53*H241,0)</f>
        <v>28377</v>
      </c>
      <c r="H241" s="30">
        <v>0.05</v>
      </c>
    </row>
    <row r="242" spans="1:10">
      <c r="A242" s="1"/>
      <c r="B242">
        <v>8</v>
      </c>
      <c r="C242" s="29">
        <f>ROUND(产出与消耗!Q10*D242,0)</f>
        <v>71606</v>
      </c>
      <c r="D242" s="30">
        <v>0.02</v>
      </c>
      <c r="E242" s="29">
        <f>ROUND(产出与消耗!Q32*F242,0)</f>
        <v>118151</v>
      </c>
      <c r="F242" s="30">
        <v>0.03</v>
      </c>
      <c r="G242" s="29">
        <f>ROUND(产出与消耗!Q54*H242,0)</f>
        <v>143213</v>
      </c>
      <c r="H242" s="30">
        <v>0.05</v>
      </c>
    </row>
    <row r="243" spans="1:10">
      <c r="A243" s="1"/>
      <c r="B243">
        <v>9</v>
      </c>
      <c r="C243" s="29">
        <f>ROUND(产出与消耗!Q11*D243,0)</f>
        <v>170091</v>
      </c>
      <c r="D243" s="30">
        <v>0.02</v>
      </c>
      <c r="E243" s="29">
        <f>ROUND(产出与消耗!Q33*F243,0)</f>
        <v>280651</v>
      </c>
      <c r="F243" s="30">
        <v>0.03</v>
      </c>
      <c r="G243" s="29">
        <f>ROUND(产出与消耗!Q55*H243,0)</f>
        <v>340182</v>
      </c>
      <c r="H243" s="30">
        <v>0.05</v>
      </c>
    </row>
    <row r="244" spans="1:10">
      <c r="A244" s="1"/>
      <c r="B244">
        <v>10</v>
      </c>
      <c r="C244" s="29">
        <f>ROUND(产出与消耗!Q12*D244,0)</f>
        <v>555622</v>
      </c>
      <c r="D244" s="30">
        <v>0.02</v>
      </c>
      <c r="E244" s="29">
        <f>ROUND(产出与消耗!Q34*F244,0)</f>
        <v>916776</v>
      </c>
      <c r="F244" s="30">
        <v>0.03</v>
      </c>
      <c r="G244" s="29">
        <f>ROUND(产出与消耗!Q56*H244,0)</f>
        <v>1111243</v>
      </c>
      <c r="H244" s="30">
        <v>0.05</v>
      </c>
    </row>
    <row r="245" spans="1:10">
      <c r="A245" s="1"/>
      <c r="B245">
        <v>11</v>
      </c>
      <c r="C245" s="29">
        <f>ROUND(产出与消耗!Q13*D245,0)</f>
        <v>1137167</v>
      </c>
      <c r="D245" s="30">
        <v>0.02</v>
      </c>
      <c r="E245" s="29">
        <f>ROUND(产出与消耗!Q35*F245,0)</f>
        <v>1876326</v>
      </c>
      <c r="F245" s="30">
        <v>0.03</v>
      </c>
      <c r="G245" s="29">
        <f>ROUND(产出与消耗!Q57*H245,0)</f>
        <v>2274334</v>
      </c>
      <c r="H245" s="30">
        <v>0.05</v>
      </c>
    </row>
    <row r="246" spans="1:10">
      <c r="A246" s="1"/>
      <c r="B246">
        <v>12</v>
      </c>
      <c r="C246" s="29">
        <f>ROUND(产出与消耗!Q14*D246,0)</f>
        <v>3215401</v>
      </c>
      <c r="D246" s="30">
        <v>0.02</v>
      </c>
      <c r="E246" s="29">
        <f>ROUND(产出与消耗!Q36*F246,0)</f>
        <v>5305411</v>
      </c>
      <c r="F246" s="30">
        <v>0.03</v>
      </c>
      <c r="G246" s="29">
        <f>ROUND(产出与消耗!Q58*H246,0)</f>
        <v>6430802</v>
      </c>
      <c r="H246" s="30">
        <v>0.05</v>
      </c>
    </row>
    <row r="247" spans="1:10">
      <c r="A247" s="1"/>
      <c r="B247">
        <v>13</v>
      </c>
      <c r="C247" s="29">
        <f>ROUND(产出与消耗!Q15*D247,0)</f>
        <v>6235929</v>
      </c>
      <c r="D247" s="30">
        <v>0.02</v>
      </c>
      <c r="E247" s="29">
        <f>ROUND(产出与消耗!Q37*F247,0)</f>
        <v>10289283</v>
      </c>
      <c r="F247" s="30">
        <v>0.03</v>
      </c>
      <c r="G247" s="29">
        <f>ROUND(产出与消耗!Q59*H247,0)</f>
        <v>12471858</v>
      </c>
      <c r="H247" s="30">
        <v>0.05</v>
      </c>
    </row>
    <row r="248" spans="1:10">
      <c r="A248" s="1"/>
      <c r="B248">
        <v>14</v>
      </c>
      <c r="C248" s="29">
        <f>ROUND(产出与消耗!Q16*D248,0)</f>
        <v>13023579</v>
      </c>
      <c r="D248" s="30">
        <v>0.02</v>
      </c>
      <c r="E248" s="29">
        <f>ROUND(产出与消耗!Q38*F248,0)</f>
        <v>21488906</v>
      </c>
      <c r="F248" s="30">
        <v>0.03</v>
      </c>
      <c r="G248" s="29">
        <f>ROUND(产出与消耗!Q60*H248,0)</f>
        <v>26047159</v>
      </c>
      <c r="H248" s="30">
        <v>0.05</v>
      </c>
    </row>
    <row r="249" spans="1:10">
      <c r="A249" s="1"/>
      <c r="B249">
        <v>15</v>
      </c>
      <c r="C249" s="29">
        <f>ROUND(产出与消耗!Q17*D249,0)</f>
        <v>21375360</v>
      </c>
      <c r="D249" s="30">
        <v>0.02</v>
      </c>
      <c r="E249" s="29">
        <f>ROUND(产出与消耗!Q39*F249,0)</f>
        <v>35269344</v>
      </c>
      <c r="F249" s="30">
        <v>0.03</v>
      </c>
      <c r="G249" s="29">
        <f>ROUND(产出与消耗!Q61*H249,0)</f>
        <v>42750720</v>
      </c>
      <c r="H249" s="30">
        <v>0.05</v>
      </c>
    </row>
    <row r="250" spans="1:10">
      <c r="A250" s="1"/>
      <c r="B250">
        <v>16</v>
      </c>
      <c r="C250" s="29">
        <f>ROUND(产出与消耗!Q18*D250,0)</f>
        <v>38824112</v>
      </c>
      <c r="D250" s="30">
        <v>0.02</v>
      </c>
      <c r="E250" s="29">
        <f>ROUND(产出与消耗!Q40*F250,0)</f>
        <v>64059785</v>
      </c>
      <c r="F250" s="30">
        <v>0.03</v>
      </c>
      <c r="G250" s="29">
        <f>ROUND(产出与消耗!Q62*H250,0)</f>
        <v>77648224</v>
      </c>
      <c r="H250" s="30">
        <v>0.05</v>
      </c>
    </row>
    <row r="251" spans="1:10">
      <c r="A251" s="1"/>
      <c r="B251">
        <v>17</v>
      </c>
      <c r="C251" s="29">
        <f>ROUND(产出与消耗!Q19*D251,0)</f>
        <v>57983971</v>
      </c>
      <c r="D251" s="30">
        <v>0.02</v>
      </c>
      <c r="E251" s="29">
        <f>ROUND(产出与消耗!Q41*F251,0)</f>
        <v>95673552</v>
      </c>
      <c r="F251" s="30">
        <v>0.03</v>
      </c>
      <c r="G251" s="29">
        <f>ROUND(产出与消耗!Q63*H251,0)</f>
        <v>115967942</v>
      </c>
      <c r="H251" s="30">
        <v>0.05</v>
      </c>
    </row>
    <row r="252" spans="1:10">
      <c r="A252" s="1"/>
      <c r="B252">
        <v>18</v>
      </c>
      <c r="C252" s="29">
        <f>ROUND(产出与消耗!Q20*D252,0)</f>
        <v>96845414</v>
      </c>
      <c r="D252" s="30">
        <v>0.02</v>
      </c>
      <c r="E252" s="29">
        <f>ROUND(产出与消耗!Q42*F252,0)</f>
        <v>159794934</v>
      </c>
      <c r="F252" s="30">
        <v>0.03</v>
      </c>
      <c r="G252" s="29">
        <f>ROUND(产出与消耗!Q64*H252,0)</f>
        <v>193690829</v>
      </c>
      <c r="H252" s="30">
        <v>0.05</v>
      </c>
    </row>
    <row r="253" spans="1:10">
      <c r="A253" s="1"/>
      <c r="B253">
        <v>19</v>
      </c>
      <c r="C253" s="29">
        <f>ROUND(产出与消耗!Q21*D253,0)</f>
        <v>154893640</v>
      </c>
      <c r="D253" s="30">
        <v>0.02</v>
      </c>
      <c r="E253" s="29">
        <f>ROUND(产出与消耗!Q43*F253,0)</f>
        <v>255574505</v>
      </c>
      <c r="F253" s="30">
        <v>0.03</v>
      </c>
      <c r="G253" s="29">
        <f>ROUND(产出与消耗!Q65*H253,0)</f>
        <v>309787279</v>
      </c>
      <c r="H253" s="30">
        <v>0.05</v>
      </c>
    </row>
    <row r="254" spans="1:10">
      <c r="A254" s="1"/>
      <c r="B254">
        <v>20</v>
      </c>
      <c r="C254" s="29">
        <f>ROUND(产出与消耗!Q22*D254,0)</f>
        <v>249542554</v>
      </c>
      <c r="D254" s="30">
        <v>0.02</v>
      </c>
      <c r="E254" s="29">
        <f>ROUND(产出与消耗!Q44*F254,0)</f>
        <v>411745213</v>
      </c>
      <c r="F254" s="30">
        <v>0.03</v>
      </c>
      <c r="G254" s="29">
        <f>ROUND(产出与消耗!Q66*H254,0)</f>
        <v>499085107</v>
      </c>
      <c r="H254" s="30">
        <v>0.05</v>
      </c>
    </row>
    <row r="255" spans="1:10" s="28" customFormat="1">
      <c r="A255" s="28" t="s">
        <v>88</v>
      </c>
      <c r="C255" s="29"/>
      <c r="D255" s="32"/>
      <c r="E255" s="29"/>
      <c r="F255" s="32"/>
      <c r="G255" s="29"/>
      <c r="H255" s="32"/>
      <c r="I255" s="35"/>
      <c r="J255" s="32"/>
    </row>
    <row r="256" spans="1:10">
      <c r="A256" s="1"/>
      <c r="B256">
        <v>1</v>
      </c>
      <c r="C256" s="29">
        <f>ROUND(产出与消耗!Q3*D256,0)</f>
        <v>6</v>
      </c>
      <c r="D256" s="30">
        <v>0.06</v>
      </c>
      <c r="E256" s="29">
        <f>ROUND(产出与消耗!Q25*F256,0)</f>
        <v>2</v>
      </c>
      <c r="F256" s="30">
        <v>0.02</v>
      </c>
      <c r="G256" s="29">
        <f>ROUND(产出与消耗!Q47*H256,0)</f>
        <v>2</v>
      </c>
      <c r="H256" s="30">
        <v>0.03</v>
      </c>
    </row>
    <row r="257" spans="1:8">
      <c r="A257" s="1"/>
      <c r="B257">
        <v>2</v>
      </c>
      <c r="C257" s="29">
        <f>ROUND(产出与消耗!Q4*D257,0)</f>
        <v>62</v>
      </c>
      <c r="D257" s="30">
        <v>0.06</v>
      </c>
      <c r="E257" s="29">
        <f>ROUND(产出与消耗!Q26*F257,0)</f>
        <v>23</v>
      </c>
      <c r="F257" s="30">
        <v>0.02</v>
      </c>
      <c r="G257" s="29">
        <f>ROUND(产出与消耗!Q48*H257,0)</f>
        <v>25</v>
      </c>
      <c r="H257" s="30">
        <v>0.03</v>
      </c>
    </row>
    <row r="258" spans="1:8">
      <c r="A258" s="1"/>
      <c r="B258">
        <v>3</v>
      </c>
      <c r="C258" s="29">
        <f>ROUND(产出与消耗!Q5*D258,0)</f>
        <v>404</v>
      </c>
      <c r="D258" s="30">
        <v>0.06</v>
      </c>
      <c r="E258" s="29">
        <f>ROUND(产出与消耗!Q27*F258,0)</f>
        <v>148</v>
      </c>
      <c r="F258" s="30">
        <v>0.02</v>
      </c>
      <c r="G258" s="29">
        <f>ROUND(产出与消耗!Q49*H258,0)</f>
        <v>162</v>
      </c>
      <c r="H258" s="30">
        <v>0.03</v>
      </c>
    </row>
    <row r="259" spans="1:8">
      <c r="A259" s="1"/>
      <c r="B259">
        <v>4</v>
      </c>
      <c r="C259" s="29">
        <f>ROUND(产出与消耗!Q6*D259,0)</f>
        <v>1633</v>
      </c>
      <c r="D259" s="30">
        <v>0.06</v>
      </c>
      <c r="E259" s="29">
        <f>ROUND(产出与消耗!Q28*F259,0)</f>
        <v>599</v>
      </c>
      <c r="F259" s="30">
        <v>0.02</v>
      </c>
      <c r="G259" s="29">
        <f>ROUND(产出与消耗!Q50*H259,0)</f>
        <v>653</v>
      </c>
      <c r="H259" s="30">
        <v>0.03</v>
      </c>
    </row>
    <row r="260" spans="1:8">
      <c r="A260" s="1"/>
      <c r="B260">
        <v>5</v>
      </c>
      <c r="C260" s="29">
        <f>ROUND(产出与消耗!Q7*D260,0)</f>
        <v>5288</v>
      </c>
      <c r="D260" s="30">
        <v>0.06</v>
      </c>
      <c r="E260" s="29">
        <f>ROUND(产出与消耗!Q29*F260,0)</f>
        <v>1939</v>
      </c>
      <c r="F260" s="30">
        <v>0.02</v>
      </c>
      <c r="G260" s="29">
        <f>ROUND(产出与消耗!Q51*H260,0)</f>
        <v>2115</v>
      </c>
      <c r="H260" s="30">
        <v>0.03</v>
      </c>
    </row>
    <row r="261" spans="1:8">
      <c r="A261" s="1"/>
      <c r="B261">
        <v>6</v>
      </c>
      <c r="C261" s="29">
        <f>ROUND(产出与消耗!Q8*D261,0)</f>
        <v>15096</v>
      </c>
      <c r="D261" s="30">
        <v>0.06</v>
      </c>
      <c r="E261" s="29">
        <f>ROUND(产出与消耗!Q30*F261,0)</f>
        <v>5535</v>
      </c>
      <c r="F261" s="30">
        <v>0.02</v>
      </c>
      <c r="G261" s="29">
        <f>ROUND(产出与消耗!Q52*H261,0)</f>
        <v>6038</v>
      </c>
      <c r="H261" s="30">
        <v>0.03</v>
      </c>
    </row>
    <row r="262" spans="1:8">
      <c r="A262" s="1"/>
      <c r="B262">
        <v>7</v>
      </c>
      <c r="C262" s="29">
        <f>ROUND(产出与消耗!Q9*D262,0)</f>
        <v>42566</v>
      </c>
      <c r="D262" s="30">
        <v>0.06</v>
      </c>
      <c r="E262" s="29">
        <f>ROUND(产出与消耗!Q31*F262,0)</f>
        <v>15607</v>
      </c>
      <c r="F262" s="30">
        <v>0.02</v>
      </c>
      <c r="G262" s="29">
        <f>ROUND(产出与消耗!Q53*H262,0)</f>
        <v>17026</v>
      </c>
      <c r="H262" s="30">
        <v>0.03</v>
      </c>
    </row>
    <row r="263" spans="1:8">
      <c r="A263" s="1"/>
      <c r="B263">
        <v>8</v>
      </c>
      <c r="C263" s="29">
        <f>ROUND(产出与消耗!Q10*D263,0)</f>
        <v>214819</v>
      </c>
      <c r="D263" s="30">
        <v>0.06</v>
      </c>
      <c r="E263" s="29">
        <f>ROUND(产出与消耗!Q32*F263,0)</f>
        <v>78767</v>
      </c>
      <c r="F263" s="30">
        <v>0.02</v>
      </c>
      <c r="G263" s="29">
        <f>ROUND(产出与消耗!Q54*H263,0)</f>
        <v>85928</v>
      </c>
      <c r="H263" s="30">
        <v>0.03</v>
      </c>
    </row>
    <row r="264" spans="1:8">
      <c r="A264" s="1"/>
      <c r="B264">
        <v>9</v>
      </c>
      <c r="C264" s="29">
        <f>ROUND(产出与消耗!Q11*D264,0)</f>
        <v>510274</v>
      </c>
      <c r="D264" s="30">
        <v>0.06</v>
      </c>
      <c r="E264" s="29">
        <f>ROUND(产出与消耗!Q33*F264,0)</f>
        <v>187100</v>
      </c>
      <c r="F264" s="30">
        <v>0.02</v>
      </c>
      <c r="G264" s="29">
        <f>ROUND(产出与消耗!Q55*H264,0)</f>
        <v>204109</v>
      </c>
      <c r="H264" s="30">
        <v>0.03</v>
      </c>
    </row>
    <row r="265" spans="1:8">
      <c r="A265" s="1"/>
      <c r="B265">
        <v>10</v>
      </c>
      <c r="C265" s="29">
        <f>ROUND(产出与消耗!Q12*D265,0)</f>
        <v>1666865</v>
      </c>
      <c r="D265" s="30">
        <v>0.06</v>
      </c>
      <c r="E265" s="29">
        <f>ROUND(产出与消耗!Q34*F265,0)</f>
        <v>611184</v>
      </c>
      <c r="F265" s="30">
        <v>0.02</v>
      </c>
      <c r="G265" s="29">
        <f>ROUND(产出与消耗!Q56*H265,0)</f>
        <v>666746</v>
      </c>
      <c r="H265" s="30">
        <v>0.03</v>
      </c>
    </row>
    <row r="266" spans="1:8">
      <c r="A266" s="1"/>
      <c r="B266">
        <v>11</v>
      </c>
      <c r="C266" s="29">
        <f>ROUND(产出与消耗!Q13*D266,0)</f>
        <v>3411502</v>
      </c>
      <c r="D266" s="30">
        <v>0.06</v>
      </c>
      <c r="E266" s="29">
        <f>ROUND(产出与消耗!Q35*F266,0)</f>
        <v>1250884</v>
      </c>
      <c r="F266" s="30">
        <v>0.02</v>
      </c>
      <c r="G266" s="29">
        <f>ROUND(产出与消耗!Q57*H266,0)</f>
        <v>1364601</v>
      </c>
      <c r="H266" s="30">
        <v>0.03</v>
      </c>
    </row>
    <row r="267" spans="1:8">
      <c r="A267" s="1"/>
      <c r="B267">
        <v>12</v>
      </c>
      <c r="C267" s="29">
        <f>ROUND(产出与消耗!Q14*D267,0)</f>
        <v>9646203</v>
      </c>
      <c r="D267" s="30">
        <v>0.06</v>
      </c>
      <c r="E267" s="29">
        <f>ROUND(产出与消耗!Q36*F267,0)</f>
        <v>3536941</v>
      </c>
      <c r="F267" s="30">
        <v>0.02</v>
      </c>
      <c r="G267" s="29">
        <f>ROUND(产出与消耗!Q58*H267,0)</f>
        <v>3858481</v>
      </c>
      <c r="H267" s="30">
        <v>0.03</v>
      </c>
    </row>
    <row r="268" spans="1:8">
      <c r="A268" s="1"/>
      <c r="B268">
        <v>13</v>
      </c>
      <c r="C268" s="29">
        <f>ROUND(产出与消耗!Q15*D268,0)</f>
        <v>18707787</v>
      </c>
      <c r="D268" s="30">
        <v>0.06</v>
      </c>
      <c r="E268" s="29">
        <f>ROUND(产出与消耗!Q37*F268,0)</f>
        <v>6859522</v>
      </c>
      <c r="F268" s="30">
        <v>0.02</v>
      </c>
      <c r="G268" s="29">
        <f>ROUND(产出与消耗!Q59*H268,0)</f>
        <v>7483115</v>
      </c>
      <c r="H268" s="30">
        <v>0.03</v>
      </c>
    </row>
    <row r="269" spans="1:8">
      <c r="A269" s="1"/>
      <c r="B269">
        <v>14</v>
      </c>
      <c r="C269" s="29">
        <f>ROUND(产出与消耗!Q16*D269,0)</f>
        <v>39070738</v>
      </c>
      <c r="D269" s="30">
        <v>0.06</v>
      </c>
      <c r="E269" s="29">
        <f>ROUND(产出与消耗!Q38*F269,0)</f>
        <v>14325937</v>
      </c>
      <c r="F269" s="30">
        <v>0.02</v>
      </c>
      <c r="G269" s="29">
        <f>ROUND(产出与消耗!Q60*H269,0)</f>
        <v>15628295</v>
      </c>
      <c r="H269" s="30">
        <v>0.03</v>
      </c>
    </row>
    <row r="270" spans="1:8">
      <c r="A270" s="1"/>
      <c r="B270">
        <v>15</v>
      </c>
      <c r="C270" s="29">
        <f>ROUND(产出与消耗!Q17*D270,0)</f>
        <v>64126080</v>
      </c>
      <c r="D270" s="30">
        <v>0.06</v>
      </c>
      <c r="E270" s="29">
        <f>ROUND(产出与消耗!Q39*F270,0)</f>
        <v>23512896</v>
      </c>
      <c r="F270" s="30">
        <v>0.02</v>
      </c>
      <c r="G270" s="29">
        <f>ROUND(产出与消耗!Q61*H270,0)</f>
        <v>25650432</v>
      </c>
      <c r="H270" s="30">
        <v>0.03</v>
      </c>
    </row>
    <row r="271" spans="1:8">
      <c r="A271" s="1"/>
      <c r="B271">
        <v>16</v>
      </c>
      <c r="C271" s="29">
        <f>ROUND(产出与消耗!Q18*D271,0)</f>
        <v>116472336</v>
      </c>
      <c r="D271" s="30">
        <v>0.06</v>
      </c>
      <c r="E271" s="29">
        <f>ROUND(产出与消耗!Q40*F271,0)</f>
        <v>42706523</v>
      </c>
      <c r="F271" s="30">
        <v>0.02</v>
      </c>
      <c r="G271" s="29">
        <f>ROUND(产出与消耗!Q62*H271,0)</f>
        <v>46588934</v>
      </c>
      <c r="H271" s="30">
        <v>0.03</v>
      </c>
    </row>
    <row r="272" spans="1:8">
      <c r="A272" s="1"/>
      <c r="B272">
        <v>17</v>
      </c>
      <c r="C272" s="29">
        <f>ROUND(产出与消耗!Q19*D272,0)</f>
        <v>173951913</v>
      </c>
      <c r="D272" s="30">
        <v>0.06</v>
      </c>
      <c r="E272" s="29">
        <f>ROUND(产出与消耗!Q41*F272,0)</f>
        <v>63782368</v>
      </c>
      <c r="F272" s="30">
        <v>0.02</v>
      </c>
      <c r="G272" s="29">
        <f>ROUND(产出与消耗!Q63*H272,0)</f>
        <v>69580765</v>
      </c>
      <c r="H272" s="30">
        <v>0.03</v>
      </c>
    </row>
    <row r="273" spans="1:10">
      <c r="A273" s="1"/>
      <c r="B273">
        <v>18</v>
      </c>
      <c r="C273" s="29">
        <f>ROUND(产出与消耗!Q20*D273,0)</f>
        <v>290536243</v>
      </c>
      <c r="D273" s="30">
        <v>0.06</v>
      </c>
      <c r="E273" s="29">
        <f>ROUND(产出与消耗!Q42*F273,0)</f>
        <v>106529956</v>
      </c>
      <c r="F273" s="30">
        <v>0.02</v>
      </c>
      <c r="G273" s="29">
        <f>ROUND(产出与消耗!Q64*H273,0)</f>
        <v>116214497</v>
      </c>
      <c r="H273" s="30">
        <v>0.03</v>
      </c>
    </row>
    <row r="274" spans="1:10">
      <c r="A274" s="1"/>
      <c r="B274">
        <v>19</v>
      </c>
      <c r="C274" s="29">
        <f>ROUND(产出与消耗!Q21*D274,0)</f>
        <v>464680919</v>
      </c>
      <c r="D274" s="30">
        <v>0.06</v>
      </c>
      <c r="E274" s="29">
        <f>ROUND(产出与消耗!Q43*F274,0)</f>
        <v>170383004</v>
      </c>
      <c r="F274" s="30">
        <v>0.02</v>
      </c>
      <c r="G274" s="29">
        <f>ROUND(产出与消耗!Q65*H274,0)</f>
        <v>185872368</v>
      </c>
      <c r="H274" s="30">
        <v>0.03</v>
      </c>
    </row>
    <row r="275" spans="1:10">
      <c r="A275" s="1"/>
      <c r="B275">
        <v>20</v>
      </c>
      <c r="C275" s="29">
        <f>ROUND(产出与消耗!Q22*D275,0)</f>
        <v>748627661</v>
      </c>
      <c r="D275" s="30">
        <v>0.06</v>
      </c>
      <c r="E275" s="29">
        <f>ROUND(产出与消耗!Q44*F275,0)</f>
        <v>274496809</v>
      </c>
      <c r="F275" s="30">
        <v>0.02</v>
      </c>
      <c r="G275" s="29">
        <f>ROUND(产出与消耗!Q66*H275,0)</f>
        <v>299451064</v>
      </c>
      <c r="H275" s="30">
        <v>0.03</v>
      </c>
    </row>
    <row r="276" spans="1:10" s="28" customFormat="1">
      <c r="A276" s="28" t="s">
        <v>89</v>
      </c>
      <c r="C276" s="29"/>
      <c r="D276" s="32"/>
      <c r="E276" s="29"/>
      <c r="F276" s="32"/>
      <c r="G276" s="29"/>
      <c r="H276" s="32"/>
      <c r="I276" s="35"/>
      <c r="J276" s="32"/>
    </row>
    <row r="277" spans="1:10">
      <c r="A277" s="1"/>
      <c r="B277">
        <v>1</v>
      </c>
      <c r="C277" s="29">
        <f>ROUND(产出与消耗!Q3*D277,0)</f>
        <v>3</v>
      </c>
      <c r="D277" s="30">
        <v>0.03</v>
      </c>
      <c r="E277" s="29">
        <f>ROUND(产出与消耗!Q25*F277,0)</f>
        <v>2</v>
      </c>
      <c r="F277" s="30">
        <v>0.02</v>
      </c>
      <c r="G277" s="29">
        <f>ROUND(产出与消耗!Q47*H277,0)</f>
        <v>3</v>
      </c>
      <c r="H277" s="30">
        <v>0.04</v>
      </c>
    </row>
    <row r="278" spans="1:10">
      <c r="A278" s="1"/>
      <c r="B278">
        <v>2</v>
      </c>
      <c r="C278" s="29">
        <f>ROUND(产出与消耗!Q4*D278,0)</f>
        <v>31</v>
      </c>
      <c r="D278" s="30">
        <v>0.03</v>
      </c>
      <c r="E278" s="29">
        <f>ROUND(产出与消耗!Q26*F278,0)</f>
        <v>23</v>
      </c>
      <c r="F278" s="30">
        <v>0.02</v>
      </c>
      <c r="G278" s="29">
        <f>ROUND(产出与消耗!Q48*H278,0)</f>
        <v>33</v>
      </c>
      <c r="H278" s="30">
        <v>0.04</v>
      </c>
    </row>
    <row r="279" spans="1:10">
      <c r="A279" s="1"/>
      <c r="B279">
        <v>3</v>
      </c>
      <c r="C279" s="29">
        <f>ROUND(产出与消耗!Q5*D279,0)</f>
        <v>202</v>
      </c>
      <c r="D279" s="30">
        <v>0.03</v>
      </c>
      <c r="E279" s="29">
        <f>ROUND(产出与消耗!Q27*F279,0)</f>
        <v>148</v>
      </c>
      <c r="F279" s="30">
        <v>0.02</v>
      </c>
      <c r="G279" s="29">
        <f>ROUND(产出与消耗!Q49*H279,0)</f>
        <v>216</v>
      </c>
      <c r="H279" s="30">
        <v>0.04</v>
      </c>
    </row>
    <row r="280" spans="1:10">
      <c r="A280" s="1"/>
      <c r="B280">
        <v>4</v>
      </c>
      <c r="C280" s="29">
        <f>ROUND(产出与消耗!Q6*D280,0)</f>
        <v>816</v>
      </c>
      <c r="D280" s="30">
        <v>0.03</v>
      </c>
      <c r="E280" s="29">
        <f>ROUND(产出与消耗!Q28*F280,0)</f>
        <v>599</v>
      </c>
      <c r="F280" s="30">
        <v>0.02</v>
      </c>
      <c r="G280" s="29">
        <f>ROUND(产出与消耗!Q50*H280,0)</f>
        <v>871</v>
      </c>
      <c r="H280" s="30">
        <v>0.04</v>
      </c>
    </row>
    <row r="281" spans="1:10">
      <c r="A281" s="1"/>
      <c r="B281">
        <v>5</v>
      </c>
      <c r="C281" s="29">
        <f>ROUND(产出与消耗!Q7*D281,0)</f>
        <v>2644</v>
      </c>
      <c r="D281" s="30">
        <v>0.03</v>
      </c>
      <c r="E281" s="29">
        <f>ROUND(产出与消耗!Q29*F281,0)</f>
        <v>1939</v>
      </c>
      <c r="F281" s="30">
        <v>0.02</v>
      </c>
      <c r="G281" s="29">
        <f>ROUND(产出与消耗!Q51*H281,0)</f>
        <v>2820</v>
      </c>
      <c r="H281" s="30">
        <v>0.04</v>
      </c>
    </row>
    <row r="282" spans="1:10">
      <c r="A282" s="1"/>
      <c r="B282">
        <v>6</v>
      </c>
      <c r="C282" s="29">
        <f>ROUND(产出与消耗!Q8*D282,0)</f>
        <v>7548</v>
      </c>
      <c r="D282" s="30">
        <v>0.03</v>
      </c>
      <c r="E282" s="29">
        <f>ROUND(产出与消耗!Q30*F282,0)</f>
        <v>5535</v>
      </c>
      <c r="F282" s="30">
        <v>0.02</v>
      </c>
      <c r="G282" s="29">
        <f>ROUND(产出与消耗!Q52*H282,0)</f>
        <v>8051</v>
      </c>
      <c r="H282" s="30">
        <v>0.04</v>
      </c>
    </row>
    <row r="283" spans="1:10">
      <c r="A283" s="1"/>
      <c r="B283">
        <v>7</v>
      </c>
      <c r="C283" s="29">
        <f>ROUND(产出与消耗!Q9*D283,0)</f>
        <v>21283</v>
      </c>
      <c r="D283" s="30">
        <v>0.03</v>
      </c>
      <c r="E283" s="29">
        <f>ROUND(产出与消耗!Q31*F283,0)</f>
        <v>15607</v>
      </c>
      <c r="F283" s="30">
        <v>0.02</v>
      </c>
      <c r="G283" s="29">
        <f>ROUND(产出与消耗!Q53*H283,0)</f>
        <v>22702</v>
      </c>
      <c r="H283" s="30">
        <v>0.04</v>
      </c>
    </row>
    <row r="284" spans="1:10">
      <c r="A284" s="1"/>
      <c r="B284">
        <v>8</v>
      </c>
      <c r="C284" s="29">
        <f>ROUND(产出与消耗!Q10*D284,0)</f>
        <v>107410</v>
      </c>
      <c r="D284" s="30">
        <v>0.03</v>
      </c>
      <c r="E284" s="29">
        <f>ROUND(产出与消耗!Q32*F284,0)</f>
        <v>78767</v>
      </c>
      <c r="F284" s="30">
        <v>0.02</v>
      </c>
      <c r="G284" s="29">
        <f>ROUND(产出与消耗!Q54*H284,0)</f>
        <v>114570</v>
      </c>
      <c r="H284" s="30">
        <v>0.04</v>
      </c>
    </row>
    <row r="285" spans="1:10">
      <c r="A285" s="1"/>
      <c r="B285">
        <v>9</v>
      </c>
      <c r="C285" s="29">
        <f>ROUND(产出与消耗!Q11*D285,0)</f>
        <v>255137</v>
      </c>
      <c r="D285" s="30">
        <v>0.03</v>
      </c>
      <c r="E285" s="29">
        <f>ROUND(产出与消耗!Q33*F285,0)</f>
        <v>187100</v>
      </c>
      <c r="F285" s="30">
        <v>0.02</v>
      </c>
      <c r="G285" s="29">
        <f>ROUND(产出与消耗!Q55*H285,0)</f>
        <v>272146</v>
      </c>
      <c r="H285" s="30">
        <v>0.04</v>
      </c>
    </row>
    <row r="286" spans="1:10">
      <c r="A286" s="1"/>
      <c r="B286">
        <v>10</v>
      </c>
      <c r="C286" s="29">
        <f>ROUND(产出与消耗!Q12*D286,0)</f>
        <v>833432</v>
      </c>
      <c r="D286" s="30">
        <v>0.03</v>
      </c>
      <c r="E286" s="29">
        <f>ROUND(产出与消耗!Q34*F286,0)</f>
        <v>611184</v>
      </c>
      <c r="F286" s="30">
        <v>0.02</v>
      </c>
      <c r="G286" s="29">
        <f>ROUND(产出与消耗!Q56*H286,0)</f>
        <v>888995</v>
      </c>
      <c r="H286" s="30">
        <v>0.04</v>
      </c>
    </row>
    <row r="287" spans="1:10">
      <c r="A287" s="1"/>
      <c r="B287">
        <v>11</v>
      </c>
      <c r="C287" s="29">
        <f>ROUND(产出与消耗!Q13*D287,0)</f>
        <v>1705751</v>
      </c>
      <c r="D287" s="30">
        <v>0.03</v>
      </c>
      <c r="E287" s="29">
        <f>ROUND(产出与消耗!Q35*F287,0)</f>
        <v>1250884</v>
      </c>
      <c r="F287" s="30">
        <v>0.02</v>
      </c>
      <c r="G287" s="29">
        <f>ROUND(产出与消耗!Q57*H287,0)</f>
        <v>1819468</v>
      </c>
      <c r="H287" s="30">
        <v>0.04</v>
      </c>
    </row>
    <row r="288" spans="1:10">
      <c r="A288" s="1"/>
      <c r="B288">
        <v>12</v>
      </c>
      <c r="C288" s="29">
        <f>ROUND(产出与消耗!Q14*D288,0)</f>
        <v>4823101</v>
      </c>
      <c r="D288" s="30">
        <v>0.03</v>
      </c>
      <c r="E288" s="29">
        <f>ROUND(产出与消耗!Q36*F288,0)</f>
        <v>3536941</v>
      </c>
      <c r="F288" s="30">
        <v>0.02</v>
      </c>
      <c r="G288" s="29">
        <f>ROUND(产出与消耗!Q58*H288,0)</f>
        <v>5144641</v>
      </c>
      <c r="H288" s="30">
        <v>0.04</v>
      </c>
    </row>
    <row r="289" spans="1:10">
      <c r="A289" s="1"/>
      <c r="B289">
        <v>13</v>
      </c>
      <c r="C289" s="29">
        <f>ROUND(产出与消耗!Q15*D289,0)</f>
        <v>9353893</v>
      </c>
      <c r="D289" s="30">
        <v>0.03</v>
      </c>
      <c r="E289" s="29">
        <f>ROUND(产出与消耗!Q37*F289,0)</f>
        <v>6859522</v>
      </c>
      <c r="F289" s="30">
        <v>0.02</v>
      </c>
      <c r="G289" s="29">
        <f>ROUND(产出与消耗!Q59*H289,0)</f>
        <v>9977486</v>
      </c>
      <c r="H289" s="30">
        <v>0.04</v>
      </c>
    </row>
    <row r="290" spans="1:10">
      <c r="A290" s="1"/>
      <c r="B290">
        <v>14</v>
      </c>
      <c r="C290" s="29">
        <f>ROUND(产出与消耗!Q16*D290,0)</f>
        <v>19535369</v>
      </c>
      <c r="D290" s="30">
        <v>0.03</v>
      </c>
      <c r="E290" s="29">
        <f>ROUND(产出与消耗!Q38*F290,0)</f>
        <v>14325937</v>
      </c>
      <c r="F290" s="30">
        <v>0.02</v>
      </c>
      <c r="G290" s="29">
        <f>ROUND(产出与消耗!Q60*H290,0)</f>
        <v>20837727</v>
      </c>
      <c r="H290" s="30">
        <v>0.04</v>
      </c>
    </row>
    <row r="291" spans="1:10">
      <c r="A291" s="1"/>
      <c r="B291">
        <v>15</v>
      </c>
      <c r="C291" s="29">
        <f>ROUND(产出与消耗!Q17*D291,0)</f>
        <v>32063040</v>
      </c>
      <c r="D291" s="30">
        <v>0.03</v>
      </c>
      <c r="E291" s="29">
        <f>ROUND(产出与消耗!Q39*F291,0)</f>
        <v>23512896</v>
      </c>
      <c r="F291" s="30">
        <v>0.02</v>
      </c>
      <c r="G291" s="29">
        <f>ROUND(产出与消耗!Q61*H291,0)</f>
        <v>34200576</v>
      </c>
      <c r="H291" s="30">
        <v>0.04</v>
      </c>
    </row>
    <row r="292" spans="1:10">
      <c r="A292" s="1"/>
      <c r="B292">
        <v>16</v>
      </c>
      <c r="C292" s="29">
        <f>ROUND(产出与消耗!Q18*D292,0)</f>
        <v>58236168</v>
      </c>
      <c r="D292" s="30">
        <v>0.03</v>
      </c>
      <c r="E292" s="29">
        <f>ROUND(产出与消耗!Q40*F292,0)</f>
        <v>42706523</v>
      </c>
      <c r="F292" s="30">
        <v>0.02</v>
      </c>
      <c r="G292" s="29">
        <f>ROUND(产出与消耗!Q62*H292,0)</f>
        <v>62118579</v>
      </c>
      <c r="H292" s="30">
        <v>0.04</v>
      </c>
    </row>
    <row r="293" spans="1:10">
      <c r="A293" s="1"/>
      <c r="B293">
        <v>17</v>
      </c>
      <c r="C293" s="29">
        <f>ROUND(产出与消耗!Q19*D293,0)</f>
        <v>86975957</v>
      </c>
      <c r="D293" s="30">
        <v>0.03</v>
      </c>
      <c r="E293" s="29">
        <f>ROUND(产出与消耗!Q41*F293,0)</f>
        <v>63782368</v>
      </c>
      <c r="F293" s="30">
        <v>0.02</v>
      </c>
      <c r="G293" s="29">
        <f>ROUND(产出与消耗!Q63*H293,0)</f>
        <v>92774354</v>
      </c>
      <c r="H293" s="30">
        <v>0.04</v>
      </c>
    </row>
    <row r="294" spans="1:10">
      <c r="A294" s="1"/>
      <c r="B294">
        <v>18</v>
      </c>
      <c r="C294" s="29">
        <f>ROUND(产出与消耗!Q20*D294,0)</f>
        <v>145268122</v>
      </c>
      <c r="D294" s="30">
        <v>0.03</v>
      </c>
      <c r="E294" s="29">
        <f>ROUND(产出与消耗!Q42*F294,0)</f>
        <v>106529956</v>
      </c>
      <c r="F294" s="30">
        <v>0.02</v>
      </c>
      <c r="G294" s="29">
        <f>ROUND(产出与消耗!Q64*H294,0)</f>
        <v>154952663</v>
      </c>
      <c r="H294" s="30">
        <v>0.04</v>
      </c>
    </row>
    <row r="295" spans="1:10">
      <c r="A295" s="1"/>
      <c r="B295">
        <v>19</v>
      </c>
      <c r="C295" s="29">
        <f>ROUND(产出与消耗!Q21*D295,0)</f>
        <v>232340459</v>
      </c>
      <c r="D295" s="30">
        <v>0.03</v>
      </c>
      <c r="E295" s="29">
        <f>ROUND(产出与消耗!Q43*F295,0)</f>
        <v>170383004</v>
      </c>
      <c r="F295" s="30">
        <v>0.02</v>
      </c>
      <c r="G295" s="29">
        <f>ROUND(产出与消耗!Q65*H295,0)</f>
        <v>247829823</v>
      </c>
      <c r="H295" s="30">
        <v>0.04</v>
      </c>
    </row>
    <row r="296" spans="1:10">
      <c r="A296" s="1"/>
      <c r="B296">
        <v>20</v>
      </c>
      <c r="C296" s="29">
        <f>ROUND(产出与消耗!Q22*D296,0)</f>
        <v>374313830</v>
      </c>
      <c r="D296" s="30">
        <v>0.03</v>
      </c>
      <c r="E296" s="29">
        <f>ROUND(产出与消耗!Q44*F296,0)</f>
        <v>274496809</v>
      </c>
      <c r="F296" s="30">
        <v>0.02</v>
      </c>
      <c r="G296" s="29">
        <f>ROUND(产出与消耗!Q66*H296,0)</f>
        <v>399268086</v>
      </c>
      <c r="H296" s="30">
        <v>0.04</v>
      </c>
    </row>
    <row r="297" spans="1:10" s="28" customFormat="1">
      <c r="A297" s="28" t="s">
        <v>90</v>
      </c>
      <c r="C297" s="29"/>
      <c r="D297" s="32"/>
      <c r="E297" s="29"/>
      <c r="F297" s="32"/>
      <c r="G297" s="29"/>
      <c r="H297" s="32"/>
      <c r="I297" s="35"/>
      <c r="J297" s="32"/>
    </row>
    <row r="298" spans="1:10">
      <c r="B298">
        <v>1</v>
      </c>
      <c r="C298" s="29">
        <f>ROUND(产出与消耗!Q3*D298,0)</f>
        <v>5</v>
      </c>
      <c r="D298" s="30">
        <v>0.05</v>
      </c>
      <c r="E298" s="29">
        <f>ROUND(产出与消耗!Q25*F298,0)</f>
        <v>7</v>
      </c>
      <c r="F298" s="30">
        <v>7.0000000000000007E-2</v>
      </c>
      <c r="G298" s="29">
        <f>ROUND(产出与消耗!Q47*H298,0)</f>
        <v>5</v>
      </c>
      <c r="H298" s="30">
        <v>7.0000000000000007E-2</v>
      </c>
    </row>
    <row r="299" spans="1:10">
      <c r="B299">
        <v>2</v>
      </c>
      <c r="C299" s="29">
        <f>ROUND(产出与消耗!Q4*D299,0)</f>
        <v>52</v>
      </c>
      <c r="D299" s="30">
        <v>0.05</v>
      </c>
      <c r="E299" s="29">
        <f>ROUND(产出与消耗!Q26*F299,0)</f>
        <v>80</v>
      </c>
      <c r="F299" s="30">
        <v>7.0000000000000007E-2</v>
      </c>
      <c r="G299" s="29">
        <f>ROUND(产出与消耗!Q48*H299,0)</f>
        <v>58</v>
      </c>
      <c r="H299" s="30">
        <v>7.0000000000000007E-2</v>
      </c>
    </row>
    <row r="300" spans="1:10">
      <c r="B300">
        <v>3</v>
      </c>
      <c r="C300" s="29">
        <f>ROUND(产出与消耗!Q5*D300,0)</f>
        <v>337</v>
      </c>
      <c r="D300" s="30">
        <v>0.05</v>
      </c>
      <c r="E300" s="29">
        <f>ROUND(产出与消耗!Q27*F300,0)</f>
        <v>519</v>
      </c>
      <c r="F300" s="30">
        <v>7.0000000000000007E-2</v>
      </c>
      <c r="G300" s="29">
        <f>ROUND(产出与消耗!Q49*H300,0)</f>
        <v>377</v>
      </c>
      <c r="H300" s="30">
        <v>7.0000000000000007E-2</v>
      </c>
    </row>
    <row r="301" spans="1:10">
      <c r="B301">
        <v>4</v>
      </c>
      <c r="C301" s="29">
        <f>ROUND(产出与消耗!Q6*D301,0)</f>
        <v>1361</v>
      </c>
      <c r="D301" s="30">
        <v>0.05</v>
      </c>
      <c r="E301" s="29">
        <f>ROUND(产出与消耗!Q28*F301,0)</f>
        <v>2096</v>
      </c>
      <c r="F301" s="30">
        <v>7.0000000000000007E-2</v>
      </c>
      <c r="G301" s="29">
        <f>ROUND(产出与消耗!Q50*H301,0)</f>
        <v>1524</v>
      </c>
      <c r="H301" s="30">
        <v>7.0000000000000007E-2</v>
      </c>
    </row>
    <row r="302" spans="1:10">
      <c r="B302">
        <v>5</v>
      </c>
      <c r="C302" s="29">
        <f>ROUND(产出与消耗!Q7*D302,0)</f>
        <v>4406</v>
      </c>
      <c r="D302" s="30">
        <v>0.05</v>
      </c>
      <c r="E302" s="29">
        <f>ROUND(产出与消耗!Q29*F302,0)</f>
        <v>6786</v>
      </c>
      <c r="F302" s="30">
        <v>7.0000000000000007E-2</v>
      </c>
      <c r="G302" s="29">
        <f>ROUND(产出与消耗!Q51*H302,0)</f>
        <v>4935</v>
      </c>
      <c r="H302" s="30">
        <v>7.0000000000000007E-2</v>
      </c>
    </row>
    <row r="303" spans="1:10">
      <c r="B303">
        <v>6</v>
      </c>
      <c r="C303" s="29">
        <f>ROUND(产出与消耗!Q8*D303,0)</f>
        <v>12580</v>
      </c>
      <c r="D303" s="30">
        <v>0.05</v>
      </c>
      <c r="E303" s="29">
        <f>ROUND(产出与消耗!Q30*F303,0)</f>
        <v>19373</v>
      </c>
      <c r="F303" s="30">
        <v>7.0000000000000007E-2</v>
      </c>
      <c r="G303" s="29">
        <f>ROUND(产出与消耗!Q52*H303,0)</f>
        <v>14089</v>
      </c>
      <c r="H303" s="30">
        <v>7.0000000000000007E-2</v>
      </c>
    </row>
    <row r="304" spans="1:10">
      <c r="B304">
        <v>7</v>
      </c>
      <c r="C304" s="29">
        <f>ROUND(产出与消耗!Q9*D304,0)</f>
        <v>35472</v>
      </c>
      <c r="D304" s="30">
        <v>0.05</v>
      </c>
      <c r="E304" s="29">
        <f>ROUND(产出与消耗!Q31*F304,0)</f>
        <v>54626</v>
      </c>
      <c r="F304" s="30">
        <v>7.0000000000000007E-2</v>
      </c>
      <c r="G304" s="29">
        <f>ROUND(产出与消耗!Q53*H304,0)</f>
        <v>39728</v>
      </c>
      <c r="H304" s="30">
        <v>7.0000000000000007E-2</v>
      </c>
    </row>
    <row r="305" spans="2:8">
      <c r="B305">
        <v>8</v>
      </c>
      <c r="C305" s="29">
        <f>ROUND(产出与消耗!Q10*D305,0)</f>
        <v>179016</v>
      </c>
      <c r="D305" s="30">
        <v>0.05</v>
      </c>
      <c r="E305" s="29">
        <f>ROUND(产出与消耗!Q32*F305,0)</f>
        <v>275685</v>
      </c>
      <c r="F305" s="30">
        <v>7.0000000000000007E-2</v>
      </c>
      <c r="G305" s="29">
        <f>ROUND(产出与消耗!Q54*H305,0)</f>
        <v>200498</v>
      </c>
      <c r="H305" s="30">
        <v>7.0000000000000007E-2</v>
      </c>
    </row>
    <row r="306" spans="2:8">
      <c r="B306">
        <v>9</v>
      </c>
      <c r="C306" s="29">
        <f>ROUND(产出与消耗!Q11*D306,0)</f>
        <v>425228</v>
      </c>
      <c r="D306" s="30">
        <v>0.05</v>
      </c>
      <c r="E306" s="29">
        <f>ROUND(产出与消耗!Q33*F306,0)</f>
        <v>654851</v>
      </c>
      <c r="F306" s="30">
        <v>7.0000000000000007E-2</v>
      </c>
      <c r="G306" s="29">
        <f>ROUND(产出与消耗!Q55*H306,0)</f>
        <v>476255</v>
      </c>
      <c r="H306" s="30">
        <v>7.0000000000000007E-2</v>
      </c>
    </row>
    <row r="307" spans="2:8">
      <c r="B307">
        <v>10</v>
      </c>
      <c r="C307" s="29">
        <f>ROUND(产出与消耗!Q12*D307,0)</f>
        <v>1389054</v>
      </c>
      <c r="D307" s="30">
        <v>0.05</v>
      </c>
      <c r="E307" s="29">
        <f>ROUND(产出与消耗!Q34*F307,0)</f>
        <v>2139143</v>
      </c>
      <c r="F307" s="30">
        <v>7.0000000000000007E-2</v>
      </c>
      <c r="G307" s="29">
        <f>ROUND(产出与消耗!Q56*H307,0)</f>
        <v>1555740</v>
      </c>
      <c r="H307" s="30">
        <v>7.0000000000000007E-2</v>
      </c>
    </row>
    <row r="308" spans="2:8">
      <c r="B308">
        <v>11</v>
      </c>
      <c r="C308" s="29">
        <f>ROUND(产出与消耗!Q13*D308,0)</f>
        <v>2842918</v>
      </c>
      <c r="D308" s="30">
        <v>0.05</v>
      </c>
      <c r="E308" s="29">
        <f>ROUND(产出与消耗!Q35*F308,0)</f>
        <v>4378094</v>
      </c>
      <c r="F308" s="30">
        <v>7.0000000000000007E-2</v>
      </c>
      <c r="G308" s="29">
        <f>ROUND(产出与消耗!Q57*H308,0)</f>
        <v>3184068</v>
      </c>
      <c r="H308" s="30">
        <v>7.0000000000000007E-2</v>
      </c>
    </row>
    <row r="309" spans="2:8">
      <c r="B309">
        <v>12</v>
      </c>
      <c r="C309" s="29">
        <f>ROUND(产出与消耗!Q14*D309,0)</f>
        <v>8038502</v>
      </c>
      <c r="D309" s="30">
        <v>0.05</v>
      </c>
      <c r="E309" s="29">
        <f>ROUND(产出与消耗!Q36*F309,0)</f>
        <v>12379293</v>
      </c>
      <c r="F309" s="30">
        <v>7.0000000000000007E-2</v>
      </c>
      <c r="G309" s="29">
        <f>ROUND(产出与消耗!Q58*H309,0)</f>
        <v>9003122</v>
      </c>
      <c r="H309" s="30">
        <v>7.0000000000000007E-2</v>
      </c>
    </row>
    <row r="310" spans="2:8">
      <c r="B310">
        <v>13</v>
      </c>
      <c r="C310" s="29">
        <f>ROUND(产出与消耗!Q15*D310,0)</f>
        <v>15589822</v>
      </c>
      <c r="D310" s="30">
        <v>0.05</v>
      </c>
      <c r="E310" s="29">
        <f>ROUND(产出与消耗!Q37*F310,0)</f>
        <v>24008327</v>
      </c>
      <c r="F310" s="30">
        <v>7.0000000000000007E-2</v>
      </c>
      <c r="G310" s="29">
        <f>ROUND(产出与消耗!Q59*H310,0)</f>
        <v>17460601</v>
      </c>
      <c r="H310" s="30">
        <v>7.0000000000000007E-2</v>
      </c>
    </row>
    <row r="311" spans="2:8">
      <c r="B311">
        <v>14</v>
      </c>
      <c r="C311" s="29">
        <f>ROUND(产出与消耗!Q16*D311,0)</f>
        <v>32558948</v>
      </c>
      <c r="D311" s="30">
        <v>0.05</v>
      </c>
      <c r="E311" s="29">
        <f>ROUND(产出与消耗!Q38*F311,0)</f>
        <v>50140780</v>
      </c>
      <c r="F311" s="30">
        <v>7.0000000000000007E-2</v>
      </c>
      <c r="G311" s="29">
        <f>ROUND(产出与消耗!Q60*H311,0)</f>
        <v>36466022</v>
      </c>
      <c r="H311" s="30">
        <v>7.0000000000000007E-2</v>
      </c>
    </row>
    <row r="312" spans="2:8">
      <c r="B312">
        <v>15</v>
      </c>
      <c r="C312" s="29">
        <f>ROUND(产出与消耗!Q17*D312,0)</f>
        <v>53438400</v>
      </c>
      <c r="D312" s="30">
        <v>0.05</v>
      </c>
      <c r="E312" s="29">
        <f>ROUND(产出与消耗!Q39*F312,0)</f>
        <v>82295136</v>
      </c>
      <c r="F312" s="30">
        <v>7.0000000000000007E-2</v>
      </c>
      <c r="G312" s="29">
        <f>ROUND(产出与消耗!Q61*H312,0)</f>
        <v>59851008</v>
      </c>
      <c r="H312" s="30">
        <v>7.0000000000000007E-2</v>
      </c>
    </row>
    <row r="313" spans="2:8">
      <c r="B313">
        <v>16</v>
      </c>
      <c r="C313" s="29">
        <f>ROUND(产出与消耗!Q18*D313,0)</f>
        <v>97060280</v>
      </c>
      <c r="D313" s="30">
        <v>0.05</v>
      </c>
      <c r="E313" s="29">
        <f>ROUND(产出与消耗!Q40*F313,0)</f>
        <v>149472831</v>
      </c>
      <c r="F313" s="30">
        <v>7.0000000000000007E-2</v>
      </c>
      <c r="G313" s="29">
        <f>ROUND(产出与消耗!Q62*H313,0)</f>
        <v>108707513</v>
      </c>
      <c r="H313" s="30">
        <v>7.0000000000000007E-2</v>
      </c>
    </row>
    <row r="314" spans="2:8">
      <c r="B314">
        <v>17</v>
      </c>
      <c r="C314" s="29">
        <f>ROUND(产出与消耗!Q19*D314,0)</f>
        <v>144959928</v>
      </c>
      <c r="D314" s="30">
        <v>0.05</v>
      </c>
      <c r="E314" s="29">
        <f>ROUND(产出与消耗!Q41*F314,0)</f>
        <v>223238289</v>
      </c>
      <c r="F314" s="30">
        <v>7.0000000000000007E-2</v>
      </c>
      <c r="G314" s="29">
        <f>ROUND(产出与消耗!Q63*H314,0)</f>
        <v>162355119</v>
      </c>
      <c r="H314" s="30">
        <v>7.0000000000000007E-2</v>
      </c>
    </row>
    <row r="315" spans="2:8">
      <c r="B315">
        <v>18</v>
      </c>
      <c r="C315" s="29">
        <f>ROUND(产出与消耗!Q20*D315,0)</f>
        <v>242113536</v>
      </c>
      <c r="D315" s="30">
        <v>0.05</v>
      </c>
      <c r="E315" s="29">
        <f>ROUND(产出与消耗!Q42*F315,0)</f>
        <v>372854845</v>
      </c>
      <c r="F315" s="30">
        <v>7.0000000000000007E-2</v>
      </c>
      <c r="G315" s="29">
        <f>ROUND(产出与消耗!Q64*H315,0)</f>
        <v>271167160</v>
      </c>
      <c r="H315" s="30">
        <v>7.0000000000000007E-2</v>
      </c>
    </row>
    <row r="316" spans="2:8">
      <c r="B316">
        <v>19</v>
      </c>
      <c r="C316" s="29">
        <f>ROUND(产出与消耗!Q21*D316,0)</f>
        <v>387234099</v>
      </c>
      <c r="D316" s="30">
        <v>0.05</v>
      </c>
      <c r="E316" s="29">
        <f>ROUND(产出与消耗!Q43*F316,0)</f>
        <v>596340513</v>
      </c>
      <c r="F316" s="30">
        <v>7.0000000000000007E-2</v>
      </c>
      <c r="G316" s="29">
        <f>ROUND(产出与消耗!Q65*H316,0)</f>
        <v>433702191</v>
      </c>
      <c r="H316" s="30">
        <v>7.0000000000000007E-2</v>
      </c>
    </row>
    <row r="317" spans="2:8">
      <c r="B317">
        <v>20</v>
      </c>
      <c r="C317" s="29">
        <f>ROUND(产出与消耗!Q22*D317,0)</f>
        <v>623856384</v>
      </c>
      <c r="D317" s="30">
        <v>0.05</v>
      </c>
      <c r="E317" s="29">
        <f>ROUND(产出与消耗!Q44*F317,0)</f>
        <v>960738831</v>
      </c>
      <c r="F317" s="30">
        <v>7.0000000000000007E-2</v>
      </c>
      <c r="G317" s="29">
        <f>ROUND(产出与消耗!Q66*H317,0)</f>
        <v>698719150</v>
      </c>
      <c r="H317" s="30">
        <v>7.0000000000000007E-2</v>
      </c>
    </row>
  </sheetData>
  <phoneticPr fontId="8" type="noConversion"/>
  <pageMargins left="0.69930555555555596" right="0.69930555555555596" top="0.75" bottom="0.75" header="0.3" footer="0.3"/>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315"/>
  <sheetViews>
    <sheetView topLeftCell="A28" workbookViewId="0">
      <selection activeCell="G170" sqref="G170"/>
    </sheetView>
  </sheetViews>
  <sheetFormatPr defaultColWidth="9" defaultRowHeight="13.5"/>
  <cols>
    <col min="1" max="1" width="10.25" customWidth="1"/>
    <col min="2" max="2" width="10.25" style="10" customWidth="1"/>
    <col min="3" max="3" width="10.25" style="23" customWidth="1"/>
    <col min="4" max="4" width="13.25" style="10" customWidth="1"/>
    <col min="5" max="6" width="10.25" style="23" customWidth="1"/>
    <col min="7" max="7" width="11.625" customWidth="1"/>
    <col min="8" max="8" width="14.875" customWidth="1"/>
    <col min="9" max="9" width="15.125" customWidth="1"/>
    <col min="10" max="10" width="16" customWidth="1"/>
    <col min="11" max="11" width="11.5" customWidth="1"/>
  </cols>
  <sheetData>
    <row r="1" spans="1:8" s="7" customFormat="1" ht="27">
      <c r="A1" s="7" t="s">
        <v>80</v>
      </c>
      <c r="B1" s="24" t="s">
        <v>216</v>
      </c>
      <c r="C1" s="25" t="s">
        <v>217</v>
      </c>
      <c r="D1" s="24" t="s">
        <v>218</v>
      </c>
      <c r="E1" s="25" t="s">
        <v>219</v>
      </c>
      <c r="F1" s="25" t="s">
        <v>220</v>
      </c>
      <c r="G1" s="7" t="s">
        <v>221</v>
      </c>
      <c r="H1" s="7" t="s">
        <v>222</v>
      </c>
    </row>
    <row r="2" spans="1:8">
      <c r="A2">
        <v>1</v>
      </c>
      <c r="B2" s="26">
        <f>ROUND(H23*基本公式!$B$163,0)</f>
        <v>240</v>
      </c>
      <c r="C2" s="23">
        <f>其他表格!G28*基本公式!$B$4*基本公式!$B$121</f>
        <v>1.9575055271595899E-2</v>
      </c>
      <c r="D2" s="26">
        <f>ROUND(E2*3600,0)</f>
        <v>70</v>
      </c>
      <c r="E2" s="23">
        <f>C2</f>
        <v>1.9575055271595899E-2</v>
      </c>
      <c r="F2" s="23">
        <f>E2/24</f>
        <v>8.1562730298316251E-4</v>
      </c>
      <c r="G2" s="9">
        <v>1</v>
      </c>
      <c r="H2">
        <v>12</v>
      </c>
    </row>
    <row r="3" spans="1:8">
      <c r="A3">
        <v>2</v>
      </c>
      <c r="B3" s="26">
        <f>ROUND(H24*基本公式!$B$163,0)</f>
        <v>465</v>
      </c>
      <c r="C3" s="23">
        <f>其他表格!G29*基本公式!$B$4*基本公式!$B$121</f>
        <v>0.17207324275610025</v>
      </c>
      <c r="D3" s="26">
        <f t="shared" ref="D3" si="0">ROUND(E3*3600,0)</f>
        <v>549</v>
      </c>
      <c r="E3" s="23">
        <f t="shared" ref="E3" si="1">C3-C2</f>
        <v>0.15249818748450436</v>
      </c>
      <c r="F3" s="23">
        <f t="shared" ref="F3" si="2">E3/24</f>
        <v>6.3540911451876814E-3</v>
      </c>
      <c r="G3" s="9">
        <v>1</v>
      </c>
      <c r="H3">
        <v>13</v>
      </c>
    </row>
    <row r="4" spans="1:8">
      <c r="A4">
        <v>3</v>
      </c>
      <c r="B4" s="26">
        <f>ROUND(H25*基本公式!$B$163,0)</f>
        <v>690</v>
      </c>
      <c r="C4" s="23">
        <f>其他表格!G30*基本公式!$B$4*基本公式!$B$121</f>
        <v>0.72451891686779069</v>
      </c>
      <c r="D4" s="26">
        <f t="shared" ref="D4:D21" si="3">ROUND(E4*3600,0)</f>
        <v>1989</v>
      </c>
      <c r="E4" s="23">
        <f t="shared" ref="E4:E21" si="4">C4-C3</f>
        <v>0.55244567411169043</v>
      </c>
      <c r="F4" s="23">
        <f t="shared" ref="F4:F21" si="5">E4/24</f>
        <v>2.3018569754653769E-2</v>
      </c>
      <c r="G4" s="9">
        <v>1</v>
      </c>
      <c r="H4">
        <v>14</v>
      </c>
    </row>
    <row r="5" spans="1:8">
      <c r="A5">
        <v>4</v>
      </c>
      <c r="B5" s="26">
        <f>ROUND(H26*基本公式!$B$163,0)</f>
        <v>1140</v>
      </c>
      <c r="C5" s="23">
        <f>其他表格!G31*基本公式!$B$4*基本公式!$B$121</f>
        <v>1.7159658557395039</v>
      </c>
      <c r="D5" s="26">
        <f t="shared" si="3"/>
        <v>3569</v>
      </c>
      <c r="E5" s="23">
        <f t="shared" si="4"/>
        <v>0.9914469388717132</v>
      </c>
      <c r="F5" s="23">
        <f t="shared" si="5"/>
        <v>4.1310289119654717E-2</v>
      </c>
      <c r="G5" s="9">
        <v>2</v>
      </c>
      <c r="H5">
        <v>15</v>
      </c>
    </row>
    <row r="6" spans="1:8">
      <c r="A6">
        <v>5</v>
      </c>
      <c r="B6" s="26">
        <f>ROUND(H27*基本公式!$B$163,0)</f>
        <v>1895</v>
      </c>
      <c r="C6" s="23">
        <f>其他表格!G32*基本公式!$B$4*基本公式!$B$121</f>
        <v>3.4118619353884876</v>
      </c>
      <c r="D6" s="26">
        <f t="shared" si="3"/>
        <v>6105</v>
      </c>
      <c r="E6" s="23">
        <f t="shared" si="4"/>
        <v>1.6958960796489837</v>
      </c>
      <c r="F6" s="23">
        <f t="shared" si="5"/>
        <v>7.0662336652040983E-2</v>
      </c>
      <c r="G6" s="9">
        <v>2</v>
      </c>
      <c r="H6">
        <v>16</v>
      </c>
    </row>
    <row r="7" spans="1:8">
      <c r="A7">
        <v>6</v>
      </c>
      <c r="B7" s="26">
        <f>ROUND(H28*基本公式!$B$163,0)</f>
        <v>4825</v>
      </c>
      <c r="C7" s="23">
        <f>其他表格!G33*基本公式!$B$4*基本公式!$B$121</f>
        <v>5.9153024266797303</v>
      </c>
      <c r="D7" s="26">
        <f t="shared" si="3"/>
        <v>9012</v>
      </c>
      <c r="E7" s="23">
        <f t="shared" si="4"/>
        <v>2.5034404912912427</v>
      </c>
      <c r="F7" s="23">
        <f t="shared" si="5"/>
        <v>0.10431002047046845</v>
      </c>
      <c r="G7" s="9">
        <v>2</v>
      </c>
      <c r="H7">
        <v>17</v>
      </c>
    </row>
    <row r="8" spans="1:8">
      <c r="A8">
        <v>7</v>
      </c>
      <c r="B8" s="26">
        <f>ROUND(H29*基本公式!$B$163,0)</f>
        <v>9505</v>
      </c>
      <c r="C8" s="23">
        <f>其他表格!G34*基本公式!$B$4*基本公式!$B$121</f>
        <v>10.229470361927351</v>
      </c>
      <c r="D8" s="26">
        <f t="shared" si="3"/>
        <v>15531</v>
      </c>
      <c r="E8" s="23">
        <f t="shared" si="4"/>
        <v>4.314167935247621</v>
      </c>
      <c r="F8" s="23">
        <f t="shared" si="5"/>
        <v>0.17975699730198422</v>
      </c>
      <c r="G8" s="9">
        <v>3</v>
      </c>
      <c r="H8">
        <v>18</v>
      </c>
    </row>
    <row r="9" spans="1:8">
      <c r="A9">
        <v>8</v>
      </c>
      <c r="B9" s="26">
        <f>ROUND(H30*基本公式!$B$163,0)</f>
        <v>17090</v>
      </c>
      <c r="C9" s="23">
        <f>其他表格!G35*基本公式!$B$4*基本公式!$B$121</f>
        <v>20.131223137889069</v>
      </c>
      <c r="D9" s="26">
        <f t="shared" si="3"/>
        <v>35646</v>
      </c>
      <c r="E9" s="23">
        <f t="shared" si="4"/>
        <v>9.9017527759617181</v>
      </c>
      <c r="F9" s="23">
        <f t="shared" si="5"/>
        <v>0.41257303233173825</v>
      </c>
      <c r="G9" s="9">
        <v>3</v>
      </c>
      <c r="H9">
        <v>19</v>
      </c>
    </row>
    <row r="10" spans="1:8">
      <c r="A10">
        <v>9</v>
      </c>
      <c r="B10" s="26">
        <f>ROUND(H31*基本公式!$B$163,0)</f>
        <v>24655</v>
      </c>
      <c r="C10" s="23">
        <f>其他表格!G36*基本公式!$B$4*基本公式!$B$121</f>
        <v>34.496587996382736</v>
      </c>
      <c r="D10" s="26">
        <f t="shared" si="3"/>
        <v>51715</v>
      </c>
      <c r="E10" s="23">
        <f t="shared" si="4"/>
        <v>14.365364858493667</v>
      </c>
      <c r="F10" s="23">
        <f t="shared" si="5"/>
        <v>0.59855686910390282</v>
      </c>
      <c r="G10" s="9">
        <v>4</v>
      </c>
      <c r="H10">
        <v>19</v>
      </c>
    </row>
    <row r="11" spans="1:8">
      <c r="A11">
        <v>10</v>
      </c>
      <c r="B11" s="26">
        <f>ROUND(H32*基本公式!$B$163,0)</f>
        <v>37495</v>
      </c>
      <c r="C11" s="23">
        <f>其他表格!G37*基本公式!$B$4*基本公式!$B$121</f>
        <v>57.062025257174462</v>
      </c>
      <c r="D11" s="26">
        <f t="shared" si="3"/>
        <v>81236</v>
      </c>
      <c r="E11" s="23">
        <f t="shared" si="4"/>
        <v>22.565437260791725</v>
      </c>
      <c r="F11" s="23">
        <f t="shared" si="5"/>
        <v>0.94022655253298859</v>
      </c>
      <c r="G11" s="9">
        <v>4</v>
      </c>
      <c r="H11">
        <v>19</v>
      </c>
    </row>
    <row r="12" spans="1:8">
      <c r="A12">
        <v>11</v>
      </c>
      <c r="B12" s="26">
        <f>ROUND(H33*基本公式!$B$163,0)</f>
        <v>54565</v>
      </c>
      <c r="C12" s="23">
        <f>其他表格!G38*基本公式!$B$4*基本公式!$B$121</f>
        <v>98.288655945372284</v>
      </c>
      <c r="D12" s="26">
        <f t="shared" si="3"/>
        <v>148416</v>
      </c>
      <c r="E12" s="23">
        <f t="shared" si="4"/>
        <v>41.226630688197822</v>
      </c>
      <c r="F12" s="23">
        <f t="shared" si="5"/>
        <v>1.7177762786749093</v>
      </c>
      <c r="G12" s="9">
        <v>5</v>
      </c>
      <c r="H12">
        <v>19</v>
      </c>
    </row>
    <row r="13" spans="1:8">
      <c r="A13">
        <v>12</v>
      </c>
      <c r="B13" s="26">
        <f>ROUND(H34*基本公式!$B$163,0)</f>
        <v>98025</v>
      </c>
      <c r="C13" s="23">
        <f>其他表格!G39*基本公式!$B$4*基本公式!$B$121</f>
        <v>155.19261465058779</v>
      </c>
      <c r="D13" s="26">
        <f t="shared" si="3"/>
        <v>204854</v>
      </c>
      <c r="E13" s="23">
        <f t="shared" si="4"/>
        <v>56.903958705215501</v>
      </c>
      <c r="F13" s="23">
        <f t="shared" si="5"/>
        <v>2.3709982793839792</v>
      </c>
      <c r="G13" s="9">
        <v>5</v>
      </c>
      <c r="H13">
        <v>19</v>
      </c>
    </row>
    <row r="14" spans="1:8">
      <c r="A14">
        <v>13</v>
      </c>
      <c r="B14" s="26">
        <f>ROUND(H35*基本公式!$B$163,0)</f>
        <v>134125</v>
      </c>
      <c r="C14" s="23">
        <f>其他表格!G40*基本公式!$B$4*基本公式!$B$121</f>
        <v>242.01577333424999</v>
      </c>
      <c r="D14" s="26">
        <f t="shared" si="3"/>
        <v>312563</v>
      </c>
      <c r="E14" s="23">
        <f t="shared" si="4"/>
        <v>86.8231586836622</v>
      </c>
      <c r="F14" s="23">
        <f t="shared" si="5"/>
        <v>3.6176316118192582</v>
      </c>
      <c r="G14" s="9">
        <v>6</v>
      </c>
      <c r="H14">
        <v>19</v>
      </c>
    </row>
    <row r="15" spans="1:8">
      <c r="A15">
        <v>14</v>
      </c>
      <c r="B15" s="26">
        <f>ROUND(H36*基本公式!$B$163,0)</f>
        <v>165655</v>
      </c>
      <c r="C15" s="23">
        <f>其他表格!G41*基本公式!$B$4*基本公式!$B$121</f>
        <v>356.65482386100001</v>
      </c>
      <c r="D15" s="26">
        <f t="shared" si="3"/>
        <v>412701</v>
      </c>
      <c r="E15" s="23">
        <f t="shared" si="4"/>
        <v>114.63905052675003</v>
      </c>
      <c r="F15" s="23">
        <f t="shared" si="5"/>
        <v>4.7766271052812508</v>
      </c>
      <c r="G15" s="9">
        <v>6</v>
      </c>
      <c r="H15">
        <v>19</v>
      </c>
    </row>
    <row r="16" spans="1:8">
      <c r="A16">
        <v>15</v>
      </c>
      <c r="B16" s="26">
        <f>ROUND(H37*基本公式!$B$163,0)</f>
        <v>201120</v>
      </c>
      <c r="C16" s="23">
        <f>其他表格!G42*基本公式!$B$4*基本公式!$B$121</f>
        <v>502.80285318749998</v>
      </c>
      <c r="D16" s="26">
        <f t="shared" si="3"/>
        <v>526133</v>
      </c>
      <c r="E16" s="23">
        <f t="shared" si="4"/>
        <v>146.14802932649997</v>
      </c>
      <c r="F16" s="23">
        <f t="shared" si="5"/>
        <v>6.0895012219374989</v>
      </c>
      <c r="G16" s="9">
        <v>7</v>
      </c>
      <c r="H16">
        <v>19</v>
      </c>
    </row>
    <row r="17" spans="1:10">
      <c r="A17">
        <v>16</v>
      </c>
      <c r="B17" s="26">
        <f>ROUND(H38*基本公式!$B$163,0)</f>
        <v>235705</v>
      </c>
      <c r="C17" s="23">
        <f>其他表格!G43*基本公式!$B$4*基本公式!$B$121</f>
        <v>684.51756854999996</v>
      </c>
      <c r="D17" s="26">
        <f t="shared" si="3"/>
        <v>654173</v>
      </c>
      <c r="E17" s="23">
        <f t="shared" si="4"/>
        <v>181.71471536249999</v>
      </c>
      <c r="F17" s="23">
        <f t="shared" si="5"/>
        <v>7.5714464734374998</v>
      </c>
      <c r="G17" s="9">
        <v>7</v>
      </c>
      <c r="H17">
        <v>19</v>
      </c>
    </row>
    <row r="18" spans="1:10">
      <c r="A18">
        <v>17</v>
      </c>
      <c r="B18" s="26">
        <f>ROUND(H39*基本公式!$B$163,0)</f>
        <v>272825</v>
      </c>
      <c r="C18" s="23">
        <f>其他表格!G44*基本公式!$B$4*基本公式!$B$121</f>
        <v>906.25223400000004</v>
      </c>
      <c r="D18" s="26">
        <f t="shared" si="3"/>
        <v>798245</v>
      </c>
      <c r="E18" s="23">
        <f t="shared" si="4"/>
        <v>221.73466545000008</v>
      </c>
      <c r="F18" s="23">
        <f t="shared" si="5"/>
        <v>9.2389443937500033</v>
      </c>
      <c r="G18" s="9">
        <v>8</v>
      </c>
      <c r="H18">
        <v>19</v>
      </c>
    </row>
    <row r="19" spans="1:10">
      <c r="A19">
        <v>18</v>
      </c>
      <c r="B19" s="26">
        <f>ROUND(H40*基本公式!$B$163,0)</f>
        <v>313460</v>
      </c>
      <c r="C19" s="23">
        <f>其他表格!G45*基本公式!$B$4*基本公式!$B$121</f>
        <v>1172.8889999999999</v>
      </c>
      <c r="D19" s="26">
        <f t="shared" si="3"/>
        <v>959892</v>
      </c>
      <c r="E19" s="23">
        <f t="shared" si="4"/>
        <v>266.63676599999985</v>
      </c>
      <c r="F19" s="23">
        <f t="shared" si="5"/>
        <v>11.109865249999993</v>
      </c>
      <c r="G19" s="9">
        <v>8</v>
      </c>
      <c r="H19">
        <v>19</v>
      </c>
    </row>
    <row r="20" spans="1:10">
      <c r="A20">
        <v>19</v>
      </c>
      <c r="B20" s="26">
        <f>ROUND(H41*基本公式!$B$163,0)</f>
        <v>356365</v>
      </c>
      <c r="C20" s="23">
        <f>其他表格!G46*基本公式!$B$4*基本公式!$B$121</f>
        <v>1489.7747999999997</v>
      </c>
      <c r="D20" s="26">
        <f t="shared" si="3"/>
        <v>1140789</v>
      </c>
      <c r="E20" s="23">
        <f t="shared" si="4"/>
        <v>316.88579999999979</v>
      </c>
      <c r="F20" s="23">
        <f t="shared" si="5"/>
        <v>13.203574999999992</v>
      </c>
      <c r="G20" s="9">
        <v>9</v>
      </c>
      <c r="H20">
        <v>19</v>
      </c>
    </row>
    <row r="21" spans="1:10">
      <c r="A21">
        <v>20</v>
      </c>
      <c r="B21" s="26">
        <f>ROUND(H42*基本公式!$B$163,0)</f>
        <v>419250</v>
      </c>
      <c r="C21" s="23">
        <f>其他表格!G47*基本公式!$B$4*基本公式!$B$121</f>
        <v>1862.76</v>
      </c>
      <c r="D21" s="26">
        <f t="shared" si="3"/>
        <v>1342747</v>
      </c>
      <c r="E21" s="23">
        <f t="shared" si="4"/>
        <v>372.9852000000003</v>
      </c>
      <c r="F21" s="23">
        <f t="shared" si="5"/>
        <v>15.541050000000013</v>
      </c>
      <c r="G21" s="9">
        <v>10</v>
      </c>
      <c r="H21">
        <v>19</v>
      </c>
    </row>
    <row r="22" spans="1:10" s="7" customFormat="1" ht="40.5">
      <c r="A22" s="7" t="s">
        <v>81</v>
      </c>
      <c r="B22" s="24" t="s">
        <v>216</v>
      </c>
      <c r="C22" s="25" t="s">
        <v>217</v>
      </c>
      <c r="D22" s="24" t="s">
        <v>218</v>
      </c>
      <c r="E22" s="25" t="s">
        <v>219</v>
      </c>
      <c r="F22" s="25" t="s">
        <v>220</v>
      </c>
      <c r="G22" s="7" t="s">
        <v>223</v>
      </c>
      <c r="H22" s="7" t="s">
        <v>224</v>
      </c>
      <c r="I22" s="7" t="s">
        <v>225</v>
      </c>
      <c r="J22" s="7" t="s">
        <v>226</v>
      </c>
    </row>
    <row r="23" spans="1:10">
      <c r="A23">
        <v>1</v>
      </c>
      <c r="B23" s="26">
        <f>ROUND(H23*基本公式!$B$164,0)</f>
        <v>96</v>
      </c>
      <c r="C23" s="23">
        <f>其他表格!G28*基本公式!$B$4*基本公式!$B$122</f>
        <v>1.7617549744436307E-2</v>
      </c>
      <c r="D23" s="26">
        <f>ROUND(E23*3600,0)</f>
        <v>63</v>
      </c>
      <c r="E23" s="23">
        <f>C23</f>
        <v>1.7617549744436307E-2</v>
      </c>
      <c r="F23" s="23">
        <f>E23/24</f>
        <v>7.3406457268484614E-4</v>
      </c>
      <c r="G23" s="12">
        <f>ROUND(兵消耗!H2*基本公式!$B$159,-2)</f>
        <v>4800</v>
      </c>
      <c r="H23" s="27">
        <f>G23</f>
        <v>4800</v>
      </c>
      <c r="I23" s="9">
        <f>SUM(G23:H23)</f>
        <v>9600</v>
      </c>
      <c r="J23" s="9">
        <f>I23*2</f>
        <v>19200</v>
      </c>
    </row>
    <row r="24" spans="1:10">
      <c r="A24">
        <v>2</v>
      </c>
      <c r="B24" s="26">
        <f>ROUND(H24*基本公式!$B$164,0)</f>
        <v>186</v>
      </c>
      <c r="C24" s="23">
        <f>其他表格!G29*基本公式!$B$4*基本公式!$B$122</f>
        <v>0.15486591848049022</v>
      </c>
      <c r="D24" s="26">
        <f t="shared" ref="D24" si="6">ROUND(E24*3600,0)</f>
        <v>494</v>
      </c>
      <c r="E24" s="23">
        <f t="shared" ref="E24" si="7">C24-C23</f>
        <v>0.13724836873605392</v>
      </c>
      <c r="F24" s="23">
        <f t="shared" ref="F24" si="8">E24/24</f>
        <v>5.7186820306689137E-3</v>
      </c>
      <c r="G24" s="12">
        <f>ROUND(兵消耗!H3*基本公式!$B$159,-2)</f>
        <v>9300</v>
      </c>
      <c r="H24" s="27">
        <f t="shared" ref="H24" si="9">G24</f>
        <v>9300</v>
      </c>
      <c r="I24" s="9">
        <f t="shared" ref="I24" si="10">SUM(G24:H24)</f>
        <v>18600</v>
      </c>
      <c r="J24" s="9">
        <f t="shared" ref="J24" si="11">I24*2</f>
        <v>37200</v>
      </c>
    </row>
    <row r="25" spans="1:10">
      <c r="A25">
        <v>3</v>
      </c>
      <c r="B25" s="26">
        <f>ROUND(H25*基本公式!$B$164,0)</f>
        <v>276</v>
      </c>
      <c r="C25" s="23">
        <f>其他表格!G30*基本公式!$B$4*基本公式!$B$122</f>
        <v>0.65206702518101156</v>
      </c>
      <c r="D25" s="26">
        <f t="shared" ref="D25:D42" si="12">ROUND(E25*3600,0)</f>
        <v>1790</v>
      </c>
      <c r="E25" s="23">
        <f t="shared" ref="E25:E42" si="13">C25-C24</f>
        <v>0.49720110670052131</v>
      </c>
      <c r="F25" s="23">
        <f t="shared" ref="F25:F42" si="14">E25/24</f>
        <v>2.0716712779188389E-2</v>
      </c>
      <c r="G25" s="12">
        <f>ROUND(兵消耗!H4*基本公式!$B$159,-2)</f>
        <v>13800</v>
      </c>
      <c r="H25" s="27">
        <f t="shared" ref="H25:H42" si="15">G25</f>
        <v>13800</v>
      </c>
      <c r="I25" s="9">
        <f t="shared" ref="I25:I42" si="16">SUM(G25:H25)</f>
        <v>27600</v>
      </c>
      <c r="J25" s="9">
        <f t="shared" ref="J25:J42" si="17">I25*2</f>
        <v>55200</v>
      </c>
    </row>
    <row r="26" spans="1:10">
      <c r="A26">
        <v>4</v>
      </c>
      <c r="B26" s="26">
        <f>ROUND(H26*基本公式!$B$164,0)</f>
        <v>456</v>
      </c>
      <c r="C26" s="23">
        <f>其他表格!G31*基本公式!$B$4*基本公式!$B$122</f>
        <v>1.5443692701655534</v>
      </c>
      <c r="D26" s="26">
        <f t="shared" si="12"/>
        <v>3212</v>
      </c>
      <c r="E26" s="23">
        <f t="shared" si="13"/>
        <v>0.8923022449845418</v>
      </c>
      <c r="F26" s="23">
        <f t="shared" si="14"/>
        <v>3.717926020768924E-2</v>
      </c>
      <c r="G26" s="12">
        <f>ROUND(兵消耗!H5*基本公式!$B$159,-2)</f>
        <v>22800</v>
      </c>
      <c r="H26" s="27">
        <f t="shared" si="15"/>
        <v>22800</v>
      </c>
      <c r="I26" s="9">
        <f t="shared" si="16"/>
        <v>45600</v>
      </c>
      <c r="J26" s="9">
        <f t="shared" si="17"/>
        <v>91200</v>
      </c>
    </row>
    <row r="27" spans="1:10">
      <c r="A27">
        <v>5</v>
      </c>
      <c r="B27" s="26">
        <f>ROUND(H27*基本公式!$B$164,0)</f>
        <v>758</v>
      </c>
      <c r="C27" s="23">
        <f>其他表格!G32*基本公式!$B$4*基本公式!$B$122</f>
        <v>3.0706757418496387</v>
      </c>
      <c r="D27" s="26">
        <f t="shared" si="12"/>
        <v>5495</v>
      </c>
      <c r="E27" s="23">
        <f t="shared" si="13"/>
        <v>1.5263064716840853</v>
      </c>
      <c r="F27" s="23">
        <f t="shared" si="14"/>
        <v>6.3596102986836892E-2</v>
      </c>
      <c r="G27" s="12">
        <f>ROUND(兵消耗!H6*基本公式!$B$159,-2)</f>
        <v>37900</v>
      </c>
      <c r="H27" s="27">
        <f t="shared" si="15"/>
        <v>37900</v>
      </c>
      <c r="I27" s="9">
        <f t="shared" si="16"/>
        <v>75800</v>
      </c>
      <c r="J27" s="9">
        <f t="shared" si="17"/>
        <v>151600</v>
      </c>
    </row>
    <row r="28" spans="1:10">
      <c r="A28">
        <v>6</v>
      </c>
      <c r="B28" s="26">
        <f>ROUND(H28*基本公式!$B$164,0)</f>
        <v>1930</v>
      </c>
      <c r="C28" s="23">
        <f>其他表格!G33*基本公式!$B$4*基本公式!$B$122</f>
        <v>5.323772184011756</v>
      </c>
      <c r="D28" s="26">
        <f t="shared" si="12"/>
        <v>8111</v>
      </c>
      <c r="E28" s="23">
        <f t="shared" si="13"/>
        <v>2.2530964421621174</v>
      </c>
      <c r="F28" s="23">
        <f t="shared" si="14"/>
        <v>9.3879018423421556E-2</v>
      </c>
      <c r="G28" s="12">
        <f>ROUND(兵消耗!H7*基本公式!$B$159,-2)</f>
        <v>96500</v>
      </c>
      <c r="H28" s="27">
        <f t="shared" si="15"/>
        <v>96500</v>
      </c>
      <c r="I28" s="9">
        <f t="shared" si="16"/>
        <v>193000</v>
      </c>
      <c r="J28" s="9">
        <f t="shared" si="17"/>
        <v>386000</v>
      </c>
    </row>
    <row r="29" spans="1:10">
      <c r="A29">
        <v>7</v>
      </c>
      <c r="B29" s="26">
        <f>ROUND(H29*基本公式!$B$164,0)</f>
        <v>3802</v>
      </c>
      <c r="C29" s="23">
        <f>其他表格!G34*基本公式!$B$4*基本公式!$B$122</f>
        <v>9.2065233257346151</v>
      </c>
      <c r="D29" s="26">
        <f t="shared" si="12"/>
        <v>13978</v>
      </c>
      <c r="E29" s="23">
        <f t="shared" si="13"/>
        <v>3.8827511417228591</v>
      </c>
      <c r="F29" s="23">
        <f t="shared" si="14"/>
        <v>0.1617812975717858</v>
      </c>
      <c r="G29" s="12">
        <f>ROUND(兵消耗!H8*基本公式!$B$159,-2)</f>
        <v>190100</v>
      </c>
      <c r="H29" s="27">
        <f t="shared" si="15"/>
        <v>190100</v>
      </c>
      <c r="I29" s="9">
        <f t="shared" si="16"/>
        <v>380200</v>
      </c>
      <c r="J29" s="9">
        <f t="shared" si="17"/>
        <v>760400</v>
      </c>
    </row>
    <row r="30" spans="1:10">
      <c r="A30">
        <v>8</v>
      </c>
      <c r="B30" s="26">
        <f>ROUND(H30*基本公式!$B$164,0)</f>
        <v>6836</v>
      </c>
      <c r="C30" s="23">
        <f>其他表格!G35*基本公式!$B$4*基本公式!$B$122</f>
        <v>18.118100824100161</v>
      </c>
      <c r="D30" s="26">
        <f t="shared" si="12"/>
        <v>32082</v>
      </c>
      <c r="E30" s="23">
        <f t="shared" si="13"/>
        <v>8.9115774983655456</v>
      </c>
      <c r="F30" s="23">
        <f t="shared" si="14"/>
        <v>0.37131572909856442</v>
      </c>
      <c r="G30" s="12">
        <f>ROUND(兵消耗!H9*基本公式!$B$159,-2)</f>
        <v>341800</v>
      </c>
      <c r="H30" s="27">
        <f t="shared" si="15"/>
        <v>341800</v>
      </c>
      <c r="I30" s="9">
        <f t="shared" si="16"/>
        <v>683600</v>
      </c>
      <c r="J30" s="9">
        <f t="shared" si="17"/>
        <v>1367200</v>
      </c>
    </row>
    <row r="31" spans="1:10">
      <c r="A31">
        <v>9</v>
      </c>
      <c r="B31" s="26">
        <f>ROUND(H31*基本公式!$B$164,0)</f>
        <v>9862</v>
      </c>
      <c r="C31" s="23">
        <f>其他表格!G36*基本公式!$B$4*基本公式!$B$122</f>
        <v>31.046929196744461</v>
      </c>
      <c r="D31" s="26">
        <f t="shared" si="12"/>
        <v>46544</v>
      </c>
      <c r="E31" s="23">
        <f t="shared" si="13"/>
        <v>12.928828372644301</v>
      </c>
      <c r="F31" s="23">
        <f t="shared" si="14"/>
        <v>0.53870118219351248</v>
      </c>
      <c r="G31" s="12">
        <f>ROUND(兵消耗!H10*基本公式!$B$159,-2)</f>
        <v>493100</v>
      </c>
      <c r="H31" s="27">
        <f t="shared" si="15"/>
        <v>493100</v>
      </c>
      <c r="I31" s="9">
        <f t="shared" si="16"/>
        <v>986200</v>
      </c>
      <c r="J31" s="9">
        <f t="shared" si="17"/>
        <v>1972400</v>
      </c>
    </row>
    <row r="32" spans="1:10">
      <c r="A32">
        <v>10</v>
      </c>
      <c r="B32" s="26">
        <f>ROUND(H32*基本公式!$B$164,0)</f>
        <v>14998</v>
      </c>
      <c r="C32" s="23">
        <f>其他表格!G37*基本公式!$B$4*基本公式!$B$122</f>
        <v>51.35582273145701</v>
      </c>
      <c r="D32" s="26">
        <f t="shared" si="12"/>
        <v>73112</v>
      </c>
      <c r="E32" s="23">
        <f t="shared" si="13"/>
        <v>20.308893534712549</v>
      </c>
      <c r="F32" s="23">
        <f t="shared" si="14"/>
        <v>0.84620389727968959</v>
      </c>
      <c r="G32" s="12">
        <f>ROUND(兵消耗!H11*基本公式!$B$159,-2)</f>
        <v>749900</v>
      </c>
      <c r="H32" s="27">
        <f t="shared" si="15"/>
        <v>749900</v>
      </c>
      <c r="I32" s="9">
        <f t="shared" si="16"/>
        <v>1499800</v>
      </c>
      <c r="J32" s="9">
        <f t="shared" si="17"/>
        <v>2999600</v>
      </c>
    </row>
    <row r="33" spans="1:21">
      <c r="A33">
        <v>11</v>
      </c>
      <c r="B33" s="26">
        <f>ROUND(H33*基本公式!$B$164,0)</f>
        <v>21826</v>
      </c>
      <c r="C33" s="23">
        <f>其他表格!G38*基本公式!$B$4*基本公式!$B$122</f>
        <v>88.459790350835036</v>
      </c>
      <c r="D33" s="26">
        <f t="shared" si="12"/>
        <v>133574</v>
      </c>
      <c r="E33" s="23">
        <f t="shared" si="13"/>
        <v>37.103967619378025</v>
      </c>
      <c r="F33" s="23">
        <f t="shared" si="14"/>
        <v>1.5459986508074177</v>
      </c>
      <c r="G33" s="12">
        <f>ROUND(兵消耗!H12*基本公式!$B$159,-2)</f>
        <v>1091300</v>
      </c>
      <c r="H33" s="27">
        <f t="shared" si="15"/>
        <v>1091300</v>
      </c>
      <c r="I33" s="9">
        <f t="shared" si="16"/>
        <v>2182600</v>
      </c>
      <c r="J33" s="9">
        <f t="shared" si="17"/>
        <v>4365200</v>
      </c>
    </row>
    <row r="34" spans="1:21">
      <c r="A34">
        <v>12</v>
      </c>
      <c r="B34" s="26">
        <f>ROUND(H34*基本公式!$B$164,0)</f>
        <v>39210</v>
      </c>
      <c r="C34" s="23">
        <f>其他表格!G39*基本公式!$B$4*基本公式!$B$122</f>
        <v>139.67335318552901</v>
      </c>
      <c r="D34" s="26">
        <f t="shared" si="12"/>
        <v>184369</v>
      </c>
      <c r="E34" s="23">
        <f t="shared" si="13"/>
        <v>51.213562834693974</v>
      </c>
      <c r="F34" s="23">
        <f t="shared" si="14"/>
        <v>2.1338984514455821</v>
      </c>
      <c r="G34" s="12">
        <f>ROUND(兵消耗!H13*基本公式!$B$159,-2)</f>
        <v>1960500</v>
      </c>
      <c r="H34" s="27">
        <f t="shared" si="15"/>
        <v>1960500</v>
      </c>
      <c r="I34" s="9">
        <f t="shared" si="16"/>
        <v>3921000</v>
      </c>
      <c r="J34" s="9">
        <f t="shared" si="17"/>
        <v>7842000</v>
      </c>
    </row>
    <row r="35" spans="1:21">
      <c r="A35">
        <v>13</v>
      </c>
      <c r="B35" s="26">
        <f>ROUND(H35*基本公式!$B$164,0)</f>
        <v>53650</v>
      </c>
      <c r="C35" s="23">
        <f>其他表格!G40*基本公式!$B$4*基本公式!$B$122</f>
        <v>217.81419600082498</v>
      </c>
      <c r="D35" s="26">
        <f t="shared" si="12"/>
        <v>281307</v>
      </c>
      <c r="E35" s="23">
        <f t="shared" si="13"/>
        <v>78.140842815295969</v>
      </c>
      <c r="F35" s="23">
        <f t="shared" si="14"/>
        <v>3.2558684506373319</v>
      </c>
      <c r="G35" s="12">
        <f>ROUND(兵消耗!H14*基本公式!$B$159,-2)</f>
        <v>2682500</v>
      </c>
      <c r="H35" s="27">
        <f t="shared" si="15"/>
        <v>2682500</v>
      </c>
      <c r="I35" s="9">
        <f t="shared" si="16"/>
        <v>5365000</v>
      </c>
      <c r="J35" s="9">
        <f t="shared" si="17"/>
        <v>10730000</v>
      </c>
    </row>
    <row r="36" spans="1:21">
      <c r="A36">
        <v>14</v>
      </c>
      <c r="B36" s="26">
        <f>ROUND(H36*基本公式!$B$164,0)</f>
        <v>66262</v>
      </c>
      <c r="C36" s="23">
        <f>其他表格!G41*基本公式!$B$4*基本公式!$B$122</f>
        <v>320.98934147489996</v>
      </c>
      <c r="D36" s="26">
        <f t="shared" si="12"/>
        <v>371431</v>
      </c>
      <c r="E36" s="23">
        <f t="shared" si="13"/>
        <v>103.17514547407498</v>
      </c>
      <c r="F36" s="23">
        <f t="shared" si="14"/>
        <v>4.2989643947531242</v>
      </c>
      <c r="G36" s="12">
        <f>ROUND(兵消耗!H15*基本公式!$B$159,-2)</f>
        <v>3313100</v>
      </c>
      <c r="H36" s="27">
        <f t="shared" si="15"/>
        <v>3313100</v>
      </c>
      <c r="I36" s="9">
        <f t="shared" si="16"/>
        <v>6626200</v>
      </c>
      <c r="J36" s="9">
        <f t="shared" si="17"/>
        <v>13252400</v>
      </c>
    </row>
    <row r="37" spans="1:21">
      <c r="A37">
        <v>15</v>
      </c>
      <c r="B37" s="26">
        <f>ROUND(H37*基本公式!$B$164,0)</f>
        <v>80448</v>
      </c>
      <c r="C37" s="23">
        <f>其他表格!G42*基本公式!$B$4*基本公式!$B$122</f>
        <v>452.52256786874995</v>
      </c>
      <c r="D37" s="26">
        <f t="shared" si="12"/>
        <v>473520</v>
      </c>
      <c r="E37" s="23">
        <f t="shared" si="13"/>
        <v>131.53322639384999</v>
      </c>
      <c r="F37" s="23">
        <f t="shared" si="14"/>
        <v>5.4805510997437494</v>
      </c>
      <c r="G37" s="12">
        <f>ROUND(兵消耗!H16*基本公式!$B$159,-2)</f>
        <v>4022400</v>
      </c>
      <c r="H37" s="27">
        <f t="shared" si="15"/>
        <v>4022400</v>
      </c>
      <c r="I37" s="9">
        <f t="shared" si="16"/>
        <v>8044800</v>
      </c>
      <c r="J37" s="9">
        <f t="shared" si="17"/>
        <v>16089600</v>
      </c>
    </row>
    <row r="38" spans="1:21">
      <c r="A38">
        <v>16</v>
      </c>
      <c r="B38" s="26">
        <f>ROUND(H38*基本公式!$B$164,0)</f>
        <v>94282</v>
      </c>
      <c r="C38" s="23">
        <f>其他表格!G43*基本公式!$B$4*基本公式!$B$122</f>
        <v>616.06581169499998</v>
      </c>
      <c r="D38" s="26">
        <f t="shared" si="12"/>
        <v>588756</v>
      </c>
      <c r="E38" s="23">
        <f t="shared" si="13"/>
        <v>163.54324382625003</v>
      </c>
      <c r="F38" s="23">
        <f t="shared" si="14"/>
        <v>6.8143018260937511</v>
      </c>
      <c r="G38" s="12">
        <f>ROUND(兵消耗!H17*基本公式!$B$159,-2)</f>
        <v>4714100</v>
      </c>
      <c r="H38" s="27">
        <f t="shared" si="15"/>
        <v>4714100</v>
      </c>
      <c r="I38" s="9">
        <f t="shared" si="16"/>
        <v>9428200</v>
      </c>
      <c r="J38" s="9">
        <f t="shared" si="17"/>
        <v>18856400</v>
      </c>
    </row>
    <row r="39" spans="1:21">
      <c r="A39">
        <v>17</v>
      </c>
      <c r="B39" s="26">
        <f>ROUND(H39*基本公式!$B$164,0)</f>
        <v>109130</v>
      </c>
      <c r="C39" s="23">
        <f>其他表格!G44*基本公式!$B$4*基本公式!$B$122</f>
        <v>815.62701059999995</v>
      </c>
      <c r="D39" s="26">
        <f t="shared" si="12"/>
        <v>718420</v>
      </c>
      <c r="E39" s="23">
        <f t="shared" si="13"/>
        <v>199.56119890499997</v>
      </c>
      <c r="F39" s="23">
        <f t="shared" si="14"/>
        <v>8.3150499543749987</v>
      </c>
      <c r="G39" s="12">
        <f>ROUND(兵消耗!H18*基本公式!$B$159,-2)</f>
        <v>5456500</v>
      </c>
      <c r="H39" s="27">
        <f t="shared" si="15"/>
        <v>5456500</v>
      </c>
      <c r="I39" s="9">
        <f t="shared" si="16"/>
        <v>10913000</v>
      </c>
      <c r="J39" s="9">
        <f t="shared" si="17"/>
        <v>21826000</v>
      </c>
    </row>
    <row r="40" spans="1:21">
      <c r="A40">
        <v>18</v>
      </c>
      <c r="B40" s="26">
        <f>ROUND(H40*基本公式!$B$164,0)</f>
        <v>125384</v>
      </c>
      <c r="C40" s="23">
        <f>其他表格!G45*基本公式!$B$4*基本公式!$B$122</f>
        <v>1055.6000999999997</v>
      </c>
      <c r="D40" s="26">
        <f t="shared" si="12"/>
        <v>863903</v>
      </c>
      <c r="E40" s="23">
        <f t="shared" si="13"/>
        <v>239.97308939999971</v>
      </c>
      <c r="F40" s="23">
        <f t="shared" si="14"/>
        <v>9.9988787249999884</v>
      </c>
      <c r="G40" s="12">
        <f>ROUND(兵消耗!H19*基本公式!$B$159,-2)</f>
        <v>6269200</v>
      </c>
      <c r="H40" s="27">
        <f t="shared" si="15"/>
        <v>6269200</v>
      </c>
      <c r="I40" s="9">
        <f t="shared" si="16"/>
        <v>12538400</v>
      </c>
      <c r="J40" s="9">
        <f t="shared" si="17"/>
        <v>25076800</v>
      </c>
    </row>
    <row r="41" spans="1:21">
      <c r="A41">
        <v>19</v>
      </c>
      <c r="B41" s="26">
        <f>ROUND(H41*基本公式!$B$164,0)</f>
        <v>142546</v>
      </c>
      <c r="C41" s="23">
        <f>其他表格!G46*基本公式!$B$4*基本公式!$B$122</f>
        <v>1340.7973199999997</v>
      </c>
      <c r="D41" s="26">
        <f t="shared" si="12"/>
        <v>1026710</v>
      </c>
      <c r="E41" s="23">
        <f t="shared" si="13"/>
        <v>285.19722000000002</v>
      </c>
      <c r="F41" s="23">
        <f t="shared" si="14"/>
        <v>11.883217500000001</v>
      </c>
      <c r="G41" s="12">
        <f>ROUND(兵消耗!H20*基本公式!$B$159,-2)</f>
        <v>7127300</v>
      </c>
      <c r="H41" s="27">
        <f t="shared" si="15"/>
        <v>7127300</v>
      </c>
      <c r="I41" s="9">
        <f t="shared" si="16"/>
        <v>14254600</v>
      </c>
      <c r="J41" s="9">
        <f t="shared" si="17"/>
        <v>28509200</v>
      </c>
    </row>
    <row r="42" spans="1:21">
      <c r="A42">
        <v>20</v>
      </c>
      <c r="B42" s="26">
        <f>ROUND(H42*基本公式!$B$164,0)</f>
        <v>167700</v>
      </c>
      <c r="C42" s="23">
        <f>其他表格!G47*基本公式!$B$4*基本公式!$B$122</f>
        <v>1676.4839999999997</v>
      </c>
      <c r="D42" s="26">
        <f t="shared" si="12"/>
        <v>1208472</v>
      </c>
      <c r="E42" s="23">
        <f t="shared" si="13"/>
        <v>335.68668000000002</v>
      </c>
      <c r="F42" s="23">
        <f t="shared" si="14"/>
        <v>13.986945</v>
      </c>
      <c r="G42" s="12">
        <f>ROUND(兵消耗!H21*基本公式!$B$159,-2)</f>
        <v>8385000</v>
      </c>
      <c r="H42" s="27">
        <f t="shared" si="15"/>
        <v>8385000</v>
      </c>
      <c r="I42" s="9">
        <f t="shared" si="16"/>
        <v>16770000</v>
      </c>
      <c r="J42" s="9">
        <f t="shared" si="17"/>
        <v>33540000</v>
      </c>
    </row>
    <row r="43" spans="1:21" s="7" customFormat="1" ht="27">
      <c r="A43" s="7" t="s">
        <v>82</v>
      </c>
      <c r="B43" s="24" t="s">
        <v>216</v>
      </c>
      <c r="C43" s="25" t="s">
        <v>217</v>
      </c>
      <c r="D43" s="24" t="s">
        <v>218</v>
      </c>
      <c r="E43" s="25" t="s">
        <v>219</v>
      </c>
      <c r="F43" s="25" t="s">
        <v>220</v>
      </c>
      <c r="G43" s="7" t="s">
        <v>227</v>
      </c>
      <c r="H43" s="7" t="s">
        <v>228</v>
      </c>
      <c r="I43" s="7" t="s">
        <v>229</v>
      </c>
      <c r="J43" s="7" t="s">
        <v>230</v>
      </c>
      <c r="K43" s="7" t="s">
        <v>231</v>
      </c>
      <c r="L43" s="7" t="s">
        <v>271</v>
      </c>
      <c r="M43" s="7" t="s">
        <v>272</v>
      </c>
      <c r="N43" s="7" t="s">
        <v>273</v>
      </c>
      <c r="O43" s="7" t="s">
        <v>274</v>
      </c>
      <c r="P43" s="7" t="s">
        <v>1051</v>
      </c>
      <c r="Q43" s="7" t="s">
        <v>275</v>
      </c>
      <c r="R43" s="7" t="s">
        <v>276</v>
      </c>
      <c r="S43" s="7" t="s">
        <v>277</v>
      </c>
      <c r="T43" s="7" t="s">
        <v>278</v>
      </c>
      <c r="U43" s="7" t="s">
        <v>279</v>
      </c>
    </row>
    <row r="44" spans="1:21">
      <c r="A44">
        <v>1</v>
      </c>
      <c r="B44" s="26">
        <f>ROUND(H23*基本公式!$B$165,0)</f>
        <v>168</v>
      </c>
      <c r="C44" s="23">
        <f>其他表格!G28*基本公式!$B$4*基本公式!$B$123</f>
        <v>1.1745033162957538E-2</v>
      </c>
      <c r="D44" s="26">
        <f>ROUND(E44*3600,0)</f>
        <v>42</v>
      </c>
      <c r="E44" s="23">
        <f>C44</f>
        <v>1.1745033162957538E-2</v>
      </c>
      <c r="F44" s="23">
        <f>E44/24</f>
        <v>4.8937638178989747E-4</v>
      </c>
      <c r="G44" s="9">
        <v>1</v>
      </c>
      <c r="H44" s="9">
        <v>0.04</v>
      </c>
      <c r="I44" s="9">
        <v>0</v>
      </c>
      <c r="J44" s="9">
        <v>0</v>
      </c>
      <c r="K44" s="9">
        <v>0</v>
      </c>
      <c r="L44" s="8">
        <f>其他表格!$AA$2</f>
        <v>0.6</v>
      </c>
      <c r="M44" s="8">
        <f>其他表格!$AB$2+建筑!H44</f>
        <v>0.33999999999999997</v>
      </c>
      <c r="N44" s="8">
        <f>其他表格!$AC$2+建筑!I44</f>
        <v>6.8000000000000005E-2</v>
      </c>
      <c r="O44" s="8">
        <f>其他表格!$AD$2+建筑!J44</f>
        <v>0.03</v>
      </c>
      <c r="P44" s="8">
        <f>其他表格!$AE$2+建筑!K44</f>
        <v>2E-3</v>
      </c>
      <c r="Q44" s="5">
        <f t="shared" ref="Q44:Q63" si="18">ROUND(L44/SUM(L44:P44),4)</f>
        <v>0.57689999999999997</v>
      </c>
      <c r="R44" s="5">
        <f t="shared" ref="R44:R63" si="19">ROUND(M44/SUM(L44:P44),4)</f>
        <v>0.32690000000000002</v>
      </c>
      <c r="S44" s="5">
        <f t="shared" ref="S44:S63" si="20">ROUND(N44/SUM(L44:P44),4)</f>
        <v>6.54E-2</v>
      </c>
      <c r="T44" s="5">
        <f t="shared" ref="T44:T63" si="21">ROUND(O44/SUM(L44:P44),4)</f>
        <v>2.8799999999999999E-2</v>
      </c>
      <c r="U44" s="5">
        <f t="shared" ref="U44:U63" si="22">ROUND(P44/SUM(L44:P44),4)</f>
        <v>1.9E-3</v>
      </c>
    </row>
    <row r="45" spans="1:21">
      <c r="A45">
        <v>2</v>
      </c>
      <c r="B45" s="26">
        <f>ROUND(H24*基本公式!$B$165,0)</f>
        <v>326</v>
      </c>
      <c r="C45" s="23">
        <f>其他表格!G29*基本公式!$B$4*基本公式!$B$123</f>
        <v>0.10324394565366014</v>
      </c>
      <c r="D45" s="26">
        <f t="shared" ref="D45" si="23">ROUND(E45*3600,0)</f>
        <v>329</v>
      </c>
      <c r="E45" s="23">
        <f t="shared" ref="E45" si="24">C45-C44</f>
        <v>9.1498912490702605E-2</v>
      </c>
      <c r="F45" s="23">
        <f t="shared" ref="F45" si="25">E45/24</f>
        <v>3.8124546871126084E-3</v>
      </c>
      <c r="G45" s="9">
        <v>2</v>
      </c>
      <c r="H45" s="9">
        <v>7.0000000000000007E-2</v>
      </c>
      <c r="I45" s="9">
        <v>0</v>
      </c>
      <c r="J45" s="9">
        <v>0</v>
      </c>
      <c r="K45" s="9">
        <v>0</v>
      </c>
      <c r="L45" s="8">
        <f>其他表格!$AA$2</f>
        <v>0.6</v>
      </c>
      <c r="M45" s="8">
        <f>其他表格!$AB$2+建筑!H45</f>
        <v>0.37</v>
      </c>
      <c r="N45" s="8">
        <f>其他表格!$AC$2+建筑!I45</f>
        <v>6.8000000000000005E-2</v>
      </c>
      <c r="O45" s="8">
        <f>其他表格!$AD$2+建筑!J45</f>
        <v>0.03</v>
      </c>
      <c r="P45" s="8">
        <f>其他表格!$AE$2+建筑!K45</f>
        <v>2E-3</v>
      </c>
      <c r="Q45" s="5">
        <f t="shared" si="18"/>
        <v>0.56069999999999998</v>
      </c>
      <c r="R45" s="5">
        <f t="shared" si="19"/>
        <v>0.3458</v>
      </c>
      <c r="S45" s="5">
        <f t="shared" si="20"/>
        <v>6.3600000000000004E-2</v>
      </c>
      <c r="T45" s="5">
        <f t="shared" si="21"/>
        <v>2.8000000000000001E-2</v>
      </c>
      <c r="U45" s="5">
        <f t="shared" si="22"/>
        <v>1.9E-3</v>
      </c>
    </row>
    <row r="46" spans="1:21">
      <c r="A46">
        <v>3</v>
      </c>
      <c r="B46" s="26">
        <f>ROUND(H25*基本公式!$B$165,0)</f>
        <v>483</v>
      </c>
      <c r="C46" s="23">
        <f>其他表格!G30*基本公式!$B$4*基本公式!$B$123</f>
        <v>0.43471135012067436</v>
      </c>
      <c r="D46" s="26">
        <f t="shared" ref="D46:D63" si="26">ROUND(E46*3600,0)</f>
        <v>1193</v>
      </c>
      <c r="E46" s="23">
        <f t="shared" ref="E46:E63" si="27">C46-C45</f>
        <v>0.33146740446701423</v>
      </c>
      <c r="F46" s="23">
        <f t="shared" ref="F46:F63" si="28">E46/24</f>
        <v>1.3811141852792259E-2</v>
      </c>
      <c r="G46" s="9">
        <v>3</v>
      </c>
      <c r="H46" s="9">
        <v>0.1</v>
      </c>
      <c r="I46" s="9">
        <v>0.01</v>
      </c>
      <c r="J46" s="9">
        <v>0</v>
      </c>
      <c r="K46" s="9">
        <v>0</v>
      </c>
      <c r="L46" s="8">
        <f>其他表格!$AA$2</f>
        <v>0.6</v>
      </c>
      <c r="M46" s="8">
        <f>其他表格!$AB$2+建筑!H46</f>
        <v>0.4</v>
      </c>
      <c r="N46" s="8">
        <f>其他表格!$AC$2+建筑!I46</f>
        <v>7.8E-2</v>
      </c>
      <c r="O46" s="8">
        <f>其他表格!$AD$2+建筑!J46</f>
        <v>0.03</v>
      </c>
      <c r="P46" s="8">
        <f>其他表格!$AE$2+建筑!K46</f>
        <v>2E-3</v>
      </c>
      <c r="Q46" s="5">
        <f t="shared" si="18"/>
        <v>0.54049999999999998</v>
      </c>
      <c r="R46" s="5">
        <f t="shared" si="19"/>
        <v>0.3604</v>
      </c>
      <c r="S46" s="5">
        <f t="shared" si="20"/>
        <v>7.0300000000000001E-2</v>
      </c>
      <c r="T46" s="5">
        <f t="shared" si="21"/>
        <v>2.7E-2</v>
      </c>
      <c r="U46" s="5">
        <f t="shared" si="22"/>
        <v>1.8E-3</v>
      </c>
    </row>
    <row r="47" spans="1:21">
      <c r="A47">
        <v>4</v>
      </c>
      <c r="B47" s="26">
        <f>ROUND(H26*基本公式!$B$165,0)</f>
        <v>798</v>
      </c>
      <c r="C47" s="23">
        <f>其他表格!G31*基本公式!$B$4*基本公式!$B$123</f>
        <v>1.0295795134437022</v>
      </c>
      <c r="D47" s="26">
        <f t="shared" si="26"/>
        <v>2142</v>
      </c>
      <c r="E47" s="23">
        <f t="shared" si="27"/>
        <v>0.59486816332302794</v>
      </c>
      <c r="F47" s="23">
        <f t="shared" si="28"/>
        <v>2.4786173471792832E-2</v>
      </c>
      <c r="G47" s="9">
        <v>4</v>
      </c>
      <c r="H47" s="9">
        <v>0.15</v>
      </c>
      <c r="I47" s="9">
        <v>0.01</v>
      </c>
      <c r="J47" s="9">
        <v>0</v>
      </c>
      <c r="K47" s="9">
        <v>0</v>
      </c>
      <c r="L47" s="8">
        <f>其他表格!$AA$2</f>
        <v>0.6</v>
      </c>
      <c r="M47" s="8">
        <f>其他表格!$AB$2+建筑!H47</f>
        <v>0.44999999999999996</v>
      </c>
      <c r="N47" s="8">
        <f>其他表格!$AC$2+建筑!I47</f>
        <v>7.8E-2</v>
      </c>
      <c r="O47" s="8">
        <f>其他表格!$AD$2+建筑!J47</f>
        <v>0.03</v>
      </c>
      <c r="P47" s="8">
        <f>其他表格!$AE$2+建筑!K47</f>
        <v>2E-3</v>
      </c>
      <c r="Q47" s="5">
        <f t="shared" si="18"/>
        <v>0.51719999999999999</v>
      </c>
      <c r="R47" s="5">
        <f t="shared" si="19"/>
        <v>0.38790000000000002</v>
      </c>
      <c r="S47" s="5">
        <f t="shared" si="20"/>
        <v>6.7199999999999996E-2</v>
      </c>
      <c r="T47" s="5">
        <f t="shared" si="21"/>
        <v>2.5899999999999999E-2</v>
      </c>
      <c r="U47" s="5">
        <f t="shared" si="22"/>
        <v>1.6999999999999999E-3</v>
      </c>
    </row>
    <row r="48" spans="1:21">
      <c r="A48">
        <v>5</v>
      </c>
      <c r="B48" s="26">
        <f>ROUND(H27*基本公式!$B$165,0)</f>
        <v>1327</v>
      </c>
      <c r="C48" s="23">
        <f>其他表格!G32*基本公式!$B$4*基本公式!$B$123</f>
        <v>2.0471171612330923</v>
      </c>
      <c r="D48" s="26">
        <f t="shared" si="26"/>
        <v>3663</v>
      </c>
      <c r="E48" s="23">
        <f t="shared" si="27"/>
        <v>1.01753764778939</v>
      </c>
      <c r="F48" s="23">
        <f t="shared" si="28"/>
        <v>4.2397401991224583E-2</v>
      </c>
      <c r="G48" s="9">
        <v>5</v>
      </c>
      <c r="H48" s="9">
        <v>0.2</v>
      </c>
      <c r="I48" s="9">
        <f>I47+0.01</f>
        <v>0.02</v>
      </c>
      <c r="J48" s="9">
        <v>0</v>
      </c>
      <c r="K48" s="9">
        <v>0</v>
      </c>
      <c r="L48" s="8">
        <f>其他表格!$AA$2</f>
        <v>0.6</v>
      </c>
      <c r="M48" s="8">
        <f>其他表格!$AB$2+建筑!H48</f>
        <v>0.5</v>
      </c>
      <c r="N48" s="8">
        <f>其他表格!$AC$2+建筑!I48</f>
        <v>8.8000000000000009E-2</v>
      </c>
      <c r="O48" s="8">
        <f>其他表格!$AD$2+建筑!J48</f>
        <v>0.03</v>
      </c>
      <c r="P48" s="8">
        <f>其他表格!$AE$2+建筑!K48</f>
        <v>2E-3</v>
      </c>
      <c r="Q48" s="5">
        <f t="shared" si="18"/>
        <v>0.49180000000000001</v>
      </c>
      <c r="R48" s="5">
        <f t="shared" si="19"/>
        <v>0.4098</v>
      </c>
      <c r="S48" s="5">
        <f t="shared" si="20"/>
        <v>7.2099999999999997E-2</v>
      </c>
      <c r="T48" s="5">
        <f t="shared" si="21"/>
        <v>2.46E-2</v>
      </c>
      <c r="U48" s="5">
        <f t="shared" si="22"/>
        <v>1.6000000000000001E-3</v>
      </c>
    </row>
    <row r="49" spans="1:21">
      <c r="A49">
        <v>6</v>
      </c>
      <c r="B49" s="26">
        <f>ROUND(H28*基本公式!$B$165,0)</f>
        <v>3378</v>
      </c>
      <c r="C49" s="23">
        <f>其他表格!G33*基本公式!$B$4*基本公式!$B$123</f>
        <v>3.5491814560078376</v>
      </c>
      <c r="D49" s="26">
        <f t="shared" si="26"/>
        <v>5407</v>
      </c>
      <c r="E49" s="23">
        <f t="shared" si="27"/>
        <v>1.5020642947747453</v>
      </c>
      <c r="F49" s="23">
        <f t="shared" si="28"/>
        <v>6.2586012282281056E-2</v>
      </c>
      <c r="G49" s="9">
        <v>6</v>
      </c>
      <c r="H49" s="9">
        <v>0.25</v>
      </c>
      <c r="I49" s="9">
        <f t="shared" ref="I49" si="29">I48+0.01</f>
        <v>0.03</v>
      </c>
      <c r="J49" s="9">
        <v>0</v>
      </c>
      <c r="K49" s="9">
        <v>0</v>
      </c>
      <c r="L49" s="8">
        <f>其他表格!$AA$2</f>
        <v>0.6</v>
      </c>
      <c r="M49" s="8">
        <f>其他表格!$AB$2+建筑!H49</f>
        <v>0.55000000000000004</v>
      </c>
      <c r="N49" s="8">
        <f>其他表格!$AC$2+建筑!I49</f>
        <v>9.8000000000000004E-2</v>
      </c>
      <c r="O49" s="8">
        <f>其他表格!$AD$2+建筑!J49</f>
        <v>0.03</v>
      </c>
      <c r="P49" s="8">
        <f>其他表格!$AE$2+建筑!K49</f>
        <v>2E-3</v>
      </c>
      <c r="Q49" s="5">
        <f t="shared" si="18"/>
        <v>0.46879999999999999</v>
      </c>
      <c r="R49" s="5">
        <f t="shared" si="19"/>
        <v>0.42970000000000003</v>
      </c>
      <c r="S49" s="5">
        <f t="shared" si="20"/>
        <v>7.6600000000000001E-2</v>
      </c>
      <c r="T49" s="5">
        <f t="shared" si="21"/>
        <v>2.3400000000000001E-2</v>
      </c>
      <c r="U49" s="5">
        <f t="shared" si="22"/>
        <v>1.6000000000000001E-3</v>
      </c>
    </row>
    <row r="50" spans="1:21">
      <c r="A50">
        <v>7</v>
      </c>
      <c r="B50" s="26">
        <f>ROUND(H29*基本公式!$B$165,0)</f>
        <v>6654</v>
      </c>
      <c r="C50" s="23">
        <f>其他表格!G34*基本公式!$B$4*基本公式!$B$123</f>
        <v>6.13768221715641</v>
      </c>
      <c r="D50" s="26">
        <f t="shared" si="26"/>
        <v>9319</v>
      </c>
      <c r="E50" s="23">
        <f t="shared" si="27"/>
        <v>2.5885007611485724</v>
      </c>
      <c r="F50" s="23">
        <f t="shared" si="28"/>
        <v>0.10785419838119052</v>
      </c>
      <c r="G50" s="9">
        <v>7</v>
      </c>
      <c r="H50" s="9">
        <v>0.2</v>
      </c>
      <c r="I50" s="9">
        <f>I49+0.01</f>
        <v>0.04</v>
      </c>
      <c r="J50" s="9">
        <v>0</v>
      </c>
      <c r="K50" s="9">
        <v>0</v>
      </c>
      <c r="L50" s="8">
        <f>其他表格!$AA$2</f>
        <v>0.6</v>
      </c>
      <c r="M50" s="8">
        <f>其他表格!$AB$2+建筑!H50</f>
        <v>0.5</v>
      </c>
      <c r="N50" s="8">
        <f>其他表格!$AC$2+建筑!I50</f>
        <v>0.10800000000000001</v>
      </c>
      <c r="O50" s="8">
        <f>其他表格!$AD$2+建筑!J50</f>
        <v>0.03</v>
      </c>
      <c r="P50" s="8">
        <f>其他表格!$AE$2+建筑!K50</f>
        <v>2E-3</v>
      </c>
      <c r="Q50" s="5">
        <f t="shared" si="18"/>
        <v>0.4839</v>
      </c>
      <c r="R50" s="5">
        <f t="shared" si="19"/>
        <v>0.4032</v>
      </c>
      <c r="S50" s="5">
        <f t="shared" si="20"/>
        <v>8.7099999999999997E-2</v>
      </c>
      <c r="T50" s="5">
        <f t="shared" si="21"/>
        <v>2.4199999999999999E-2</v>
      </c>
      <c r="U50" s="5">
        <f t="shared" si="22"/>
        <v>1.6000000000000001E-3</v>
      </c>
    </row>
    <row r="51" spans="1:21">
      <c r="A51">
        <v>8</v>
      </c>
      <c r="B51" s="26">
        <f>ROUND(H30*基本公式!$B$165,0)</f>
        <v>11963</v>
      </c>
      <c r="C51" s="23">
        <f>其他表格!G35*基本公式!$B$4*基本公式!$B$123</f>
        <v>12.078733882733442</v>
      </c>
      <c r="D51" s="26">
        <f t="shared" si="26"/>
        <v>21388</v>
      </c>
      <c r="E51" s="23">
        <f t="shared" si="27"/>
        <v>5.9410516655770316</v>
      </c>
      <c r="F51" s="23">
        <f t="shared" si="28"/>
        <v>0.24754381939904299</v>
      </c>
      <c r="G51" s="9">
        <v>8</v>
      </c>
      <c r="H51" s="9">
        <v>0.15</v>
      </c>
      <c r="I51" s="9">
        <f>I50+0.01</f>
        <v>0.05</v>
      </c>
      <c r="J51" s="9">
        <v>0</v>
      </c>
      <c r="K51" s="9">
        <v>0</v>
      </c>
      <c r="L51" s="8">
        <f>其他表格!$AA$2</f>
        <v>0.6</v>
      </c>
      <c r="M51" s="8">
        <f>其他表格!$AB$2+建筑!H51</f>
        <v>0.44999999999999996</v>
      </c>
      <c r="N51" s="8">
        <f>其他表格!$AC$2+建筑!I51</f>
        <v>0.11800000000000001</v>
      </c>
      <c r="O51" s="8">
        <f>其他表格!$AD$2+建筑!J51</f>
        <v>0.03</v>
      </c>
      <c r="P51" s="8">
        <f>其他表格!$AE$2+建筑!K51</f>
        <v>2E-3</v>
      </c>
      <c r="Q51" s="5">
        <f t="shared" si="18"/>
        <v>0.5</v>
      </c>
      <c r="R51" s="5">
        <f t="shared" si="19"/>
        <v>0.375</v>
      </c>
      <c r="S51" s="5">
        <f t="shared" si="20"/>
        <v>9.8299999999999998E-2</v>
      </c>
      <c r="T51" s="5">
        <f t="shared" si="21"/>
        <v>2.5000000000000001E-2</v>
      </c>
      <c r="U51" s="5">
        <f t="shared" si="22"/>
        <v>1.6999999999999999E-3</v>
      </c>
    </row>
    <row r="52" spans="1:21">
      <c r="A52">
        <v>9</v>
      </c>
      <c r="B52" s="26">
        <f>ROUND(H31*基本公式!$B$165,0)</f>
        <v>17259</v>
      </c>
      <c r="C52" s="23">
        <f>其他表格!G36*基本公式!$B$4*基本公式!$B$123</f>
        <v>20.697952797829643</v>
      </c>
      <c r="D52" s="26">
        <f t="shared" si="26"/>
        <v>31029</v>
      </c>
      <c r="E52" s="23">
        <f t="shared" si="27"/>
        <v>8.6192189150962015</v>
      </c>
      <c r="F52" s="23">
        <f t="shared" si="28"/>
        <v>0.35913412146234175</v>
      </c>
      <c r="G52" s="9">
        <v>9</v>
      </c>
      <c r="H52" s="9">
        <v>0.1</v>
      </c>
      <c r="I52" s="9">
        <f>I51+0.01</f>
        <v>6.0000000000000005E-2</v>
      </c>
      <c r="J52" s="9">
        <v>0.01</v>
      </c>
      <c r="K52" s="9">
        <v>0</v>
      </c>
      <c r="L52" s="8">
        <f>其他表格!$AA$2</f>
        <v>0.6</v>
      </c>
      <c r="M52" s="8">
        <f>其他表格!$AB$2+建筑!H52</f>
        <v>0.4</v>
      </c>
      <c r="N52" s="8">
        <f>其他表格!$AC$2+建筑!I52</f>
        <v>0.128</v>
      </c>
      <c r="O52" s="8">
        <f>其他表格!$AD$2+建筑!J52</f>
        <v>0.04</v>
      </c>
      <c r="P52" s="8">
        <f>其他表格!$AE$2+建筑!K52</f>
        <v>2E-3</v>
      </c>
      <c r="Q52" s="5">
        <f t="shared" si="18"/>
        <v>0.51280000000000003</v>
      </c>
      <c r="R52" s="5">
        <f t="shared" si="19"/>
        <v>0.34189999999999998</v>
      </c>
      <c r="S52" s="5">
        <f t="shared" si="20"/>
        <v>0.1094</v>
      </c>
      <c r="T52" s="5">
        <f t="shared" si="21"/>
        <v>3.4200000000000001E-2</v>
      </c>
      <c r="U52" s="5">
        <f t="shared" si="22"/>
        <v>1.6999999999999999E-3</v>
      </c>
    </row>
    <row r="53" spans="1:21">
      <c r="A53">
        <v>10</v>
      </c>
      <c r="B53" s="26">
        <f>ROUND(H32*基本公式!$B$165,0)</f>
        <v>26247</v>
      </c>
      <c r="C53" s="23">
        <f>其他表格!G37*基本公式!$B$4*基本公式!$B$123</f>
        <v>34.237215154304671</v>
      </c>
      <c r="D53" s="26">
        <f t="shared" si="26"/>
        <v>48741</v>
      </c>
      <c r="E53" s="23">
        <f t="shared" si="27"/>
        <v>13.539262356475028</v>
      </c>
      <c r="F53" s="23">
        <f t="shared" si="28"/>
        <v>0.5641359315197928</v>
      </c>
      <c r="G53" s="9">
        <v>10</v>
      </c>
      <c r="H53" s="9">
        <v>0.1</v>
      </c>
      <c r="I53" s="9">
        <f>I52+0.02</f>
        <v>0.08</v>
      </c>
      <c r="J53" s="9">
        <f>J52+0.01</f>
        <v>0.02</v>
      </c>
      <c r="K53" s="9">
        <v>0</v>
      </c>
      <c r="L53" s="8">
        <f>其他表格!$AA$2</f>
        <v>0.6</v>
      </c>
      <c r="M53" s="8">
        <f>其他表格!$AB$2+建筑!H53</f>
        <v>0.4</v>
      </c>
      <c r="N53" s="8">
        <f>其他表格!$AC$2+建筑!I53</f>
        <v>0.14800000000000002</v>
      </c>
      <c r="O53" s="8">
        <f>其他表格!$AD$2+建筑!J53</f>
        <v>0.05</v>
      </c>
      <c r="P53" s="8">
        <f>其他表格!$AE$2+建筑!K53</f>
        <v>2E-3</v>
      </c>
      <c r="Q53" s="5">
        <f t="shared" si="18"/>
        <v>0.5</v>
      </c>
      <c r="R53" s="5">
        <f t="shared" si="19"/>
        <v>0.33329999999999999</v>
      </c>
      <c r="S53" s="5">
        <f t="shared" si="20"/>
        <v>0.12330000000000001</v>
      </c>
      <c r="T53" s="5">
        <f t="shared" si="21"/>
        <v>4.1700000000000001E-2</v>
      </c>
      <c r="U53" s="5">
        <f t="shared" si="22"/>
        <v>1.6999999999999999E-3</v>
      </c>
    </row>
    <row r="54" spans="1:21">
      <c r="A54">
        <v>11</v>
      </c>
      <c r="B54" s="26">
        <f>ROUND(H33*基本公式!$B$165,0)</f>
        <v>38196</v>
      </c>
      <c r="C54" s="23">
        <f>其他表格!G38*基本公式!$B$4*基本公式!$B$123</f>
        <v>58.973193567223362</v>
      </c>
      <c r="D54" s="26">
        <f t="shared" si="26"/>
        <v>89050</v>
      </c>
      <c r="E54" s="23">
        <f t="shared" si="27"/>
        <v>24.735978412918691</v>
      </c>
      <c r="F54" s="23">
        <f t="shared" si="28"/>
        <v>1.0306657672049455</v>
      </c>
      <c r="G54" s="9">
        <v>11</v>
      </c>
      <c r="H54" s="9">
        <v>0.1</v>
      </c>
      <c r="I54" s="9">
        <f t="shared" ref="I54" si="30">I53+0.02</f>
        <v>0.1</v>
      </c>
      <c r="J54" s="9">
        <f t="shared" ref="J54" si="31">J53+0.01</f>
        <v>0.03</v>
      </c>
      <c r="K54" s="9">
        <v>0</v>
      </c>
      <c r="L54" s="8">
        <f>其他表格!$AA$2</f>
        <v>0.6</v>
      </c>
      <c r="M54" s="8">
        <f>其他表格!$AB$2+建筑!H54</f>
        <v>0.4</v>
      </c>
      <c r="N54" s="8">
        <f>其他表格!$AC$2+建筑!I54</f>
        <v>0.16800000000000001</v>
      </c>
      <c r="O54" s="8">
        <f>其他表格!$AD$2+建筑!J54</f>
        <v>0.06</v>
      </c>
      <c r="P54" s="8">
        <f>其他表格!$AE$2+建筑!K54</f>
        <v>2E-3</v>
      </c>
      <c r="Q54" s="5">
        <f t="shared" si="18"/>
        <v>0.48780000000000001</v>
      </c>
      <c r="R54" s="5">
        <f t="shared" si="19"/>
        <v>0.32519999999999999</v>
      </c>
      <c r="S54" s="5">
        <f t="shared" si="20"/>
        <v>0.1366</v>
      </c>
      <c r="T54" s="5">
        <f t="shared" si="21"/>
        <v>4.8800000000000003E-2</v>
      </c>
      <c r="U54" s="5">
        <f t="shared" si="22"/>
        <v>1.6000000000000001E-3</v>
      </c>
    </row>
    <row r="55" spans="1:21">
      <c r="A55">
        <v>12</v>
      </c>
      <c r="B55" s="26">
        <f>ROUND(H34*基本公式!$B$165,0)</f>
        <v>68618</v>
      </c>
      <c r="C55" s="23">
        <f>其他表格!G39*基本公式!$B$4*基本公式!$B$123</f>
        <v>93.115568790352668</v>
      </c>
      <c r="D55" s="26">
        <f t="shared" si="26"/>
        <v>122913</v>
      </c>
      <c r="E55" s="23">
        <f t="shared" si="27"/>
        <v>34.142375223129307</v>
      </c>
      <c r="F55" s="23">
        <f t="shared" si="28"/>
        <v>1.4225989676303878</v>
      </c>
      <c r="G55" s="9">
        <v>12</v>
      </c>
      <c r="H55" s="9">
        <v>0.1</v>
      </c>
      <c r="I55" s="9">
        <f>I54+0.02</f>
        <v>0.12000000000000001</v>
      </c>
      <c r="J55" s="9">
        <f t="shared" ref="J55:J63" si="32">J54+0.01</f>
        <v>0.04</v>
      </c>
      <c r="K55" s="9">
        <v>0</v>
      </c>
      <c r="L55" s="8">
        <f>其他表格!$AA$2</f>
        <v>0.6</v>
      </c>
      <c r="M55" s="8">
        <f>其他表格!$AB$2+建筑!H55</f>
        <v>0.4</v>
      </c>
      <c r="N55" s="8">
        <f>其他表格!$AC$2+建筑!I55</f>
        <v>0.188</v>
      </c>
      <c r="O55" s="8">
        <f>其他表格!$AD$2+建筑!J55</f>
        <v>7.0000000000000007E-2</v>
      </c>
      <c r="P55" s="8">
        <f>其他表格!$AE$2+建筑!K55</f>
        <v>2E-3</v>
      </c>
      <c r="Q55" s="5">
        <f t="shared" si="18"/>
        <v>0.47620000000000001</v>
      </c>
      <c r="R55" s="5">
        <f t="shared" si="19"/>
        <v>0.3175</v>
      </c>
      <c r="S55" s="5">
        <f t="shared" si="20"/>
        <v>0.1492</v>
      </c>
      <c r="T55" s="5">
        <f t="shared" si="21"/>
        <v>5.5599999999999997E-2</v>
      </c>
      <c r="U55" s="5">
        <f t="shared" si="22"/>
        <v>1.6000000000000001E-3</v>
      </c>
    </row>
    <row r="56" spans="1:21">
      <c r="A56">
        <v>13</v>
      </c>
      <c r="B56" s="26">
        <f>ROUND(H35*基本公式!$B$165,0)</f>
        <v>93888</v>
      </c>
      <c r="C56" s="23">
        <f>其他表格!G40*基本公式!$B$4*基本公式!$B$123</f>
        <v>145.20946400054999</v>
      </c>
      <c r="D56" s="26">
        <f t="shared" si="26"/>
        <v>187538</v>
      </c>
      <c r="E56" s="23">
        <f t="shared" si="27"/>
        <v>52.093895210197317</v>
      </c>
      <c r="F56" s="23">
        <f t="shared" si="28"/>
        <v>2.1705789670915547</v>
      </c>
      <c r="G56" s="9">
        <v>13</v>
      </c>
      <c r="H56" s="9">
        <v>0.1</v>
      </c>
      <c r="I56" s="9">
        <f>I55+0.02</f>
        <v>0.14000000000000001</v>
      </c>
      <c r="J56" s="9">
        <f t="shared" si="32"/>
        <v>0.05</v>
      </c>
      <c r="K56" s="9">
        <v>0.01</v>
      </c>
      <c r="L56" s="8">
        <f>其他表格!$AA$2</f>
        <v>0.6</v>
      </c>
      <c r="M56" s="8">
        <f>其他表格!$AB$2+建筑!H56</f>
        <v>0.4</v>
      </c>
      <c r="N56" s="8">
        <f>其他表格!$AC$2+建筑!I56</f>
        <v>0.20800000000000002</v>
      </c>
      <c r="O56" s="8">
        <f>其他表格!$AD$2+建筑!J56</f>
        <v>0.08</v>
      </c>
      <c r="P56" s="8">
        <f>其他表格!$AE$2+建筑!K56</f>
        <v>1.2E-2</v>
      </c>
      <c r="Q56" s="5">
        <f t="shared" si="18"/>
        <v>0.46150000000000002</v>
      </c>
      <c r="R56" s="5">
        <f t="shared" si="19"/>
        <v>0.30769999999999997</v>
      </c>
      <c r="S56" s="5">
        <f t="shared" si="20"/>
        <v>0.16</v>
      </c>
      <c r="T56" s="5">
        <f t="shared" si="21"/>
        <v>6.1499999999999999E-2</v>
      </c>
      <c r="U56" s="5">
        <f t="shared" si="22"/>
        <v>9.1999999999999998E-3</v>
      </c>
    </row>
    <row r="57" spans="1:21">
      <c r="A57">
        <v>14</v>
      </c>
      <c r="B57" s="26">
        <f>ROUND(H36*基本公式!$B$165,0)</f>
        <v>115959</v>
      </c>
      <c r="C57" s="23">
        <f>其他表格!G41*基本公式!$B$4*基本公式!$B$123</f>
        <v>213.99289431659997</v>
      </c>
      <c r="D57" s="26">
        <f t="shared" si="26"/>
        <v>247620</v>
      </c>
      <c r="E57" s="23">
        <f t="shared" si="27"/>
        <v>68.783430316049987</v>
      </c>
      <c r="F57" s="23">
        <f t="shared" si="28"/>
        <v>2.8659762631687493</v>
      </c>
      <c r="G57" s="9">
        <v>14</v>
      </c>
      <c r="H57" s="9">
        <v>0.1</v>
      </c>
      <c r="I57" s="9">
        <f>I56+0.02</f>
        <v>0.16</v>
      </c>
      <c r="J57" s="9">
        <f t="shared" si="32"/>
        <v>6.0000000000000005E-2</v>
      </c>
      <c r="K57" s="9">
        <f>K56+0.002</f>
        <v>1.2E-2</v>
      </c>
      <c r="L57" s="8">
        <f>其他表格!$AA$2</f>
        <v>0.6</v>
      </c>
      <c r="M57" s="8">
        <f>其他表格!$AB$2+建筑!H57</f>
        <v>0.4</v>
      </c>
      <c r="N57" s="8">
        <f>其他表格!$AC$2+建筑!I57</f>
        <v>0.22800000000000001</v>
      </c>
      <c r="O57" s="8">
        <f>其他表格!$AD$2+建筑!J57</f>
        <v>0.09</v>
      </c>
      <c r="P57" s="8">
        <f>其他表格!$AE$2+建筑!K57</f>
        <v>1.4E-2</v>
      </c>
      <c r="Q57" s="5">
        <f t="shared" si="18"/>
        <v>0.45050000000000001</v>
      </c>
      <c r="R57" s="5">
        <f t="shared" si="19"/>
        <v>0.30030000000000001</v>
      </c>
      <c r="S57" s="5">
        <f t="shared" si="20"/>
        <v>0.17119999999999999</v>
      </c>
      <c r="T57" s="5">
        <f t="shared" si="21"/>
        <v>6.7599999999999993E-2</v>
      </c>
      <c r="U57" s="5">
        <f t="shared" si="22"/>
        <v>1.0500000000000001E-2</v>
      </c>
    </row>
    <row r="58" spans="1:21">
      <c r="A58">
        <v>15</v>
      </c>
      <c r="B58" s="26">
        <f>ROUND(H37*基本公式!$B$165,0)</f>
        <v>140784</v>
      </c>
      <c r="C58" s="23">
        <f>其他表格!G42*基本公式!$B$4*基本公式!$B$123</f>
        <v>301.68171191249996</v>
      </c>
      <c r="D58" s="26">
        <f t="shared" si="26"/>
        <v>315680</v>
      </c>
      <c r="E58" s="23">
        <f t="shared" si="27"/>
        <v>87.688817595899991</v>
      </c>
      <c r="F58" s="23">
        <f t="shared" si="28"/>
        <v>3.6537007331624998</v>
      </c>
      <c r="G58" s="9">
        <v>15</v>
      </c>
      <c r="H58" s="9">
        <v>0.1</v>
      </c>
      <c r="I58" s="9">
        <f>I57+0.03</f>
        <v>0.19</v>
      </c>
      <c r="J58" s="9">
        <f t="shared" si="32"/>
        <v>7.0000000000000007E-2</v>
      </c>
      <c r="K58" s="9">
        <f t="shared" ref="K58" si="33">K57+0.002</f>
        <v>1.4E-2</v>
      </c>
      <c r="L58" s="8">
        <f>其他表格!$AA$2</f>
        <v>0.6</v>
      </c>
      <c r="M58" s="8">
        <f>其他表格!$AB$2+建筑!H58</f>
        <v>0.4</v>
      </c>
      <c r="N58" s="8">
        <f>其他表格!$AC$2+建筑!I58</f>
        <v>0.25800000000000001</v>
      </c>
      <c r="O58" s="8">
        <f>其他表格!$AD$2+建筑!J58</f>
        <v>0.1</v>
      </c>
      <c r="P58" s="8">
        <f>其他表格!$AE$2+建筑!K58</f>
        <v>1.6E-2</v>
      </c>
      <c r="Q58" s="5">
        <f t="shared" si="18"/>
        <v>0.43669999999999998</v>
      </c>
      <c r="R58" s="5">
        <f t="shared" si="19"/>
        <v>0.29110000000000003</v>
      </c>
      <c r="S58" s="5">
        <f t="shared" si="20"/>
        <v>0.18779999999999999</v>
      </c>
      <c r="T58" s="5">
        <f t="shared" si="21"/>
        <v>7.2800000000000004E-2</v>
      </c>
      <c r="U58" s="5">
        <f t="shared" si="22"/>
        <v>1.1599999999999999E-2</v>
      </c>
    </row>
    <row r="59" spans="1:21">
      <c r="A59">
        <v>16</v>
      </c>
      <c r="B59" s="26">
        <f>ROUND(H38*基本公式!$B$165,0)</f>
        <v>164994</v>
      </c>
      <c r="C59" s="23">
        <f>其他表格!G43*基本公式!$B$4*基本公式!$B$123</f>
        <v>410.71054112999997</v>
      </c>
      <c r="D59" s="26">
        <f t="shared" si="26"/>
        <v>392504</v>
      </c>
      <c r="E59" s="23">
        <f t="shared" si="27"/>
        <v>109.0288292175</v>
      </c>
      <c r="F59" s="23">
        <f t="shared" si="28"/>
        <v>4.5428678840624999</v>
      </c>
      <c r="G59" s="9">
        <v>16</v>
      </c>
      <c r="H59" s="9">
        <v>0.1</v>
      </c>
      <c r="I59" s="9">
        <f t="shared" ref="I59" si="34">I58+0.03</f>
        <v>0.22</v>
      </c>
      <c r="J59" s="9">
        <f t="shared" si="32"/>
        <v>0.08</v>
      </c>
      <c r="K59" s="9">
        <f>K58+0.002</f>
        <v>1.6E-2</v>
      </c>
      <c r="L59" s="8">
        <f>其他表格!$AA$2</f>
        <v>0.6</v>
      </c>
      <c r="M59" s="8">
        <f>其他表格!$AB$2+建筑!H59</f>
        <v>0.4</v>
      </c>
      <c r="N59" s="8">
        <f>其他表格!$AC$2+建筑!I59</f>
        <v>0.28800000000000003</v>
      </c>
      <c r="O59" s="8">
        <f>其他表格!$AD$2+建筑!J59</f>
        <v>0.11</v>
      </c>
      <c r="P59" s="8">
        <f>其他表格!$AE$2+建筑!K59</f>
        <v>1.8000000000000002E-2</v>
      </c>
      <c r="Q59" s="5">
        <f t="shared" si="18"/>
        <v>0.42370000000000002</v>
      </c>
      <c r="R59" s="5">
        <f t="shared" si="19"/>
        <v>0.28249999999999997</v>
      </c>
      <c r="S59" s="5">
        <f t="shared" si="20"/>
        <v>0.2034</v>
      </c>
      <c r="T59" s="5">
        <f t="shared" si="21"/>
        <v>7.7700000000000005E-2</v>
      </c>
      <c r="U59" s="5">
        <f t="shared" si="22"/>
        <v>1.2699999999999999E-2</v>
      </c>
    </row>
    <row r="60" spans="1:21">
      <c r="A60">
        <v>17</v>
      </c>
      <c r="B60" s="26">
        <f>ROUND(H39*基本公式!$B$165,0)</f>
        <v>190978</v>
      </c>
      <c r="C60" s="23">
        <f>其他表格!G44*基本公式!$B$4*基本公式!$B$123</f>
        <v>543.7513404</v>
      </c>
      <c r="D60" s="26">
        <f t="shared" si="26"/>
        <v>478947</v>
      </c>
      <c r="E60" s="23">
        <f t="shared" si="27"/>
        <v>133.04079927000004</v>
      </c>
      <c r="F60" s="23">
        <f t="shared" si="28"/>
        <v>5.5433666362500018</v>
      </c>
      <c r="G60" s="9">
        <v>17</v>
      </c>
      <c r="H60" s="9">
        <v>0.1</v>
      </c>
      <c r="I60" s="9">
        <f>I59+0.03</f>
        <v>0.25</v>
      </c>
      <c r="J60" s="9">
        <f t="shared" si="32"/>
        <v>0.09</v>
      </c>
      <c r="K60" s="9">
        <f>K59+0.002</f>
        <v>1.8000000000000002E-2</v>
      </c>
      <c r="L60" s="8">
        <f>其他表格!$AA$2</f>
        <v>0.6</v>
      </c>
      <c r="M60" s="8">
        <f>其他表格!$AB$2+建筑!H60</f>
        <v>0.4</v>
      </c>
      <c r="N60" s="8">
        <f>其他表格!$AC$2+建筑!I60</f>
        <v>0.318</v>
      </c>
      <c r="O60" s="8">
        <f>其他表格!$AD$2+建筑!J60</f>
        <v>0.12</v>
      </c>
      <c r="P60" s="8">
        <f>其他表格!$AE$2+建筑!K60</f>
        <v>2.0000000000000004E-2</v>
      </c>
      <c r="Q60" s="5">
        <f t="shared" si="18"/>
        <v>0.41149999999999998</v>
      </c>
      <c r="R60" s="5">
        <f t="shared" si="19"/>
        <v>0.27429999999999999</v>
      </c>
      <c r="S60" s="5">
        <f t="shared" si="20"/>
        <v>0.21809999999999999</v>
      </c>
      <c r="T60" s="5">
        <f t="shared" si="21"/>
        <v>8.2299999999999998E-2</v>
      </c>
      <c r="U60" s="5">
        <f t="shared" si="22"/>
        <v>1.37E-2</v>
      </c>
    </row>
    <row r="61" spans="1:21">
      <c r="A61">
        <v>18</v>
      </c>
      <c r="B61" s="26">
        <f>ROUND(H40*基本公式!$B$165,0)</f>
        <v>219422</v>
      </c>
      <c r="C61" s="23">
        <f>其他表格!G45*基本公式!$B$4*基本公式!$B$123</f>
        <v>703.73339999999985</v>
      </c>
      <c r="D61" s="26">
        <f t="shared" si="26"/>
        <v>575935</v>
      </c>
      <c r="E61" s="23">
        <f t="shared" si="27"/>
        <v>159.98205959999984</v>
      </c>
      <c r="F61" s="23">
        <f t="shared" si="28"/>
        <v>6.6659191499999935</v>
      </c>
      <c r="G61" s="9">
        <v>18</v>
      </c>
      <c r="H61" s="9">
        <v>0.1</v>
      </c>
      <c r="I61" s="9">
        <f>I60+0.03</f>
        <v>0.28000000000000003</v>
      </c>
      <c r="J61" s="9">
        <f t="shared" si="32"/>
        <v>9.9999999999999992E-2</v>
      </c>
      <c r="K61" s="9">
        <f>K60+0.002</f>
        <v>2.0000000000000004E-2</v>
      </c>
      <c r="L61" s="8">
        <f>其他表格!$AA$2</f>
        <v>0.6</v>
      </c>
      <c r="M61" s="8">
        <f>其他表格!$AB$2+建筑!H61</f>
        <v>0.4</v>
      </c>
      <c r="N61" s="8">
        <f>其他表格!$AC$2+建筑!I61</f>
        <v>0.34800000000000003</v>
      </c>
      <c r="O61" s="8">
        <f>其他表格!$AD$2+建筑!J61</f>
        <v>0.13</v>
      </c>
      <c r="P61" s="8">
        <f>其他表格!$AE$2+建筑!K61</f>
        <v>2.2000000000000006E-2</v>
      </c>
      <c r="Q61" s="5">
        <f t="shared" si="18"/>
        <v>0.4</v>
      </c>
      <c r="R61" s="5">
        <f t="shared" si="19"/>
        <v>0.26669999999999999</v>
      </c>
      <c r="S61" s="5">
        <f t="shared" si="20"/>
        <v>0.23200000000000001</v>
      </c>
      <c r="T61" s="5">
        <f t="shared" si="21"/>
        <v>8.6699999999999999E-2</v>
      </c>
      <c r="U61" s="5">
        <f t="shared" si="22"/>
        <v>1.47E-2</v>
      </c>
    </row>
    <row r="62" spans="1:21">
      <c r="A62">
        <v>19</v>
      </c>
      <c r="B62" s="26">
        <f>ROUND(H41*基本公式!$B$165,0)</f>
        <v>249456</v>
      </c>
      <c r="C62" s="23">
        <f>其他表格!G46*基本公式!$B$4*基本公式!$B$123</f>
        <v>893.86487999999974</v>
      </c>
      <c r="D62" s="26">
        <f t="shared" si="26"/>
        <v>684473</v>
      </c>
      <c r="E62" s="23">
        <f t="shared" si="27"/>
        <v>190.1314799999999</v>
      </c>
      <c r="F62" s="23">
        <f t="shared" si="28"/>
        <v>7.922144999999996</v>
      </c>
      <c r="G62" s="9">
        <v>19</v>
      </c>
      <c r="H62" s="9">
        <v>0.1</v>
      </c>
      <c r="I62" s="9">
        <f>I61+0.03</f>
        <v>0.31000000000000005</v>
      </c>
      <c r="J62" s="9">
        <f t="shared" si="32"/>
        <v>0.10999999999999999</v>
      </c>
      <c r="K62" s="9">
        <f>K61+0.002</f>
        <v>2.2000000000000006E-2</v>
      </c>
      <c r="L62" s="8">
        <f>其他表格!$AA$2</f>
        <v>0.6</v>
      </c>
      <c r="M62" s="8">
        <f>其他表格!$AB$2+建筑!H62</f>
        <v>0.4</v>
      </c>
      <c r="N62" s="8">
        <f>其他表格!$AC$2+建筑!I62</f>
        <v>0.37800000000000006</v>
      </c>
      <c r="O62" s="8">
        <f>其他表格!$AD$2+建筑!J62</f>
        <v>0.13999999999999999</v>
      </c>
      <c r="P62" s="8">
        <f>其他表格!$AE$2+建筑!K62</f>
        <v>2.4000000000000007E-2</v>
      </c>
      <c r="Q62" s="5">
        <f t="shared" si="18"/>
        <v>0.3891</v>
      </c>
      <c r="R62" s="5">
        <f t="shared" si="19"/>
        <v>0.25940000000000002</v>
      </c>
      <c r="S62" s="5">
        <f t="shared" si="20"/>
        <v>0.24510000000000001</v>
      </c>
      <c r="T62" s="5">
        <f t="shared" si="21"/>
        <v>9.0800000000000006E-2</v>
      </c>
      <c r="U62" s="5">
        <f t="shared" si="22"/>
        <v>1.5599999999999999E-2</v>
      </c>
    </row>
    <row r="63" spans="1:21">
      <c r="A63">
        <v>20</v>
      </c>
      <c r="B63" s="26">
        <f>ROUND(H42*基本公式!$B$165,0)</f>
        <v>293475</v>
      </c>
      <c r="C63" s="23">
        <f>其他表格!G47*基本公式!$B$4*基本公式!$B$123</f>
        <v>1117.6559999999999</v>
      </c>
      <c r="D63" s="26">
        <f t="shared" si="26"/>
        <v>805648</v>
      </c>
      <c r="E63" s="23">
        <f t="shared" si="27"/>
        <v>223.79112000000021</v>
      </c>
      <c r="F63" s="23">
        <f t="shared" si="28"/>
        <v>9.324630000000008</v>
      </c>
      <c r="G63" s="9">
        <v>20</v>
      </c>
      <c r="H63" s="9">
        <v>0.1</v>
      </c>
      <c r="I63" s="9">
        <f>I62+0.03</f>
        <v>0.34000000000000008</v>
      </c>
      <c r="J63" s="9">
        <f t="shared" si="32"/>
        <v>0.11999999999999998</v>
      </c>
      <c r="K63" s="9">
        <f>K62+0.002</f>
        <v>2.4000000000000007E-2</v>
      </c>
      <c r="L63" s="8">
        <f>其他表格!$AA$2</f>
        <v>0.6</v>
      </c>
      <c r="M63" s="8">
        <f>其他表格!$AB$2+建筑!H63</f>
        <v>0.4</v>
      </c>
      <c r="N63" s="8">
        <f>其他表格!$AC$2+建筑!I63</f>
        <v>0.40800000000000008</v>
      </c>
      <c r="O63" s="8">
        <f>其他表格!$AD$2+建筑!J63</f>
        <v>0.14999999999999997</v>
      </c>
      <c r="P63" s="8">
        <f>其他表格!$AE$2+建筑!K63</f>
        <v>2.6000000000000009E-2</v>
      </c>
      <c r="Q63" s="5">
        <f t="shared" si="18"/>
        <v>0.37880000000000003</v>
      </c>
      <c r="R63" s="5">
        <f t="shared" si="19"/>
        <v>0.2525</v>
      </c>
      <c r="S63" s="5">
        <f t="shared" si="20"/>
        <v>0.2576</v>
      </c>
      <c r="T63" s="5">
        <f t="shared" si="21"/>
        <v>9.4700000000000006E-2</v>
      </c>
      <c r="U63" s="5">
        <f t="shared" si="22"/>
        <v>1.6400000000000001E-2</v>
      </c>
    </row>
    <row r="64" spans="1:21" s="7" customFormat="1" ht="27">
      <c r="A64" s="7" t="s">
        <v>83</v>
      </c>
      <c r="B64" s="24" t="s">
        <v>216</v>
      </c>
      <c r="C64" s="25" t="s">
        <v>217</v>
      </c>
      <c r="D64" s="24" t="s">
        <v>218</v>
      </c>
      <c r="E64" s="25" t="s">
        <v>219</v>
      </c>
      <c r="F64" s="25" t="s">
        <v>220</v>
      </c>
      <c r="G64" s="7" t="s">
        <v>232</v>
      </c>
    </row>
    <row r="65" spans="1:7">
      <c r="A65">
        <v>1</v>
      </c>
      <c r="B65" s="26">
        <f>ROUND(H23*基本公式!$B$166,0)</f>
        <v>192</v>
      </c>
      <c r="C65" s="23">
        <f>其他表格!G28*基本公式!$B$4*基本公式!$B$124</f>
        <v>1.1745033162957538E-2</v>
      </c>
      <c r="D65" s="26">
        <f>ROUND(E65*3600,0)</f>
        <v>42</v>
      </c>
      <c r="E65" s="23">
        <f>C65</f>
        <v>1.1745033162957538E-2</v>
      </c>
      <c r="F65" s="23">
        <f>E65/24</f>
        <v>4.8937638178989747E-4</v>
      </c>
      <c r="G65" s="9">
        <v>1</v>
      </c>
    </row>
    <row r="66" spans="1:7">
      <c r="A66">
        <v>2</v>
      </c>
      <c r="B66" s="26">
        <f>ROUND(H24*基本公式!$B$166,0)</f>
        <v>372</v>
      </c>
      <c r="C66" s="23">
        <f>其他表格!G29*基本公式!$B$4*基本公式!$B$124</f>
        <v>0.10324394565366014</v>
      </c>
      <c r="D66" s="26">
        <f t="shared" ref="D66" si="35">ROUND(E66*3600,0)</f>
        <v>329</v>
      </c>
      <c r="E66" s="23">
        <f t="shared" ref="E66" si="36">C66-C65</f>
        <v>9.1498912490702605E-2</v>
      </c>
      <c r="F66" s="23">
        <f t="shared" ref="F66" si="37">E66/24</f>
        <v>3.8124546871126084E-3</v>
      </c>
      <c r="G66" s="9">
        <v>2</v>
      </c>
    </row>
    <row r="67" spans="1:7">
      <c r="A67">
        <v>3</v>
      </c>
      <c r="B67" s="26">
        <f>ROUND(H25*基本公式!$B$166,0)</f>
        <v>552</v>
      </c>
      <c r="C67" s="23">
        <f>其他表格!G30*基本公式!$B$4*基本公式!$B$124</f>
        <v>0.43471135012067436</v>
      </c>
      <c r="D67" s="26">
        <f t="shared" ref="D67:D84" si="38">ROUND(E67*3600,0)</f>
        <v>1193</v>
      </c>
      <c r="E67" s="23">
        <f t="shared" ref="E67:E84" si="39">C67-C66</f>
        <v>0.33146740446701423</v>
      </c>
      <c r="F67" s="23">
        <f t="shared" ref="F67:F84" si="40">E67/24</f>
        <v>1.3811141852792259E-2</v>
      </c>
      <c r="G67" s="9">
        <v>3</v>
      </c>
    </row>
    <row r="68" spans="1:7">
      <c r="A68">
        <v>4</v>
      </c>
      <c r="B68" s="26">
        <f>ROUND(H26*基本公式!$B$166,0)</f>
        <v>912</v>
      </c>
      <c r="C68" s="23">
        <f>其他表格!G31*基本公式!$B$4*基本公式!$B$124</f>
        <v>1.0295795134437022</v>
      </c>
      <c r="D68" s="26">
        <f t="shared" si="38"/>
        <v>2142</v>
      </c>
      <c r="E68" s="23">
        <f t="shared" si="39"/>
        <v>0.59486816332302794</v>
      </c>
      <c r="F68" s="23">
        <f t="shared" si="40"/>
        <v>2.4786173471792832E-2</v>
      </c>
      <c r="G68" s="9">
        <v>4</v>
      </c>
    </row>
    <row r="69" spans="1:7">
      <c r="A69">
        <v>5</v>
      </c>
      <c r="B69" s="26">
        <f>ROUND(H27*基本公式!$B$166,0)</f>
        <v>1516</v>
      </c>
      <c r="C69" s="23">
        <f>其他表格!G32*基本公式!$B$4*基本公式!$B$124</f>
        <v>2.0471171612330923</v>
      </c>
      <c r="D69" s="26">
        <f t="shared" si="38"/>
        <v>3663</v>
      </c>
      <c r="E69" s="23">
        <f t="shared" si="39"/>
        <v>1.01753764778939</v>
      </c>
      <c r="F69" s="23">
        <f t="shared" si="40"/>
        <v>4.2397401991224583E-2</v>
      </c>
      <c r="G69" s="9">
        <v>5</v>
      </c>
    </row>
    <row r="70" spans="1:7">
      <c r="A70">
        <v>6</v>
      </c>
      <c r="B70" s="26">
        <f>ROUND(H28*基本公式!$B$166,0)</f>
        <v>3860</v>
      </c>
      <c r="C70" s="23">
        <f>其他表格!G33*基本公式!$B$4*基本公式!$B$124</f>
        <v>3.5491814560078376</v>
      </c>
      <c r="D70" s="26">
        <f t="shared" si="38"/>
        <v>5407</v>
      </c>
      <c r="E70" s="23">
        <f t="shared" si="39"/>
        <v>1.5020642947747453</v>
      </c>
      <c r="F70" s="23">
        <f t="shared" si="40"/>
        <v>6.2586012282281056E-2</v>
      </c>
      <c r="G70" s="9">
        <v>6</v>
      </c>
    </row>
    <row r="71" spans="1:7">
      <c r="A71">
        <v>7</v>
      </c>
      <c r="B71" s="26">
        <f>ROUND(H29*基本公式!$B$166,0)</f>
        <v>7604</v>
      </c>
      <c r="C71" s="23">
        <f>其他表格!G34*基本公式!$B$4*基本公式!$B$124</f>
        <v>6.13768221715641</v>
      </c>
      <c r="D71" s="26">
        <f t="shared" si="38"/>
        <v>9319</v>
      </c>
      <c r="E71" s="23">
        <f t="shared" si="39"/>
        <v>2.5885007611485724</v>
      </c>
      <c r="F71" s="23">
        <f t="shared" si="40"/>
        <v>0.10785419838119052</v>
      </c>
      <c r="G71" s="9">
        <v>7</v>
      </c>
    </row>
    <row r="72" spans="1:7">
      <c r="A72">
        <v>8</v>
      </c>
      <c r="B72" s="26">
        <f>ROUND(H30*基本公式!$B$166,0)</f>
        <v>13672</v>
      </c>
      <c r="C72" s="23">
        <f>其他表格!G35*基本公式!$B$4*基本公式!$B$124</f>
        <v>12.078733882733442</v>
      </c>
      <c r="D72" s="26">
        <f t="shared" si="38"/>
        <v>21388</v>
      </c>
      <c r="E72" s="23">
        <f t="shared" si="39"/>
        <v>5.9410516655770316</v>
      </c>
      <c r="F72" s="23">
        <f t="shared" si="40"/>
        <v>0.24754381939904299</v>
      </c>
      <c r="G72" s="9">
        <v>8</v>
      </c>
    </row>
    <row r="73" spans="1:7">
      <c r="A73">
        <v>9</v>
      </c>
      <c r="B73" s="26">
        <f>ROUND(H31*基本公式!$B$166,0)</f>
        <v>19724</v>
      </c>
      <c r="C73" s="23">
        <f>其他表格!G36*基本公式!$B$4*基本公式!$B$124</f>
        <v>20.697952797829643</v>
      </c>
      <c r="D73" s="26">
        <f t="shared" si="38"/>
        <v>31029</v>
      </c>
      <c r="E73" s="23">
        <f t="shared" si="39"/>
        <v>8.6192189150962015</v>
      </c>
      <c r="F73" s="23">
        <f t="shared" si="40"/>
        <v>0.35913412146234175</v>
      </c>
      <c r="G73" s="9">
        <v>9</v>
      </c>
    </row>
    <row r="74" spans="1:7">
      <c r="A74">
        <v>10</v>
      </c>
      <c r="B74" s="26">
        <f>ROUND(H32*基本公式!$B$166,0)</f>
        <v>29996</v>
      </c>
      <c r="C74" s="23">
        <f>其他表格!G37*基本公式!$B$4*基本公式!$B$124</f>
        <v>34.237215154304671</v>
      </c>
      <c r="D74" s="26">
        <f t="shared" si="38"/>
        <v>48741</v>
      </c>
      <c r="E74" s="23">
        <f t="shared" si="39"/>
        <v>13.539262356475028</v>
      </c>
      <c r="F74" s="23">
        <f t="shared" si="40"/>
        <v>0.5641359315197928</v>
      </c>
      <c r="G74" s="9">
        <v>10</v>
      </c>
    </row>
    <row r="75" spans="1:7">
      <c r="A75">
        <v>11</v>
      </c>
      <c r="B75" s="26">
        <f>ROUND(H33*基本公式!$B$166,0)</f>
        <v>43652</v>
      </c>
      <c r="C75" s="23">
        <f>其他表格!G38*基本公式!$B$4*基本公式!$B$124</f>
        <v>58.973193567223362</v>
      </c>
      <c r="D75" s="26">
        <f t="shared" si="38"/>
        <v>89050</v>
      </c>
      <c r="E75" s="23">
        <f t="shared" si="39"/>
        <v>24.735978412918691</v>
      </c>
      <c r="F75" s="23">
        <f t="shared" si="40"/>
        <v>1.0306657672049455</v>
      </c>
      <c r="G75" s="9">
        <v>11</v>
      </c>
    </row>
    <row r="76" spans="1:7">
      <c r="A76">
        <v>12</v>
      </c>
      <c r="B76" s="26">
        <f>ROUND(H34*基本公式!$B$166,0)</f>
        <v>78420</v>
      </c>
      <c r="C76" s="23">
        <f>其他表格!G39*基本公式!$B$4*基本公式!$B$124</f>
        <v>93.115568790352668</v>
      </c>
      <c r="D76" s="26">
        <f t="shared" si="38"/>
        <v>122913</v>
      </c>
      <c r="E76" s="23">
        <f t="shared" si="39"/>
        <v>34.142375223129307</v>
      </c>
      <c r="F76" s="23">
        <f t="shared" si="40"/>
        <v>1.4225989676303878</v>
      </c>
      <c r="G76" s="9">
        <v>12</v>
      </c>
    </row>
    <row r="77" spans="1:7">
      <c r="A77">
        <v>13</v>
      </c>
      <c r="B77" s="26">
        <f>ROUND(H35*基本公式!$B$166,0)</f>
        <v>107300</v>
      </c>
      <c r="C77" s="23">
        <f>其他表格!G40*基本公式!$B$4*基本公式!$B$124</f>
        <v>145.20946400054999</v>
      </c>
      <c r="D77" s="26">
        <f t="shared" si="38"/>
        <v>187538</v>
      </c>
      <c r="E77" s="23">
        <f t="shared" si="39"/>
        <v>52.093895210197317</v>
      </c>
      <c r="F77" s="23">
        <f t="shared" si="40"/>
        <v>2.1705789670915547</v>
      </c>
      <c r="G77" s="9">
        <v>13</v>
      </c>
    </row>
    <row r="78" spans="1:7">
      <c r="A78">
        <v>14</v>
      </c>
      <c r="B78" s="26">
        <f>ROUND(H36*基本公式!$B$166,0)</f>
        <v>132524</v>
      </c>
      <c r="C78" s="23">
        <f>其他表格!G41*基本公式!$B$4*基本公式!$B$124</f>
        <v>213.99289431659997</v>
      </c>
      <c r="D78" s="26">
        <f t="shared" si="38"/>
        <v>247620</v>
      </c>
      <c r="E78" s="23">
        <f t="shared" si="39"/>
        <v>68.783430316049987</v>
      </c>
      <c r="F78" s="23">
        <f t="shared" si="40"/>
        <v>2.8659762631687493</v>
      </c>
      <c r="G78" s="9">
        <v>14</v>
      </c>
    </row>
    <row r="79" spans="1:7">
      <c r="A79">
        <v>15</v>
      </c>
      <c r="B79" s="26">
        <f>ROUND(H37*基本公式!$B$166,0)</f>
        <v>160896</v>
      </c>
      <c r="C79" s="23">
        <f>其他表格!G42*基本公式!$B$4*基本公式!$B$124</f>
        <v>301.68171191249996</v>
      </c>
      <c r="D79" s="26">
        <f t="shared" si="38"/>
        <v>315680</v>
      </c>
      <c r="E79" s="23">
        <f t="shared" si="39"/>
        <v>87.688817595899991</v>
      </c>
      <c r="F79" s="23">
        <f t="shared" si="40"/>
        <v>3.6537007331624998</v>
      </c>
      <c r="G79" s="9">
        <v>15</v>
      </c>
    </row>
    <row r="80" spans="1:7">
      <c r="A80">
        <v>16</v>
      </c>
      <c r="B80" s="26">
        <f>ROUND(H38*基本公式!$B$166,0)</f>
        <v>188564</v>
      </c>
      <c r="C80" s="23">
        <f>其他表格!G43*基本公式!$B$4*基本公式!$B$124</f>
        <v>410.71054112999997</v>
      </c>
      <c r="D80" s="26">
        <f t="shared" si="38"/>
        <v>392504</v>
      </c>
      <c r="E80" s="23">
        <f t="shared" si="39"/>
        <v>109.0288292175</v>
      </c>
      <c r="F80" s="23">
        <f t="shared" si="40"/>
        <v>4.5428678840624999</v>
      </c>
      <c r="G80" s="9">
        <v>16</v>
      </c>
    </row>
    <row r="81" spans="1:7">
      <c r="A81">
        <v>17</v>
      </c>
      <c r="B81" s="26">
        <f>ROUND(H39*基本公式!$B$166,0)</f>
        <v>218260</v>
      </c>
      <c r="C81" s="23">
        <f>其他表格!G44*基本公式!$B$4*基本公式!$B$124</f>
        <v>543.7513404</v>
      </c>
      <c r="D81" s="26">
        <f t="shared" si="38"/>
        <v>478947</v>
      </c>
      <c r="E81" s="23">
        <f t="shared" si="39"/>
        <v>133.04079927000004</v>
      </c>
      <c r="F81" s="23">
        <f t="shared" si="40"/>
        <v>5.5433666362500018</v>
      </c>
      <c r="G81" s="9">
        <v>17</v>
      </c>
    </row>
    <row r="82" spans="1:7">
      <c r="A82">
        <v>18</v>
      </c>
      <c r="B82" s="26">
        <f>ROUND(H40*基本公式!$B$166,0)</f>
        <v>250768</v>
      </c>
      <c r="C82" s="23">
        <f>其他表格!G45*基本公式!$B$4*基本公式!$B$124</f>
        <v>703.73339999999985</v>
      </c>
      <c r="D82" s="26">
        <f t="shared" si="38"/>
        <v>575935</v>
      </c>
      <c r="E82" s="23">
        <f t="shared" si="39"/>
        <v>159.98205959999984</v>
      </c>
      <c r="F82" s="23">
        <f t="shared" si="40"/>
        <v>6.6659191499999935</v>
      </c>
      <c r="G82" s="9">
        <v>18</v>
      </c>
    </row>
    <row r="83" spans="1:7">
      <c r="A83">
        <v>19</v>
      </c>
      <c r="B83" s="26">
        <f>ROUND(H41*基本公式!$B$166,0)</f>
        <v>285092</v>
      </c>
      <c r="C83" s="23">
        <f>其他表格!G46*基本公式!$B$4*基本公式!$B$124</f>
        <v>893.86487999999974</v>
      </c>
      <c r="D83" s="26">
        <f t="shared" si="38"/>
        <v>684473</v>
      </c>
      <c r="E83" s="23">
        <f t="shared" si="39"/>
        <v>190.1314799999999</v>
      </c>
      <c r="F83" s="23">
        <f t="shared" si="40"/>
        <v>7.922144999999996</v>
      </c>
      <c r="G83" s="9">
        <v>19</v>
      </c>
    </row>
    <row r="84" spans="1:7">
      <c r="A84">
        <v>20</v>
      </c>
      <c r="B84" s="26">
        <f>ROUND(H42*基本公式!$B$166,0)</f>
        <v>335400</v>
      </c>
      <c r="C84" s="23">
        <f>其他表格!G47*基本公式!$B$4*基本公式!$B$124</f>
        <v>1117.6559999999999</v>
      </c>
      <c r="D84" s="26">
        <f t="shared" si="38"/>
        <v>805648</v>
      </c>
      <c r="E84" s="23">
        <f t="shared" si="39"/>
        <v>223.79112000000021</v>
      </c>
      <c r="F84" s="23">
        <f t="shared" si="40"/>
        <v>9.324630000000008</v>
      </c>
      <c r="G84" s="9">
        <v>20</v>
      </c>
    </row>
    <row r="85" spans="1:7" s="7" customFormat="1" ht="27">
      <c r="A85" s="7" t="s">
        <v>94</v>
      </c>
      <c r="B85" s="24" t="s">
        <v>216</v>
      </c>
      <c r="C85" s="25" t="s">
        <v>217</v>
      </c>
      <c r="D85" s="24" t="s">
        <v>218</v>
      </c>
      <c r="E85" s="25" t="s">
        <v>219</v>
      </c>
      <c r="F85" s="25" t="s">
        <v>220</v>
      </c>
      <c r="G85" s="7" t="s">
        <v>233</v>
      </c>
    </row>
    <row r="86" spans="1:7">
      <c r="A86">
        <v>1</v>
      </c>
      <c r="B86" s="26">
        <f>ROUND(H23*基本公式!$B$177,0)</f>
        <v>96</v>
      </c>
      <c r="C86" s="23">
        <f>其他表格!G28*基本公式!$B$4*基本公式!$B$135</f>
        <v>7.8300221086383594E-3</v>
      </c>
      <c r="D86" s="26">
        <f>ROUND(E86*3600,0)</f>
        <v>28</v>
      </c>
      <c r="E86" s="23">
        <f>C86</f>
        <v>7.8300221086383594E-3</v>
      </c>
      <c r="F86" s="23">
        <f>E86/24</f>
        <v>3.2625092119326499E-4</v>
      </c>
      <c r="G86" s="9">
        <v>1</v>
      </c>
    </row>
    <row r="87" spans="1:7">
      <c r="A87">
        <v>2</v>
      </c>
      <c r="B87" s="26">
        <f>ROUND(H24*基本公式!$B$177,0)</f>
        <v>186</v>
      </c>
      <c r="C87" s="23">
        <f>其他表格!G29*基本公式!$B$4*基本公式!$B$135</f>
        <v>6.882929710244011E-2</v>
      </c>
      <c r="D87" s="26">
        <f t="shared" ref="D87" si="41">ROUND(E87*3600,0)</f>
        <v>220</v>
      </c>
      <c r="E87" s="23">
        <f t="shared" ref="E87" si="42">C87-C86</f>
        <v>6.0999274993801748E-2</v>
      </c>
      <c r="F87" s="23">
        <f t="shared" ref="F87" si="43">E87/24</f>
        <v>2.541636458075073E-3</v>
      </c>
      <c r="G87" s="9">
        <v>1</v>
      </c>
    </row>
    <row r="88" spans="1:7">
      <c r="A88">
        <v>3</v>
      </c>
      <c r="B88" s="26">
        <f>ROUND(H25*基本公式!$B$177,0)</f>
        <v>276</v>
      </c>
      <c r="C88" s="23">
        <f>其他表格!G30*基本公式!$B$4*基本公式!$B$135</f>
        <v>0.28980756674711627</v>
      </c>
      <c r="D88" s="26">
        <f t="shared" ref="D88:D105" si="44">ROUND(E88*3600,0)</f>
        <v>796</v>
      </c>
      <c r="E88" s="23">
        <f t="shared" ref="E88:E105" si="45">C88-C87</f>
        <v>0.22097826964467615</v>
      </c>
      <c r="F88" s="23">
        <f t="shared" ref="F88:F105" si="46">E88/24</f>
        <v>9.2074279018615063E-3</v>
      </c>
      <c r="G88" s="9">
        <v>1</v>
      </c>
    </row>
    <row r="89" spans="1:7">
      <c r="A89">
        <v>4</v>
      </c>
      <c r="B89" s="26">
        <f>ROUND(H26*基本公式!$B$177,0)</f>
        <v>456</v>
      </c>
      <c r="C89" s="23">
        <f>其他表格!G31*基本公式!$B$4*基本公式!$B$135</f>
        <v>0.68638634229580153</v>
      </c>
      <c r="D89" s="26">
        <f t="shared" si="44"/>
        <v>1428</v>
      </c>
      <c r="E89" s="23">
        <f t="shared" si="45"/>
        <v>0.39657877554868526</v>
      </c>
      <c r="F89" s="23">
        <f t="shared" si="46"/>
        <v>1.6524115647861885E-2</v>
      </c>
      <c r="G89" s="9">
        <v>1</v>
      </c>
    </row>
    <row r="90" spans="1:7">
      <c r="A90">
        <v>5</v>
      </c>
      <c r="B90" s="26">
        <f>ROUND(H27*基本公式!$B$177,0)</f>
        <v>758</v>
      </c>
      <c r="C90" s="23">
        <f>其他表格!G32*基本公式!$B$4*基本公式!$B$135</f>
        <v>1.3647447741553951</v>
      </c>
      <c r="D90" s="26">
        <f t="shared" si="44"/>
        <v>2442</v>
      </c>
      <c r="E90" s="23">
        <f t="shared" si="45"/>
        <v>0.67835843185959355</v>
      </c>
      <c r="F90" s="23">
        <f t="shared" si="46"/>
        <v>2.8264934660816397E-2</v>
      </c>
      <c r="G90" s="9">
        <v>1</v>
      </c>
    </row>
    <row r="91" spans="1:7">
      <c r="A91">
        <v>6</v>
      </c>
      <c r="B91" s="26">
        <f>ROUND(H28*基本公式!$B$177,0)</f>
        <v>1930</v>
      </c>
      <c r="C91" s="23">
        <f>其他表格!G33*基本公式!$B$4*基本公式!$B$135</f>
        <v>2.3661209706718918</v>
      </c>
      <c r="D91" s="26">
        <f t="shared" si="44"/>
        <v>3605</v>
      </c>
      <c r="E91" s="23">
        <f t="shared" si="45"/>
        <v>1.0013761965164967</v>
      </c>
      <c r="F91" s="23">
        <f t="shared" si="46"/>
        <v>4.1724008188187361E-2</v>
      </c>
      <c r="G91" s="9">
        <v>1</v>
      </c>
    </row>
    <row r="92" spans="1:7">
      <c r="A92">
        <v>7</v>
      </c>
      <c r="B92" s="26">
        <f>ROUND(H29*基本公式!$B$177,0)</f>
        <v>3802</v>
      </c>
      <c r="C92" s="23">
        <f>其他表格!G34*基本公式!$B$4*基本公式!$B$135</f>
        <v>4.0917881447709403</v>
      </c>
      <c r="D92" s="26">
        <f t="shared" si="44"/>
        <v>6212</v>
      </c>
      <c r="E92" s="23">
        <f t="shared" si="45"/>
        <v>1.7256671740990486</v>
      </c>
      <c r="F92" s="23">
        <f t="shared" si="46"/>
        <v>7.1902798920793695E-2</v>
      </c>
      <c r="G92" s="9">
        <v>2</v>
      </c>
    </row>
    <row r="93" spans="1:7">
      <c r="A93">
        <v>8</v>
      </c>
      <c r="B93" s="26">
        <f>ROUND(H30*基本公式!$B$177,0)</f>
        <v>6836</v>
      </c>
      <c r="C93" s="23">
        <f>其他表格!G35*基本公式!$B$4*基本公式!$B$135</f>
        <v>8.0524892551556277</v>
      </c>
      <c r="D93" s="26">
        <f t="shared" si="44"/>
        <v>14259</v>
      </c>
      <c r="E93" s="23">
        <f t="shared" si="45"/>
        <v>3.9607011103846874</v>
      </c>
      <c r="F93" s="23">
        <f t="shared" si="46"/>
        <v>0.16502921293269532</v>
      </c>
      <c r="G93" s="9">
        <v>2</v>
      </c>
    </row>
    <row r="94" spans="1:7">
      <c r="A94">
        <v>9</v>
      </c>
      <c r="B94" s="26">
        <f>ROUND(H31*基本公式!$B$177,0)</f>
        <v>9862</v>
      </c>
      <c r="C94" s="23">
        <f>其他表格!G36*基本公式!$B$4*基本公式!$B$135</f>
        <v>13.798635198553095</v>
      </c>
      <c r="D94" s="26">
        <f t="shared" si="44"/>
        <v>20686</v>
      </c>
      <c r="E94" s="23">
        <f t="shared" si="45"/>
        <v>5.7461459433974671</v>
      </c>
      <c r="F94" s="23">
        <f t="shared" si="46"/>
        <v>0.23942274764156113</v>
      </c>
      <c r="G94" s="9">
        <v>2</v>
      </c>
    </row>
    <row r="95" spans="1:7">
      <c r="A95">
        <v>10</v>
      </c>
      <c r="B95" s="26">
        <f>ROUND(H32*基本公式!$B$177,0)</f>
        <v>14998</v>
      </c>
      <c r="C95" s="23">
        <f>其他表格!G37*基本公式!$B$4*基本公式!$B$135</f>
        <v>22.824810102869783</v>
      </c>
      <c r="D95" s="26">
        <f t="shared" si="44"/>
        <v>32494</v>
      </c>
      <c r="E95" s="23">
        <f t="shared" si="45"/>
        <v>9.0261749043166883</v>
      </c>
      <c r="F95" s="23">
        <f t="shared" si="46"/>
        <v>0.37609062101319535</v>
      </c>
      <c r="G95" s="9">
        <v>2</v>
      </c>
    </row>
    <row r="96" spans="1:7">
      <c r="A96">
        <v>11</v>
      </c>
      <c r="B96" s="26">
        <f>ROUND(H33*基本公式!$B$177,0)</f>
        <v>21826</v>
      </c>
      <c r="C96" s="23">
        <f>其他表格!G38*基本公式!$B$4*基本公式!$B$135</f>
        <v>39.315462378148908</v>
      </c>
      <c r="D96" s="26">
        <f t="shared" si="44"/>
        <v>59366</v>
      </c>
      <c r="E96" s="23">
        <f t="shared" si="45"/>
        <v>16.490652275279125</v>
      </c>
      <c r="F96" s="23">
        <f t="shared" si="46"/>
        <v>0.68711051146996349</v>
      </c>
      <c r="G96" s="9">
        <v>2</v>
      </c>
    </row>
    <row r="97" spans="1:7">
      <c r="A97">
        <v>12</v>
      </c>
      <c r="B97" s="26">
        <f>ROUND(H34*基本公式!$B$177,0)</f>
        <v>39210</v>
      </c>
      <c r="C97" s="23">
        <f>其他表格!G39*基本公式!$B$4*基本公式!$B$135</f>
        <v>62.07704586023511</v>
      </c>
      <c r="D97" s="26">
        <f t="shared" si="44"/>
        <v>81942</v>
      </c>
      <c r="E97" s="23">
        <f t="shared" si="45"/>
        <v>22.761583482086202</v>
      </c>
      <c r="F97" s="23">
        <f t="shared" si="46"/>
        <v>0.94839931175359171</v>
      </c>
      <c r="G97" s="9">
        <v>3</v>
      </c>
    </row>
    <row r="98" spans="1:7">
      <c r="A98">
        <v>13</v>
      </c>
      <c r="B98" s="26">
        <f>ROUND(H35*基本公式!$B$177,0)</f>
        <v>53650</v>
      </c>
      <c r="C98" s="23">
        <f>其他表格!G40*基本公式!$B$4*基本公式!$B$135</f>
        <v>96.8063093337</v>
      </c>
      <c r="D98" s="26">
        <f t="shared" si="44"/>
        <v>125025</v>
      </c>
      <c r="E98" s="23">
        <f t="shared" si="45"/>
        <v>34.72926347346489</v>
      </c>
      <c r="F98" s="23">
        <f t="shared" si="46"/>
        <v>1.4470526447277037</v>
      </c>
      <c r="G98" s="9">
        <v>3</v>
      </c>
    </row>
    <row r="99" spans="1:7">
      <c r="A99">
        <v>14</v>
      </c>
      <c r="B99" s="26">
        <f>ROUND(H36*基本公式!$B$177,0)</f>
        <v>66262</v>
      </c>
      <c r="C99" s="23">
        <f>其他表格!G41*基本公式!$B$4*基本公式!$B$135</f>
        <v>142.66192954439998</v>
      </c>
      <c r="D99" s="26">
        <f t="shared" si="44"/>
        <v>165080</v>
      </c>
      <c r="E99" s="23">
        <f t="shared" si="45"/>
        <v>45.855620210699982</v>
      </c>
      <c r="F99" s="23">
        <f t="shared" si="46"/>
        <v>1.9106508421124992</v>
      </c>
      <c r="G99" s="9">
        <v>3</v>
      </c>
    </row>
    <row r="100" spans="1:7">
      <c r="A100">
        <v>15</v>
      </c>
      <c r="B100" s="26">
        <f>ROUND(H37*基本公式!$B$177,0)</f>
        <v>80448</v>
      </c>
      <c r="C100" s="23">
        <f>其他表格!G42*基本公式!$B$4*基本公式!$B$135</f>
        <v>201.12114127499999</v>
      </c>
      <c r="D100" s="26">
        <f t="shared" si="44"/>
        <v>210453</v>
      </c>
      <c r="E100" s="23">
        <f t="shared" si="45"/>
        <v>58.459211730600003</v>
      </c>
      <c r="F100" s="23">
        <f t="shared" si="46"/>
        <v>2.435800488775</v>
      </c>
      <c r="G100" s="9">
        <v>3</v>
      </c>
    </row>
    <row r="101" spans="1:7">
      <c r="A101">
        <v>16</v>
      </c>
      <c r="B101" s="26">
        <f>ROUND(H38*基本公式!$B$177,0)</f>
        <v>94282</v>
      </c>
      <c r="C101" s="23">
        <f>其他表格!G43*基本公式!$B$4*基本公式!$B$135</f>
        <v>273.80702742</v>
      </c>
      <c r="D101" s="26">
        <f t="shared" si="44"/>
        <v>261669</v>
      </c>
      <c r="E101" s="23">
        <f t="shared" si="45"/>
        <v>72.685886145000012</v>
      </c>
      <c r="F101" s="23">
        <f t="shared" si="46"/>
        <v>3.0285785893750004</v>
      </c>
      <c r="G101" s="9">
        <v>4</v>
      </c>
    </row>
    <row r="102" spans="1:7">
      <c r="A102">
        <v>17</v>
      </c>
      <c r="B102" s="26">
        <f>ROUND(H39*基本公式!$B$177,0)</f>
        <v>109130</v>
      </c>
      <c r="C102" s="23">
        <f>其他表格!G44*基本公式!$B$4*基本公式!$B$135</f>
        <v>362.50089359999998</v>
      </c>
      <c r="D102" s="26">
        <f t="shared" si="44"/>
        <v>319298</v>
      </c>
      <c r="E102" s="23">
        <f t="shared" si="45"/>
        <v>88.693866179999986</v>
      </c>
      <c r="F102" s="23">
        <f t="shared" si="46"/>
        <v>3.6955777574999993</v>
      </c>
      <c r="G102" s="9">
        <v>4</v>
      </c>
    </row>
    <row r="103" spans="1:7">
      <c r="A103">
        <v>18</v>
      </c>
      <c r="B103" s="26">
        <f>ROUND(H40*基本公式!$B$177,0)</f>
        <v>125384</v>
      </c>
      <c r="C103" s="23">
        <f>其他表格!G45*基本公式!$B$4*基本公式!$B$135</f>
        <v>469.15559999999994</v>
      </c>
      <c r="D103" s="26">
        <f t="shared" si="44"/>
        <v>383957</v>
      </c>
      <c r="E103" s="23">
        <f t="shared" si="45"/>
        <v>106.65470639999995</v>
      </c>
      <c r="F103" s="23">
        <f t="shared" si="46"/>
        <v>4.443946099999998</v>
      </c>
      <c r="G103" s="9">
        <v>4</v>
      </c>
    </row>
    <row r="104" spans="1:7">
      <c r="A104">
        <v>19</v>
      </c>
      <c r="B104" s="26">
        <f>ROUND(H41*基本公式!$B$177,0)</f>
        <v>142546</v>
      </c>
      <c r="C104" s="23">
        <f>其他表格!G46*基本公式!$B$4*基本公式!$B$135</f>
        <v>595.90991999999983</v>
      </c>
      <c r="D104" s="26">
        <f t="shared" si="44"/>
        <v>456316</v>
      </c>
      <c r="E104" s="23">
        <f t="shared" si="45"/>
        <v>126.75431999999989</v>
      </c>
      <c r="F104" s="23">
        <f t="shared" si="46"/>
        <v>5.2814299999999959</v>
      </c>
      <c r="G104" s="9">
        <v>4</v>
      </c>
    </row>
    <row r="105" spans="1:7">
      <c r="A105">
        <v>20</v>
      </c>
      <c r="B105" s="26">
        <f>ROUND(H42*基本公式!$B$177,0)</f>
        <v>167700</v>
      </c>
      <c r="C105" s="23">
        <f>其他表格!G47*基本公式!$B$4*基本公式!$B$135</f>
        <v>745.10399999999993</v>
      </c>
      <c r="D105" s="26">
        <f t="shared" si="44"/>
        <v>537099</v>
      </c>
      <c r="E105" s="23">
        <f t="shared" si="45"/>
        <v>149.1940800000001</v>
      </c>
      <c r="F105" s="23">
        <f t="shared" si="46"/>
        <v>6.2164200000000038</v>
      </c>
      <c r="G105" s="9">
        <v>5</v>
      </c>
    </row>
    <row r="106" spans="1:7" s="7" customFormat="1" ht="27">
      <c r="A106" s="7" t="s">
        <v>84</v>
      </c>
      <c r="B106" s="24" t="s">
        <v>216</v>
      </c>
      <c r="C106" s="25" t="s">
        <v>217</v>
      </c>
      <c r="D106" s="24" t="s">
        <v>218</v>
      </c>
      <c r="E106" s="25" t="s">
        <v>219</v>
      </c>
      <c r="F106" s="25" t="s">
        <v>220</v>
      </c>
    </row>
    <row r="107" spans="1:7">
      <c r="A107">
        <v>1</v>
      </c>
      <c r="B107" s="26">
        <f>ROUND(H23*基本公式!$B$167,0)</f>
        <v>360</v>
      </c>
      <c r="C107" s="23">
        <f>其他表格!G28*基本公式!$B$4*基本公式!$B$125</f>
        <v>1.5660044217276719E-2</v>
      </c>
      <c r="D107" s="26">
        <f>ROUND(E107*3600,0)</f>
        <v>56</v>
      </c>
      <c r="E107" s="23">
        <f>C107</f>
        <v>1.5660044217276719E-2</v>
      </c>
      <c r="F107" s="23">
        <f>E107/24</f>
        <v>6.5250184238652999E-4</v>
      </c>
    </row>
    <row r="108" spans="1:7">
      <c r="A108">
        <v>2</v>
      </c>
      <c r="B108" s="26">
        <f>ROUND(H24*基本公式!$B$167,0)</f>
        <v>698</v>
      </c>
      <c r="C108" s="23">
        <f>其他表格!G29*基本公式!$B$4*基本公式!$B$125</f>
        <v>0.13765859420488022</v>
      </c>
      <c r="D108" s="26">
        <f t="shared" ref="D108" si="47">ROUND(E108*3600,0)</f>
        <v>439</v>
      </c>
      <c r="E108" s="23">
        <f t="shared" ref="E108" si="48">C108-C107</f>
        <v>0.1219985499876035</v>
      </c>
      <c r="F108" s="23">
        <f t="shared" ref="F108" si="49">E108/24</f>
        <v>5.083272916150146E-3</v>
      </c>
    </row>
    <row r="109" spans="1:7">
      <c r="A109">
        <v>3</v>
      </c>
      <c r="B109" s="26">
        <f>ROUND(H25*基本公式!$B$167,0)</f>
        <v>1035</v>
      </c>
      <c r="C109" s="23">
        <f>其他表格!G30*基本公式!$B$4*基本公式!$B$125</f>
        <v>0.57961513349423255</v>
      </c>
      <c r="D109" s="26">
        <f t="shared" ref="D109:D126" si="50">ROUND(E109*3600,0)</f>
        <v>1591</v>
      </c>
      <c r="E109" s="23">
        <f t="shared" ref="E109:E126" si="51">C109-C108</f>
        <v>0.4419565392893523</v>
      </c>
      <c r="F109" s="23">
        <f t="shared" ref="F109:F126" si="52">E109/24</f>
        <v>1.8414855803723013E-2</v>
      </c>
    </row>
    <row r="110" spans="1:7">
      <c r="A110">
        <v>4</v>
      </c>
      <c r="B110" s="26">
        <f>ROUND(H26*基本公式!$B$167,0)</f>
        <v>1710</v>
      </c>
      <c r="C110" s="23">
        <f>其他表格!G31*基本公式!$B$4*基本公式!$B$125</f>
        <v>1.3727726845916031</v>
      </c>
      <c r="D110" s="26">
        <f t="shared" si="50"/>
        <v>2855</v>
      </c>
      <c r="E110" s="23">
        <f t="shared" si="51"/>
        <v>0.79315755109737052</v>
      </c>
      <c r="F110" s="23">
        <f t="shared" si="52"/>
        <v>3.3048231295723769E-2</v>
      </c>
    </row>
    <row r="111" spans="1:7">
      <c r="A111">
        <v>5</v>
      </c>
      <c r="B111" s="26">
        <f>ROUND(H27*基本公式!$B$167,0)</f>
        <v>2843</v>
      </c>
      <c r="C111" s="23">
        <f>其他表格!G32*基本公式!$B$4*基本公式!$B$125</f>
        <v>2.7294895483107902</v>
      </c>
      <c r="D111" s="26">
        <f t="shared" si="50"/>
        <v>4884</v>
      </c>
      <c r="E111" s="23">
        <f t="shared" si="51"/>
        <v>1.3567168637191871</v>
      </c>
      <c r="F111" s="23">
        <f t="shared" si="52"/>
        <v>5.6529869321632793E-2</v>
      </c>
    </row>
    <row r="112" spans="1:7">
      <c r="A112">
        <v>6</v>
      </c>
      <c r="B112" s="26">
        <f>ROUND(H28*基本公式!$B$167,0)</f>
        <v>7238</v>
      </c>
      <c r="C112" s="23">
        <f>其他表格!G33*基本公式!$B$4*基本公式!$B$125</f>
        <v>4.7322419413437835</v>
      </c>
      <c r="D112" s="26">
        <f t="shared" si="50"/>
        <v>7210</v>
      </c>
      <c r="E112" s="23">
        <f t="shared" si="51"/>
        <v>2.0027523930329933</v>
      </c>
      <c r="F112" s="23">
        <f t="shared" si="52"/>
        <v>8.3448016376374723E-2</v>
      </c>
    </row>
    <row r="113" spans="1:9">
      <c r="A113">
        <v>7</v>
      </c>
      <c r="B113" s="26">
        <f>ROUND(H29*基本公式!$B$167,0)</f>
        <v>14258</v>
      </c>
      <c r="C113" s="23">
        <f>其他表格!G34*基本公式!$B$4*基本公式!$B$125</f>
        <v>8.1835762895418807</v>
      </c>
      <c r="D113" s="26">
        <f t="shared" si="50"/>
        <v>12425</v>
      </c>
      <c r="E113" s="23">
        <f t="shared" si="51"/>
        <v>3.4513343481980971</v>
      </c>
      <c r="F113" s="23">
        <f t="shared" si="52"/>
        <v>0.14380559784158739</v>
      </c>
    </row>
    <row r="114" spans="1:9">
      <c r="A114">
        <v>8</v>
      </c>
      <c r="B114" s="26">
        <f>ROUND(H30*基本公式!$B$167,0)</f>
        <v>25635</v>
      </c>
      <c r="C114" s="23">
        <f>其他表格!G35*基本公式!$B$4*基本公式!$B$125</f>
        <v>16.104978510311255</v>
      </c>
      <c r="D114" s="26">
        <f t="shared" si="50"/>
        <v>28517</v>
      </c>
      <c r="E114" s="23">
        <f t="shared" si="51"/>
        <v>7.9214022207693748</v>
      </c>
      <c r="F114" s="23">
        <f t="shared" si="52"/>
        <v>0.33005842586539064</v>
      </c>
    </row>
    <row r="115" spans="1:9">
      <c r="A115">
        <v>9</v>
      </c>
      <c r="B115" s="26">
        <f>ROUND(H31*基本公式!$B$167,0)</f>
        <v>36983</v>
      </c>
      <c r="C115" s="23">
        <f>其他表格!G36*基本公式!$B$4*基本公式!$B$125</f>
        <v>27.59727039710619</v>
      </c>
      <c r="D115" s="26">
        <f t="shared" si="50"/>
        <v>41372</v>
      </c>
      <c r="E115" s="23">
        <f t="shared" si="51"/>
        <v>11.492291886794934</v>
      </c>
      <c r="F115" s="23">
        <f t="shared" si="52"/>
        <v>0.47884549528312226</v>
      </c>
    </row>
    <row r="116" spans="1:9">
      <c r="A116">
        <v>10</v>
      </c>
      <c r="B116" s="26">
        <f>ROUND(H32*基本公式!$B$167,0)</f>
        <v>56243</v>
      </c>
      <c r="C116" s="23">
        <f>其他表格!G37*基本公式!$B$4*基本公式!$B$125</f>
        <v>45.649620205739566</v>
      </c>
      <c r="D116" s="26">
        <f t="shared" si="50"/>
        <v>64988</v>
      </c>
      <c r="E116" s="23">
        <f t="shared" si="51"/>
        <v>18.052349808633377</v>
      </c>
      <c r="F116" s="23">
        <f t="shared" si="52"/>
        <v>0.7521812420263907</v>
      </c>
    </row>
    <row r="117" spans="1:9">
      <c r="A117">
        <v>11</v>
      </c>
      <c r="B117" s="26">
        <f>ROUND(H33*基本公式!$B$167,0)</f>
        <v>81848</v>
      </c>
      <c r="C117" s="23">
        <f>其他表格!G38*基本公式!$B$4*基本公式!$B$125</f>
        <v>78.630924756297816</v>
      </c>
      <c r="D117" s="26">
        <f t="shared" si="50"/>
        <v>118733</v>
      </c>
      <c r="E117" s="23">
        <f t="shared" si="51"/>
        <v>32.981304550558249</v>
      </c>
      <c r="F117" s="23">
        <f t="shared" si="52"/>
        <v>1.374221022939927</v>
      </c>
    </row>
    <row r="118" spans="1:9">
      <c r="A118">
        <v>12</v>
      </c>
      <c r="B118" s="26">
        <f>ROUND(H34*基本公式!$B$167,0)</f>
        <v>147038</v>
      </c>
      <c r="C118" s="23">
        <f>其他表格!G39*基本公式!$B$4*基本公式!$B$125</f>
        <v>124.15409172047022</v>
      </c>
      <c r="D118" s="26">
        <f t="shared" si="50"/>
        <v>163883</v>
      </c>
      <c r="E118" s="23">
        <f t="shared" si="51"/>
        <v>45.523166964172404</v>
      </c>
      <c r="F118" s="23">
        <f t="shared" si="52"/>
        <v>1.8967986235071834</v>
      </c>
    </row>
    <row r="119" spans="1:9">
      <c r="A119">
        <v>13</v>
      </c>
      <c r="B119" s="26">
        <f>ROUND(H35*基本公式!$B$167,0)</f>
        <v>201188</v>
      </c>
      <c r="C119" s="23">
        <f>其他表格!G40*基本公式!$B$4*基本公式!$B$125</f>
        <v>193.6126186674</v>
      </c>
      <c r="D119" s="26">
        <f t="shared" si="50"/>
        <v>250051</v>
      </c>
      <c r="E119" s="23">
        <f t="shared" si="51"/>
        <v>69.45852694692978</v>
      </c>
      <c r="F119" s="23">
        <f t="shared" si="52"/>
        <v>2.8941052894554073</v>
      </c>
    </row>
    <row r="120" spans="1:9">
      <c r="A120">
        <v>14</v>
      </c>
      <c r="B120" s="26">
        <f>ROUND(H36*基本公式!$B$167,0)</f>
        <v>248483</v>
      </c>
      <c r="C120" s="23">
        <f>其他表格!G41*基本公式!$B$4*基本公式!$B$125</f>
        <v>285.32385908879996</v>
      </c>
      <c r="D120" s="26">
        <f t="shared" si="50"/>
        <v>330160</v>
      </c>
      <c r="E120" s="23">
        <f t="shared" si="51"/>
        <v>91.711240421399964</v>
      </c>
      <c r="F120" s="23">
        <f t="shared" si="52"/>
        <v>3.8213016842249985</v>
      </c>
    </row>
    <row r="121" spans="1:9">
      <c r="A121">
        <v>15</v>
      </c>
      <c r="B121" s="26">
        <f>ROUND(H37*基本公式!$B$167,0)</f>
        <v>301680</v>
      </c>
      <c r="C121" s="23">
        <f>其他表格!G42*基本公式!$B$4*基本公式!$B$125</f>
        <v>402.24228254999997</v>
      </c>
      <c r="D121" s="26">
        <f t="shared" si="50"/>
        <v>420906</v>
      </c>
      <c r="E121" s="23">
        <f t="shared" si="51"/>
        <v>116.91842346120001</v>
      </c>
      <c r="F121" s="23">
        <f t="shared" si="52"/>
        <v>4.87160097755</v>
      </c>
    </row>
    <row r="122" spans="1:9">
      <c r="A122">
        <v>16</v>
      </c>
      <c r="B122" s="26">
        <f>ROUND(H38*基本公式!$B$167,0)</f>
        <v>353558</v>
      </c>
      <c r="C122" s="23">
        <f>其他表格!G43*基本公式!$B$4*基本公式!$B$125</f>
        <v>547.61405483999999</v>
      </c>
      <c r="D122" s="26">
        <f t="shared" si="50"/>
        <v>523338</v>
      </c>
      <c r="E122" s="23">
        <f t="shared" si="51"/>
        <v>145.37177229000002</v>
      </c>
      <c r="F122" s="23">
        <f t="shared" si="52"/>
        <v>6.0571571787500007</v>
      </c>
    </row>
    <row r="123" spans="1:9">
      <c r="A123">
        <v>17</v>
      </c>
      <c r="B123" s="26">
        <f>ROUND(H39*基本公式!$B$167,0)</f>
        <v>409238</v>
      </c>
      <c r="C123" s="23">
        <f>其他表格!G44*基本公式!$B$4*基本公式!$B$125</f>
        <v>725.00178719999997</v>
      </c>
      <c r="D123" s="26">
        <f t="shared" si="50"/>
        <v>638596</v>
      </c>
      <c r="E123" s="23">
        <f t="shared" si="51"/>
        <v>177.38773235999997</v>
      </c>
      <c r="F123" s="23">
        <f t="shared" si="52"/>
        <v>7.3911555149999986</v>
      </c>
    </row>
    <row r="124" spans="1:9">
      <c r="A124">
        <v>18</v>
      </c>
      <c r="B124" s="26">
        <f>ROUND(H40*基本公式!$B$167,0)</f>
        <v>470190</v>
      </c>
      <c r="C124" s="23">
        <f>其他表格!G45*基本公式!$B$4*基本公式!$B$125</f>
        <v>938.31119999999987</v>
      </c>
      <c r="D124" s="26">
        <f t="shared" si="50"/>
        <v>767914</v>
      </c>
      <c r="E124" s="23">
        <f t="shared" si="51"/>
        <v>213.3094127999999</v>
      </c>
      <c r="F124" s="23">
        <f t="shared" si="52"/>
        <v>8.887892199999996</v>
      </c>
    </row>
    <row r="125" spans="1:9">
      <c r="A125">
        <v>19</v>
      </c>
      <c r="B125" s="26">
        <f>ROUND(H41*基本公式!$B$167,0)</f>
        <v>534548</v>
      </c>
      <c r="C125" s="23">
        <f>其他表格!G46*基本公式!$B$4*基本公式!$B$125</f>
        <v>1191.8198399999997</v>
      </c>
      <c r="D125" s="26">
        <f t="shared" si="50"/>
        <v>912631</v>
      </c>
      <c r="E125" s="23">
        <f t="shared" si="51"/>
        <v>253.50863999999979</v>
      </c>
      <c r="F125" s="23">
        <f t="shared" si="52"/>
        <v>10.562859999999992</v>
      </c>
    </row>
    <row r="126" spans="1:9">
      <c r="A126">
        <v>20</v>
      </c>
      <c r="B126" s="26">
        <f>ROUND(H42*基本公式!$B$167,0)</f>
        <v>628875</v>
      </c>
      <c r="C126" s="23">
        <f>其他表格!G47*基本公式!$B$4*基本公式!$B$125</f>
        <v>1490.2079999999999</v>
      </c>
      <c r="D126" s="26">
        <f t="shared" si="50"/>
        <v>1074197</v>
      </c>
      <c r="E126" s="23">
        <f t="shared" si="51"/>
        <v>298.3881600000002</v>
      </c>
      <c r="F126" s="23">
        <f t="shared" si="52"/>
        <v>12.432840000000008</v>
      </c>
    </row>
    <row r="127" spans="1:9" s="7" customFormat="1" ht="27">
      <c r="A127" s="7" t="s">
        <v>85</v>
      </c>
      <c r="B127" s="24" t="s">
        <v>216</v>
      </c>
      <c r="C127" s="25" t="s">
        <v>217</v>
      </c>
      <c r="D127" s="24" t="s">
        <v>218</v>
      </c>
      <c r="E127" s="25" t="s">
        <v>219</v>
      </c>
      <c r="F127" s="25" t="s">
        <v>220</v>
      </c>
      <c r="G127" s="7" t="s">
        <v>234</v>
      </c>
      <c r="H127" s="7" t="s">
        <v>235</v>
      </c>
      <c r="I127" s="7" t="s">
        <v>236</v>
      </c>
    </row>
    <row r="128" spans="1:9">
      <c r="A128">
        <v>1</v>
      </c>
      <c r="B128" s="26">
        <f>ROUND(H23*基本公式!$B$168,0)</f>
        <v>240</v>
      </c>
      <c r="C128" s="23">
        <f>其他表格!G28*基本公式!$B$4*基本公式!$B$126</f>
        <v>1.5660044217276719E-2</v>
      </c>
      <c r="D128" s="26">
        <f>ROUND(E128*3600,0)</f>
        <v>56</v>
      </c>
      <c r="E128" s="23">
        <f>C128</f>
        <v>1.5660044217276719E-2</v>
      </c>
      <c r="F128" s="23">
        <f>E128/24</f>
        <v>6.5250184238652999E-4</v>
      </c>
      <c r="G128" s="9">
        <f>H128</f>
        <v>610</v>
      </c>
      <c r="H128">
        <f>ROUND(兵消耗!J2*基本公式!$B$54*基本公式!$B$55*基本公式!$B$56,-1)</f>
        <v>610</v>
      </c>
      <c r="I128" s="9">
        <v>1</v>
      </c>
    </row>
    <row r="129" spans="1:9">
      <c r="A129">
        <v>2</v>
      </c>
      <c r="B129" s="26">
        <f>ROUND(H24*基本公式!$B$168,0)</f>
        <v>465</v>
      </c>
      <c r="C129" s="23">
        <f>其他表格!G29*基本公式!$B$4*基本公式!$B$126</f>
        <v>0.13765859420488022</v>
      </c>
      <c r="D129" s="26">
        <f t="shared" ref="D129" si="53">ROUND(E129*3600,0)</f>
        <v>439</v>
      </c>
      <c r="E129" s="23">
        <f t="shared" ref="E129" si="54">C129-C128</f>
        <v>0.1219985499876035</v>
      </c>
      <c r="F129" s="23">
        <f t="shared" ref="F129" si="55">E129/24</f>
        <v>5.083272916150146E-3</v>
      </c>
      <c r="G129" s="9">
        <f t="shared" ref="G129" si="56">H129</f>
        <v>1190</v>
      </c>
      <c r="H129">
        <f>ROUND(兵消耗!J3*基本公式!$B$54*基本公式!$B$55*基本公式!$B$56,-1)</f>
        <v>1190</v>
      </c>
      <c r="I129" s="9">
        <v>1</v>
      </c>
    </row>
    <row r="130" spans="1:9">
      <c r="A130">
        <v>3</v>
      </c>
      <c r="B130" s="26">
        <f>ROUND(H25*基本公式!$B$168,0)</f>
        <v>690</v>
      </c>
      <c r="C130" s="23">
        <f>其他表格!G30*基本公式!$B$4*基本公式!$B$126</f>
        <v>0.57961513349423255</v>
      </c>
      <c r="D130" s="26">
        <f t="shared" ref="D130:D147" si="57">ROUND(E130*3600,0)</f>
        <v>1591</v>
      </c>
      <c r="E130" s="23">
        <f t="shared" ref="E130:E147" si="58">C130-C129</f>
        <v>0.4419565392893523</v>
      </c>
      <c r="F130" s="23">
        <f t="shared" ref="F130:F147" si="59">E130/24</f>
        <v>1.8414855803723013E-2</v>
      </c>
      <c r="G130" s="9">
        <f t="shared" ref="G130:G147" si="60">H130</f>
        <v>1760</v>
      </c>
      <c r="H130">
        <f>ROUND(兵消耗!J4*基本公式!$B$54*基本公式!$B$55*基本公式!$B$56,-1)</f>
        <v>1760</v>
      </c>
      <c r="I130" s="9">
        <v>1</v>
      </c>
    </row>
    <row r="131" spans="1:9">
      <c r="A131">
        <v>4</v>
      </c>
      <c r="B131" s="26">
        <f>ROUND(H26*基本公式!$B$168,0)</f>
        <v>1140</v>
      </c>
      <c r="C131" s="23">
        <f>其他表格!G31*基本公式!$B$4*基本公式!$B$126</f>
        <v>1.3727726845916031</v>
      </c>
      <c r="D131" s="26">
        <f t="shared" si="57"/>
        <v>2855</v>
      </c>
      <c r="E131" s="23">
        <f t="shared" si="58"/>
        <v>0.79315755109737052</v>
      </c>
      <c r="F131" s="23">
        <f t="shared" si="59"/>
        <v>3.3048231295723769E-2</v>
      </c>
      <c r="G131" s="9">
        <f t="shared" si="60"/>
        <v>2920</v>
      </c>
      <c r="H131">
        <f>ROUND(兵消耗!J5*基本公式!$B$54*基本公式!$B$55*基本公式!$B$56,-1)</f>
        <v>2920</v>
      </c>
      <c r="I131" s="9">
        <v>1</v>
      </c>
    </row>
    <row r="132" spans="1:9">
      <c r="A132">
        <v>5</v>
      </c>
      <c r="B132" s="26">
        <f>ROUND(H27*基本公式!$B$168,0)</f>
        <v>1895</v>
      </c>
      <c r="C132" s="23">
        <f>其他表格!G32*基本公式!$B$4*基本公式!$B$126</f>
        <v>2.7294895483107902</v>
      </c>
      <c r="D132" s="26">
        <f t="shared" si="57"/>
        <v>4884</v>
      </c>
      <c r="E132" s="23">
        <f t="shared" si="58"/>
        <v>1.3567168637191871</v>
      </c>
      <c r="F132" s="23">
        <f t="shared" si="59"/>
        <v>5.6529869321632793E-2</v>
      </c>
      <c r="G132" s="9">
        <f t="shared" si="60"/>
        <v>4650</v>
      </c>
      <c r="H132">
        <f>ROUND(兵消耗!J6*基本公式!$B$54*基本公式!$B$55*基本公式!$B$56,-1)</f>
        <v>4650</v>
      </c>
      <c r="I132" s="9">
        <v>1</v>
      </c>
    </row>
    <row r="133" spans="1:9">
      <c r="A133">
        <v>6</v>
      </c>
      <c r="B133" s="26">
        <f>ROUND(H28*基本公式!$B$168,0)</f>
        <v>4825</v>
      </c>
      <c r="C133" s="23">
        <f>其他表格!G33*基本公式!$B$4*基本公式!$B$126</f>
        <v>4.7322419413437835</v>
      </c>
      <c r="D133" s="26">
        <f t="shared" si="57"/>
        <v>7210</v>
      </c>
      <c r="E133" s="23">
        <f t="shared" si="58"/>
        <v>2.0027523930329933</v>
      </c>
      <c r="F133" s="23">
        <f t="shared" si="59"/>
        <v>8.3448016376374723E-2</v>
      </c>
      <c r="G133" s="9">
        <f t="shared" si="60"/>
        <v>7540</v>
      </c>
      <c r="H133">
        <f>ROUND(兵消耗!J7*基本公式!$B$54*基本公式!$B$55*基本公式!$B$56,-1)</f>
        <v>7540</v>
      </c>
      <c r="I133" s="9">
        <v>1</v>
      </c>
    </row>
    <row r="134" spans="1:9">
      <c r="A134">
        <v>7</v>
      </c>
      <c r="B134" s="26">
        <f>ROUND(H29*基本公式!$B$168,0)</f>
        <v>9505</v>
      </c>
      <c r="C134" s="23">
        <f>其他表格!G34*基本公式!$B$4*基本公式!$B$126</f>
        <v>8.1835762895418807</v>
      </c>
      <c r="D134" s="26">
        <f t="shared" si="57"/>
        <v>12425</v>
      </c>
      <c r="E134" s="23">
        <f t="shared" si="58"/>
        <v>3.4513343481980971</v>
      </c>
      <c r="F134" s="23">
        <f t="shared" si="59"/>
        <v>0.14380559784158739</v>
      </c>
      <c r="G134" s="9">
        <f t="shared" si="60"/>
        <v>12160</v>
      </c>
      <c r="H134">
        <f>ROUND(兵消耗!J8*基本公式!$B$54*基本公式!$B$55*基本公式!$B$56,-1)</f>
        <v>12160</v>
      </c>
      <c r="I134" s="9">
        <v>2</v>
      </c>
    </row>
    <row r="135" spans="1:9">
      <c r="A135">
        <v>8</v>
      </c>
      <c r="B135" s="26">
        <f>ROUND(H30*基本公式!$B$168,0)</f>
        <v>17090</v>
      </c>
      <c r="C135" s="23">
        <f>其他表格!G35*基本公式!$B$4*基本公式!$B$126</f>
        <v>16.104978510311255</v>
      </c>
      <c r="D135" s="26">
        <f t="shared" si="57"/>
        <v>28517</v>
      </c>
      <c r="E135" s="23">
        <f t="shared" si="58"/>
        <v>7.9214022207693748</v>
      </c>
      <c r="F135" s="23">
        <f t="shared" si="59"/>
        <v>0.33005842586539064</v>
      </c>
      <c r="G135" s="9">
        <f t="shared" si="60"/>
        <v>19680</v>
      </c>
      <c r="H135">
        <f>ROUND(兵消耗!J9*基本公式!$B$54*基本公式!$B$55*基本公式!$B$56,-1)</f>
        <v>19680</v>
      </c>
      <c r="I135" s="9">
        <v>2</v>
      </c>
    </row>
    <row r="136" spans="1:9">
      <c r="A136">
        <v>9</v>
      </c>
      <c r="B136" s="26">
        <f>ROUND(H31*基本公式!$B$168,0)</f>
        <v>24655</v>
      </c>
      <c r="C136" s="23">
        <f>其他表格!G36*基本公式!$B$4*基本公式!$B$126</f>
        <v>27.59727039710619</v>
      </c>
      <c r="D136" s="26">
        <f t="shared" si="57"/>
        <v>41372</v>
      </c>
      <c r="E136" s="23">
        <f t="shared" si="58"/>
        <v>11.492291886794934</v>
      </c>
      <c r="F136" s="23">
        <f t="shared" si="59"/>
        <v>0.47884549528312226</v>
      </c>
      <c r="G136" s="9">
        <f t="shared" si="60"/>
        <v>27190</v>
      </c>
      <c r="H136">
        <f>ROUND(兵消耗!J10*基本公式!$B$54*基本公式!$B$55*基本公式!$B$56,-1)</f>
        <v>27190</v>
      </c>
      <c r="I136" s="9">
        <v>2</v>
      </c>
    </row>
    <row r="137" spans="1:9">
      <c r="A137">
        <v>10</v>
      </c>
      <c r="B137" s="26">
        <f>ROUND(H32*基本公式!$B$168,0)</f>
        <v>37495</v>
      </c>
      <c r="C137" s="23">
        <f>其他表格!G37*基本公式!$B$4*基本公式!$B$126</f>
        <v>45.649620205739566</v>
      </c>
      <c r="D137" s="26">
        <f t="shared" si="57"/>
        <v>64988</v>
      </c>
      <c r="E137" s="23">
        <f t="shared" si="58"/>
        <v>18.052349808633377</v>
      </c>
      <c r="F137" s="23">
        <f t="shared" si="59"/>
        <v>0.7521812420263907</v>
      </c>
      <c r="G137" s="9">
        <f t="shared" si="60"/>
        <v>39330</v>
      </c>
      <c r="H137">
        <f>ROUND(兵消耗!J11*基本公式!$B$54*基本公式!$B$55*基本公式!$B$56,-1)</f>
        <v>39330</v>
      </c>
      <c r="I137" s="9">
        <v>2</v>
      </c>
    </row>
    <row r="138" spans="1:9">
      <c r="A138">
        <v>11</v>
      </c>
      <c r="B138" s="26">
        <f>ROUND(H33*基本公式!$B$168,0)</f>
        <v>54565</v>
      </c>
      <c r="C138" s="23">
        <f>其他表格!G38*基本公式!$B$4*基本公式!$B$126</f>
        <v>78.630924756297816</v>
      </c>
      <c r="D138" s="26">
        <f t="shared" si="57"/>
        <v>118733</v>
      </c>
      <c r="E138" s="23">
        <f t="shared" si="58"/>
        <v>32.981304550558249</v>
      </c>
      <c r="F138" s="23">
        <f t="shared" si="59"/>
        <v>1.374221022939927</v>
      </c>
      <c r="G138" s="9">
        <f t="shared" si="60"/>
        <v>46840</v>
      </c>
      <c r="H138">
        <f>ROUND(兵消耗!J12*基本公式!$B$54*基本公式!$B$55*基本公式!$B$56,-1)</f>
        <v>46840</v>
      </c>
      <c r="I138" s="9">
        <v>2</v>
      </c>
    </row>
    <row r="139" spans="1:9">
      <c r="A139">
        <v>12</v>
      </c>
      <c r="B139" s="26">
        <f>ROUND(H34*基本公式!$B$168,0)</f>
        <v>98025</v>
      </c>
      <c r="C139" s="23">
        <f>其他表格!G39*基本公式!$B$4*基本公式!$B$126</f>
        <v>124.15409172047022</v>
      </c>
      <c r="D139" s="26">
        <f t="shared" si="57"/>
        <v>163883</v>
      </c>
      <c r="E139" s="23">
        <f t="shared" si="58"/>
        <v>45.523166964172404</v>
      </c>
      <c r="F139" s="23">
        <f t="shared" si="59"/>
        <v>1.8967986235071834</v>
      </c>
      <c r="G139" s="9">
        <f t="shared" si="60"/>
        <v>66490</v>
      </c>
      <c r="H139">
        <f>ROUND(兵消耗!J13*基本公式!$B$54*基本公式!$B$55*基本公式!$B$56,-1)</f>
        <v>66490</v>
      </c>
      <c r="I139" s="9">
        <v>3</v>
      </c>
    </row>
    <row r="140" spans="1:9">
      <c r="A140">
        <v>13</v>
      </c>
      <c r="B140" s="26">
        <f>ROUND(H35*基本公式!$B$168,0)</f>
        <v>134125</v>
      </c>
      <c r="C140" s="23">
        <f>其他表格!G40*基本公式!$B$4*基本公式!$B$126</f>
        <v>193.6126186674</v>
      </c>
      <c r="D140" s="26">
        <f t="shared" si="57"/>
        <v>250051</v>
      </c>
      <c r="E140" s="23">
        <f t="shared" si="58"/>
        <v>69.45852694692978</v>
      </c>
      <c r="F140" s="23">
        <f t="shared" si="59"/>
        <v>2.8941052894554073</v>
      </c>
      <c r="G140" s="9">
        <f t="shared" si="60"/>
        <v>83260</v>
      </c>
      <c r="H140">
        <f>ROUND(兵消耗!J14*基本公式!$B$54*基本公式!$B$55*基本公式!$B$56,-1)</f>
        <v>83260</v>
      </c>
      <c r="I140" s="9">
        <v>3</v>
      </c>
    </row>
    <row r="141" spans="1:9">
      <c r="A141">
        <v>14</v>
      </c>
      <c r="B141" s="26">
        <f>ROUND(H36*基本公式!$B$168,0)</f>
        <v>165655</v>
      </c>
      <c r="C141" s="23">
        <f>其他表格!G41*基本公式!$B$4*基本公式!$B$126</f>
        <v>285.32385908879996</v>
      </c>
      <c r="D141" s="26">
        <f t="shared" si="57"/>
        <v>330160</v>
      </c>
      <c r="E141" s="23">
        <f t="shared" si="58"/>
        <v>91.711240421399964</v>
      </c>
      <c r="F141" s="23">
        <f t="shared" si="59"/>
        <v>3.8213016842249985</v>
      </c>
      <c r="G141" s="9">
        <f t="shared" si="60"/>
        <v>98290</v>
      </c>
      <c r="H141">
        <f>ROUND(兵消耗!J15*基本公式!$B$54*基本公式!$B$55*基本公式!$B$56,-1)</f>
        <v>98290</v>
      </c>
      <c r="I141" s="9">
        <v>3</v>
      </c>
    </row>
    <row r="142" spans="1:9">
      <c r="A142">
        <v>15</v>
      </c>
      <c r="B142" s="26">
        <f>ROUND(H37*基本公式!$B$168,0)</f>
        <v>201120</v>
      </c>
      <c r="C142" s="23">
        <f>其他表格!G42*基本公式!$B$4*基本公式!$B$126</f>
        <v>402.24228254999997</v>
      </c>
      <c r="D142" s="26">
        <f t="shared" si="57"/>
        <v>420906</v>
      </c>
      <c r="E142" s="23">
        <f t="shared" si="58"/>
        <v>116.91842346120001</v>
      </c>
      <c r="F142" s="23">
        <f t="shared" si="59"/>
        <v>4.87160097755</v>
      </c>
      <c r="G142" s="9">
        <f t="shared" si="60"/>
        <v>115630</v>
      </c>
      <c r="H142">
        <f>ROUND(兵消耗!J16*基本公式!$B$54*基本公式!$B$55*基本公式!$B$56,-1)</f>
        <v>115630</v>
      </c>
      <c r="I142" s="9">
        <v>3</v>
      </c>
    </row>
    <row r="143" spans="1:9">
      <c r="A143">
        <v>16</v>
      </c>
      <c r="B143" s="26">
        <f>ROUND(H38*基本公式!$B$168,0)</f>
        <v>235705</v>
      </c>
      <c r="C143" s="23">
        <f>其他表格!G43*基本公式!$B$4*基本公式!$B$126</f>
        <v>547.61405483999999</v>
      </c>
      <c r="D143" s="26">
        <f t="shared" si="57"/>
        <v>523338</v>
      </c>
      <c r="E143" s="23">
        <f t="shared" si="58"/>
        <v>145.37177229000002</v>
      </c>
      <c r="F143" s="23">
        <f t="shared" si="59"/>
        <v>6.0571571787500007</v>
      </c>
      <c r="G143" s="9">
        <f t="shared" si="60"/>
        <v>132980</v>
      </c>
      <c r="H143">
        <f>ROUND(兵消耗!J17*基本公式!$B$54*基本公式!$B$55*基本公式!$B$56,-1)</f>
        <v>132980</v>
      </c>
      <c r="I143" s="9">
        <v>4</v>
      </c>
    </row>
    <row r="144" spans="1:9">
      <c r="A144">
        <v>17</v>
      </c>
      <c r="B144" s="26">
        <f>ROUND(H39*基本公式!$B$168,0)</f>
        <v>272825</v>
      </c>
      <c r="C144" s="23">
        <f>其他表格!G44*基本公式!$B$4*基本公式!$B$126</f>
        <v>725.00178719999997</v>
      </c>
      <c r="D144" s="26">
        <f t="shared" si="57"/>
        <v>638596</v>
      </c>
      <c r="E144" s="23">
        <f t="shared" si="58"/>
        <v>177.38773235999997</v>
      </c>
      <c r="F144" s="23">
        <f t="shared" si="59"/>
        <v>7.3911555149999986</v>
      </c>
      <c r="G144" s="9">
        <f t="shared" si="60"/>
        <v>152050</v>
      </c>
      <c r="H144">
        <f>ROUND(兵消耗!J18*基本公式!$B$54*基本公式!$B$55*基本公式!$B$56,-1)</f>
        <v>152050</v>
      </c>
      <c r="I144" s="9">
        <v>4</v>
      </c>
    </row>
    <row r="145" spans="1:9" ht="12.75" customHeight="1">
      <c r="A145">
        <v>18</v>
      </c>
      <c r="B145" s="26">
        <f>ROUND(H40*基本公式!$B$168,0)</f>
        <v>313460</v>
      </c>
      <c r="C145" s="23">
        <f>其他表格!G45*基本公式!$B$4*基本公式!$B$126</f>
        <v>938.31119999999987</v>
      </c>
      <c r="D145" s="26">
        <f t="shared" si="57"/>
        <v>767914</v>
      </c>
      <c r="E145" s="23">
        <f t="shared" si="58"/>
        <v>213.3094127999999</v>
      </c>
      <c r="F145" s="23">
        <f t="shared" si="59"/>
        <v>8.887892199999996</v>
      </c>
      <c r="G145" s="9">
        <f t="shared" si="60"/>
        <v>173440</v>
      </c>
      <c r="H145">
        <f>ROUND(兵消耗!J19*基本公式!$B$54*基本公式!$B$55*基本公式!$B$56,-1)</f>
        <v>173440</v>
      </c>
      <c r="I145" s="9">
        <v>4</v>
      </c>
    </row>
    <row r="146" spans="1:9">
      <c r="A146">
        <v>19</v>
      </c>
      <c r="B146" s="26">
        <f>ROUND(H41*基本公式!$B$168,0)</f>
        <v>356365</v>
      </c>
      <c r="C146" s="23">
        <f>其他表格!G46*基本公式!$B$4*基本公式!$B$126</f>
        <v>1191.8198399999997</v>
      </c>
      <c r="D146" s="26">
        <f t="shared" si="57"/>
        <v>912631</v>
      </c>
      <c r="E146" s="23">
        <f t="shared" si="58"/>
        <v>253.50863999999979</v>
      </c>
      <c r="F146" s="23">
        <f t="shared" si="59"/>
        <v>10.562859999999992</v>
      </c>
      <c r="G146" s="9">
        <f t="shared" si="60"/>
        <v>196570</v>
      </c>
      <c r="H146">
        <f>ROUND(兵消耗!J20*基本公式!$B$54*基本公式!$B$55*基本公式!$B$56,-1)</f>
        <v>196570</v>
      </c>
      <c r="I146" s="9">
        <v>4</v>
      </c>
    </row>
    <row r="147" spans="1:9">
      <c r="A147">
        <v>20</v>
      </c>
      <c r="B147" s="26">
        <f>ROUND(H42*基本公式!$B$168,0)</f>
        <v>419250</v>
      </c>
      <c r="C147" s="23">
        <f>其他表格!G47*基本公式!$B$4*基本公式!$B$126</f>
        <v>1490.2079999999999</v>
      </c>
      <c r="D147" s="26">
        <f t="shared" si="57"/>
        <v>1074197</v>
      </c>
      <c r="E147" s="23">
        <f t="shared" si="58"/>
        <v>298.3881600000002</v>
      </c>
      <c r="F147" s="23">
        <f t="shared" si="59"/>
        <v>12.432840000000008</v>
      </c>
      <c r="G147" s="9">
        <f t="shared" si="60"/>
        <v>231260</v>
      </c>
      <c r="H147">
        <f>ROUND(兵消耗!J21*基本公式!$B$54*基本公式!$B$55*基本公式!$B$56,-1)</f>
        <v>231260</v>
      </c>
      <c r="I147" s="9">
        <v>5</v>
      </c>
    </row>
    <row r="148" spans="1:9" s="7" customFormat="1" ht="27">
      <c r="A148" s="7" t="s">
        <v>86</v>
      </c>
      <c r="B148" s="24" t="s">
        <v>216</v>
      </c>
      <c r="C148" s="25" t="s">
        <v>217</v>
      </c>
      <c r="D148" s="24" t="s">
        <v>218</v>
      </c>
      <c r="E148" s="25" t="s">
        <v>219</v>
      </c>
      <c r="F148" s="25" t="s">
        <v>220</v>
      </c>
    </row>
    <row r="149" spans="1:9">
      <c r="A149" s="1">
        <v>1</v>
      </c>
      <c r="B149" s="26">
        <f>ROUND(H23*基本公式!$B$169,0)</f>
        <v>240</v>
      </c>
      <c r="C149" s="23">
        <f>其他表格!G28*基本公式!$B$4*基本公式!$B$127</f>
        <v>9.7875276357979497E-3</v>
      </c>
      <c r="D149" s="26">
        <f>ROUND(E149*3600,0)</f>
        <v>35</v>
      </c>
      <c r="E149" s="23">
        <f>C149</f>
        <v>9.7875276357979497E-3</v>
      </c>
      <c r="F149" s="23">
        <f>E149/24</f>
        <v>4.0781365149158126E-4</v>
      </c>
    </row>
    <row r="150" spans="1:9">
      <c r="A150" s="1">
        <v>2</v>
      </c>
      <c r="B150" s="26">
        <f>ROUND(H24*基本公式!$B$169,0)</f>
        <v>465</v>
      </c>
      <c r="C150" s="23">
        <f>其他表格!G29*基本公式!$B$4*基本公式!$B$127</f>
        <v>8.6036621378050127E-2</v>
      </c>
      <c r="D150" s="26">
        <f t="shared" ref="D150" si="61">ROUND(E150*3600,0)</f>
        <v>274</v>
      </c>
      <c r="E150" s="23">
        <f t="shared" ref="E150" si="62">C150-C149</f>
        <v>7.624909374225218E-2</v>
      </c>
      <c r="F150" s="23">
        <f t="shared" ref="F150" si="63">E150/24</f>
        <v>3.1770455725938407E-3</v>
      </c>
    </row>
    <row r="151" spans="1:9">
      <c r="A151" s="1">
        <v>3</v>
      </c>
      <c r="B151" s="26">
        <f>ROUND(H25*基本公式!$B$169,0)</f>
        <v>690</v>
      </c>
      <c r="C151" s="23">
        <f>其他表格!G30*基本公式!$B$4*基本公式!$B$127</f>
        <v>0.36225945843389534</v>
      </c>
      <c r="D151" s="26">
        <f t="shared" ref="D151:D168" si="64">ROUND(E151*3600,0)</f>
        <v>994</v>
      </c>
      <c r="E151" s="23">
        <f t="shared" ref="E151:E168" si="65">C151-C150</f>
        <v>0.27622283705584522</v>
      </c>
      <c r="F151" s="23">
        <f t="shared" ref="F151:F168" si="66">E151/24</f>
        <v>1.1509284877326885E-2</v>
      </c>
    </row>
    <row r="152" spans="1:9">
      <c r="A152" s="1">
        <v>4</v>
      </c>
      <c r="B152" s="26">
        <f>ROUND(H26*基本公式!$B$169,0)</f>
        <v>1140</v>
      </c>
      <c r="C152" s="23">
        <f>其他表格!G31*基本公式!$B$4*基本公式!$B$127</f>
        <v>0.85798292786975194</v>
      </c>
      <c r="D152" s="26">
        <f t="shared" si="64"/>
        <v>1785</v>
      </c>
      <c r="E152" s="23">
        <f t="shared" si="65"/>
        <v>0.4957234694358566</v>
      </c>
      <c r="F152" s="23">
        <f t="shared" si="66"/>
        <v>2.0655144559827358E-2</v>
      </c>
    </row>
    <row r="153" spans="1:9">
      <c r="A153" s="1">
        <v>5</v>
      </c>
      <c r="B153" s="26">
        <f>ROUND(H27*基本公式!$B$169,0)</f>
        <v>1895</v>
      </c>
      <c r="C153" s="23">
        <f>其他表格!G32*基本公式!$B$4*基本公式!$B$127</f>
        <v>1.7059309676942438</v>
      </c>
      <c r="D153" s="26">
        <f t="shared" si="64"/>
        <v>3053</v>
      </c>
      <c r="E153" s="23">
        <f t="shared" si="65"/>
        <v>0.84794803982449185</v>
      </c>
      <c r="F153" s="23">
        <f t="shared" si="66"/>
        <v>3.5331168326020491E-2</v>
      </c>
    </row>
    <row r="154" spans="1:9">
      <c r="A154" s="1">
        <v>6</v>
      </c>
      <c r="B154" s="26">
        <f>ROUND(H28*基本公式!$B$169,0)</f>
        <v>4825</v>
      </c>
      <c r="C154" s="23">
        <f>其他表格!G33*基本公式!$B$4*基本公式!$B$127</f>
        <v>2.9576512133398651</v>
      </c>
      <c r="D154" s="26">
        <f t="shared" si="64"/>
        <v>4506</v>
      </c>
      <c r="E154" s="23">
        <f t="shared" si="65"/>
        <v>1.2517202456456213</v>
      </c>
      <c r="F154" s="23">
        <f t="shared" si="66"/>
        <v>5.2155010235234223E-2</v>
      </c>
    </row>
    <row r="155" spans="1:9">
      <c r="A155" s="1">
        <v>7</v>
      </c>
      <c r="B155" s="26">
        <f>ROUND(H29*基本公式!$B$169,0)</f>
        <v>9505</v>
      </c>
      <c r="C155" s="23">
        <f>其他表格!G34*基本公式!$B$4*基本公式!$B$127</f>
        <v>5.1147351809636756</v>
      </c>
      <c r="D155" s="26">
        <f t="shared" si="64"/>
        <v>7766</v>
      </c>
      <c r="E155" s="23">
        <f t="shared" si="65"/>
        <v>2.1570839676238105</v>
      </c>
      <c r="F155" s="23">
        <f t="shared" si="66"/>
        <v>8.9878498650992109E-2</v>
      </c>
    </row>
    <row r="156" spans="1:9">
      <c r="A156" s="1">
        <v>8</v>
      </c>
      <c r="B156" s="26">
        <f>ROUND(H30*基本公式!$B$169,0)</f>
        <v>17090</v>
      </c>
      <c r="C156" s="23">
        <f>其他表格!G35*基本公式!$B$4*基本公式!$B$127</f>
        <v>10.065611568944535</v>
      </c>
      <c r="D156" s="26">
        <f t="shared" si="64"/>
        <v>17823</v>
      </c>
      <c r="E156" s="23">
        <f t="shared" si="65"/>
        <v>4.9508763879808591</v>
      </c>
      <c r="F156" s="23">
        <f t="shared" si="66"/>
        <v>0.20628651616586913</v>
      </c>
    </row>
    <row r="157" spans="1:9">
      <c r="A157" s="1">
        <v>9</v>
      </c>
      <c r="B157" s="26">
        <f>ROUND(H31*基本公式!$B$169,0)</f>
        <v>24655</v>
      </c>
      <c r="C157" s="23">
        <f>其他表格!G36*基本公式!$B$4*基本公式!$B$127</f>
        <v>17.248293998191368</v>
      </c>
      <c r="D157" s="26">
        <f t="shared" si="64"/>
        <v>25858</v>
      </c>
      <c r="E157" s="23">
        <f t="shared" si="65"/>
        <v>7.1826824292468334</v>
      </c>
      <c r="F157" s="23">
        <f t="shared" si="66"/>
        <v>0.29927843455195141</v>
      </c>
    </row>
    <row r="158" spans="1:9">
      <c r="A158" s="1">
        <v>10</v>
      </c>
      <c r="B158" s="26">
        <f>ROUND(H32*基本公式!$B$169,0)</f>
        <v>37495</v>
      </c>
      <c r="C158" s="23">
        <f>其他表格!G37*基本公式!$B$4*基本公式!$B$127</f>
        <v>28.531012628587231</v>
      </c>
      <c r="D158" s="26">
        <f t="shared" si="64"/>
        <v>40618</v>
      </c>
      <c r="E158" s="23">
        <f t="shared" si="65"/>
        <v>11.282718630395863</v>
      </c>
      <c r="F158" s="23">
        <f t="shared" si="66"/>
        <v>0.4701132762664943</v>
      </c>
    </row>
    <row r="159" spans="1:9">
      <c r="A159" s="1">
        <v>11</v>
      </c>
      <c r="B159" s="26">
        <f>ROUND(H33*基本公式!$B$169,0)</f>
        <v>54565</v>
      </c>
      <c r="C159" s="23">
        <f>其他表格!G38*基本公式!$B$4*基本公式!$B$127</f>
        <v>49.144327972686142</v>
      </c>
      <c r="D159" s="26">
        <f t="shared" si="64"/>
        <v>74208</v>
      </c>
      <c r="E159" s="23">
        <f t="shared" si="65"/>
        <v>20.613315344098911</v>
      </c>
      <c r="F159" s="23">
        <f t="shared" si="66"/>
        <v>0.85888813933745467</v>
      </c>
    </row>
    <row r="160" spans="1:9">
      <c r="A160" s="1">
        <v>12</v>
      </c>
      <c r="B160" s="26">
        <f>ROUND(H34*基本公式!$B$169,0)</f>
        <v>98025</v>
      </c>
      <c r="C160" s="23">
        <f>其他表格!G39*基本公式!$B$4*基本公式!$B$127</f>
        <v>77.596307325293893</v>
      </c>
      <c r="D160" s="26">
        <f t="shared" si="64"/>
        <v>102427</v>
      </c>
      <c r="E160" s="23">
        <f t="shared" si="65"/>
        <v>28.451979352607751</v>
      </c>
      <c r="F160" s="23">
        <f t="shared" si="66"/>
        <v>1.1854991396919896</v>
      </c>
    </row>
    <row r="161" spans="1:10">
      <c r="A161" s="1">
        <v>13</v>
      </c>
      <c r="B161" s="26">
        <f>ROUND(H35*基本公式!$B$169,0)</f>
        <v>134125</v>
      </c>
      <c r="C161" s="23">
        <f>其他表格!G40*基本公式!$B$4*基本公式!$B$127</f>
        <v>121.00788666712499</v>
      </c>
      <c r="D161" s="26">
        <f t="shared" si="64"/>
        <v>156282</v>
      </c>
      <c r="E161" s="23">
        <f t="shared" si="65"/>
        <v>43.4115793418311</v>
      </c>
      <c r="F161" s="23">
        <f t="shared" si="66"/>
        <v>1.8088158059096291</v>
      </c>
    </row>
    <row r="162" spans="1:10">
      <c r="A162" s="1">
        <v>14</v>
      </c>
      <c r="B162" s="26">
        <f>ROUND(H36*基本公式!$B$169,0)</f>
        <v>165655</v>
      </c>
      <c r="C162" s="23">
        <f>其他表格!G41*基本公式!$B$4*基本公式!$B$127</f>
        <v>178.32741193050001</v>
      </c>
      <c r="D162" s="26">
        <f t="shared" si="64"/>
        <v>206350</v>
      </c>
      <c r="E162" s="23">
        <f t="shared" si="65"/>
        <v>57.319525263375013</v>
      </c>
      <c r="F162" s="23">
        <f t="shared" si="66"/>
        <v>2.3883135526406254</v>
      </c>
    </row>
    <row r="163" spans="1:10">
      <c r="A163" s="1">
        <v>15</v>
      </c>
      <c r="B163" s="26">
        <f>ROUND(H37*基本公式!$B$169,0)</f>
        <v>201120</v>
      </c>
      <c r="C163" s="23">
        <f>其他表格!G42*基本公式!$B$4*基本公式!$B$127</f>
        <v>251.40142659374999</v>
      </c>
      <c r="D163" s="26">
        <f t="shared" si="64"/>
        <v>263066</v>
      </c>
      <c r="E163" s="23">
        <f t="shared" si="65"/>
        <v>73.074014663249983</v>
      </c>
      <c r="F163" s="23">
        <f t="shared" si="66"/>
        <v>3.0447506109687494</v>
      </c>
    </row>
    <row r="164" spans="1:10">
      <c r="A164" s="1">
        <v>16</v>
      </c>
      <c r="B164" s="26">
        <f>ROUND(H38*基本公式!$B$169,0)</f>
        <v>235705</v>
      </c>
      <c r="C164" s="23">
        <f>其他表格!G43*基本公式!$B$4*基本公式!$B$127</f>
        <v>342.25878427499998</v>
      </c>
      <c r="D164" s="26">
        <f t="shared" si="64"/>
        <v>327086</v>
      </c>
      <c r="E164" s="23">
        <f t="shared" si="65"/>
        <v>90.857357681249994</v>
      </c>
      <c r="F164" s="23">
        <f t="shared" si="66"/>
        <v>3.7857232367187499</v>
      </c>
    </row>
    <row r="165" spans="1:10">
      <c r="A165" s="1">
        <v>17</v>
      </c>
      <c r="B165" s="26">
        <f>ROUND(H39*基本公式!$B$169,0)</f>
        <v>272825</v>
      </c>
      <c r="C165" s="23">
        <f>其他表格!G44*基本公式!$B$4*基本公式!$B$127</f>
        <v>453.12611700000002</v>
      </c>
      <c r="D165" s="26">
        <f t="shared" si="64"/>
        <v>399122</v>
      </c>
      <c r="E165" s="23">
        <f t="shared" si="65"/>
        <v>110.86733272500004</v>
      </c>
      <c r="F165" s="23">
        <f t="shared" si="66"/>
        <v>4.6194721968750017</v>
      </c>
    </row>
    <row r="166" spans="1:10">
      <c r="A166" s="1">
        <v>18</v>
      </c>
      <c r="B166" s="26">
        <f>ROUND(H40*基本公式!$B$169,0)</f>
        <v>313460</v>
      </c>
      <c r="C166" s="23">
        <f>其他表格!G45*基本公式!$B$4*基本公式!$B$127</f>
        <v>586.44449999999995</v>
      </c>
      <c r="D166" s="26">
        <f t="shared" si="64"/>
        <v>479946</v>
      </c>
      <c r="E166" s="23">
        <f t="shared" si="65"/>
        <v>133.31838299999993</v>
      </c>
      <c r="F166" s="23">
        <f t="shared" si="66"/>
        <v>5.5549326249999966</v>
      </c>
    </row>
    <row r="167" spans="1:10">
      <c r="A167" s="1">
        <v>19</v>
      </c>
      <c r="B167" s="26">
        <f>ROUND(H41*基本公式!$B$169,0)</f>
        <v>356365</v>
      </c>
      <c r="C167" s="23">
        <f>其他表格!G46*基本公式!$B$4*基本公式!$B$127</f>
        <v>744.88739999999984</v>
      </c>
      <c r="D167" s="26">
        <f t="shared" si="64"/>
        <v>570394</v>
      </c>
      <c r="E167" s="23">
        <f t="shared" si="65"/>
        <v>158.4428999999999</v>
      </c>
      <c r="F167" s="23">
        <f t="shared" si="66"/>
        <v>6.6017874999999959</v>
      </c>
    </row>
    <row r="168" spans="1:10">
      <c r="A168" s="1">
        <v>20</v>
      </c>
      <c r="B168" s="26">
        <f>ROUND(H42*基本公式!$B$169,0)</f>
        <v>419250</v>
      </c>
      <c r="C168" s="23">
        <f>其他表格!G47*基本公式!$B$4*基本公式!$B$127</f>
        <v>931.38</v>
      </c>
      <c r="D168" s="26">
        <f t="shared" si="64"/>
        <v>671373</v>
      </c>
      <c r="E168" s="23">
        <f t="shared" si="65"/>
        <v>186.49260000000015</v>
      </c>
      <c r="F168" s="23">
        <f t="shared" si="66"/>
        <v>7.7705250000000063</v>
      </c>
    </row>
    <row r="169" spans="1:10" s="7" customFormat="1" ht="27">
      <c r="A169" s="7" t="s">
        <v>87</v>
      </c>
      <c r="B169" s="24" t="s">
        <v>216</v>
      </c>
      <c r="C169" s="25" t="s">
        <v>217</v>
      </c>
      <c r="D169" s="24" t="s">
        <v>218</v>
      </c>
      <c r="E169" s="25" t="s">
        <v>219</v>
      </c>
      <c r="F169" s="25" t="s">
        <v>220</v>
      </c>
      <c r="G169" s="7" t="s">
        <v>1065</v>
      </c>
      <c r="H169" s="7" t="s">
        <v>1066</v>
      </c>
      <c r="I169" s="7" t="s">
        <v>1067</v>
      </c>
      <c r="J169" s="7" t="s">
        <v>1068</v>
      </c>
    </row>
    <row r="170" spans="1:10">
      <c r="A170" s="1">
        <v>1</v>
      </c>
      <c r="B170" s="26">
        <f>ROUND(H23*基本公式!$B$170,0)</f>
        <v>168</v>
      </c>
      <c r="C170" s="23">
        <f>其他表格!G28*基本公式!$B$4*基本公式!$B$128</f>
        <v>7.8300221086383594E-3</v>
      </c>
      <c r="D170" s="26">
        <f>ROUND(E170*3600,0)</f>
        <v>28</v>
      </c>
      <c r="E170" s="23">
        <f>C170</f>
        <v>7.8300221086383594E-3</v>
      </c>
      <c r="F170" s="23">
        <f>E170/24</f>
        <v>3.2625092119326499E-4</v>
      </c>
      <c r="G170" s="5">
        <v>0.3</v>
      </c>
      <c r="H170" s="82">
        <f>ROUND(G170*产出与消耗!P3,0)</f>
        <v>57</v>
      </c>
      <c r="I170" s="82">
        <f>ROUND(G170*产出与消耗!P25,0)</f>
        <v>57</v>
      </c>
      <c r="J170" s="82">
        <f>ROUND(G170*产出与消耗!P47,0)</f>
        <v>57</v>
      </c>
    </row>
    <row r="171" spans="1:10">
      <c r="A171" s="1">
        <v>2</v>
      </c>
      <c r="B171" s="26">
        <f>ROUND(H24*基本公式!$B$170,0)</f>
        <v>326</v>
      </c>
      <c r="C171" s="23">
        <f>其他表格!G29*基本公式!$B$4*基本公式!$B$128</f>
        <v>6.882929710244011E-2</v>
      </c>
      <c r="D171" s="26">
        <f t="shared" ref="D171" si="67">ROUND(E171*3600,0)</f>
        <v>220</v>
      </c>
      <c r="E171" s="23">
        <f t="shared" ref="E171" si="68">C171-C170</f>
        <v>6.0999274993801748E-2</v>
      </c>
      <c r="F171" s="23">
        <f t="shared" ref="F171" si="69">E171/24</f>
        <v>2.541636458075073E-3</v>
      </c>
      <c r="G171" s="5">
        <v>0.3</v>
      </c>
      <c r="H171" s="82">
        <f>ROUND(G171*产出与消耗!P4,0)</f>
        <v>622</v>
      </c>
      <c r="I171" s="82">
        <f>ROUND(G171*产出与消耗!P26,0)</f>
        <v>622</v>
      </c>
      <c r="J171" s="82">
        <f>ROUND(G171*产出与消耗!P48,0)</f>
        <v>622</v>
      </c>
    </row>
    <row r="172" spans="1:10">
      <c r="A172" s="1">
        <v>3</v>
      </c>
      <c r="B172" s="26">
        <f>ROUND(H25*基本公式!$B$170,0)</f>
        <v>483</v>
      </c>
      <c r="C172" s="23">
        <f>其他表格!G30*基本公式!$B$4*基本公式!$B$128</f>
        <v>0.28980756674711627</v>
      </c>
      <c r="D172" s="26">
        <f t="shared" ref="D172:D189" si="70">ROUND(E172*3600,0)</f>
        <v>796</v>
      </c>
      <c r="E172" s="23">
        <f t="shared" ref="E172:E189" si="71">C172-C171</f>
        <v>0.22097826964467615</v>
      </c>
      <c r="F172" s="23">
        <f t="shared" ref="F172:F189" si="72">E172/24</f>
        <v>9.2074279018615063E-3</v>
      </c>
      <c r="G172" s="5">
        <v>0.3</v>
      </c>
      <c r="H172" s="82">
        <f>ROUND(G172*产出与消耗!P5,0)</f>
        <v>4044</v>
      </c>
      <c r="I172" s="82">
        <f>ROUND(G172*产出与消耗!P27,0)</f>
        <v>4044</v>
      </c>
      <c r="J172" s="82">
        <f>ROUND(G172*产出与消耗!P49,0)</f>
        <v>4044</v>
      </c>
    </row>
    <row r="173" spans="1:10">
      <c r="A173" s="1">
        <v>4</v>
      </c>
      <c r="B173" s="26">
        <f>ROUND(H26*基本公式!$B$170,0)</f>
        <v>798</v>
      </c>
      <c r="C173" s="23">
        <f>其他表格!G31*基本公式!$B$4*基本公式!$B$128</f>
        <v>0.68638634229580153</v>
      </c>
      <c r="D173" s="26">
        <f t="shared" si="70"/>
        <v>1428</v>
      </c>
      <c r="E173" s="23">
        <f t="shared" si="71"/>
        <v>0.39657877554868526</v>
      </c>
      <c r="F173" s="23">
        <f t="shared" si="72"/>
        <v>1.6524115647861885E-2</v>
      </c>
      <c r="G173" s="5">
        <v>0.3</v>
      </c>
      <c r="H173" s="82">
        <f>ROUND(G173*产出与消耗!P6,0)</f>
        <v>16330</v>
      </c>
      <c r="I173" s="82">
        <f>ROUND(G173*产出与消耗!P28,0)</f>
        <v>16330</v>
      </c>
      <c r="J173" s="82">
        <f>ROUND(G173*产出与消耗!P50,0)</f>
        <v>16330</v>
      </c>
    </row>
    <row r="174" spans="1:10">
      <c r="A174" s="1">
        <v>5</v>
      </c>
      <c r="B174" s="26">
        <f>ROUND(H27*基本公式!$B$170,0)</f>
        <v>1327</v>
      </c>
      <c r="C174" s="23">
        <f>其他表格!G32*基本公式!$B$4*基本公式!$B$128</f>
        <v>1.3647447741553951</v>
      </c>
      <c r="D174" s="26">
        <f t="shared" si="70"/>
        <v>2442</v>
      </c>
      <c r="E174" s="23">
        <f t="shared" si="71"/>
        <v>0.67835843185959355</v>
      </c>
      <c r="F174" s="23">
        <f t="shared" si="72"/>
        <v>2.8264934660816397E-2</v>
      </c>
      <c r="G174" s="5">
        <v>0.3</v>
      </c>
      <c r="H174" s="82">
        <f>ROUND(G174*产出与消耗!P7,0)</f>
        <v>52877</v>
      </c>
      <c r="I174" s="82">
        <f>ROUND(G174*产出与消耗!P29,0)</f>
        <v>52877</v>
      </c>
      <c r="J174" s="82">
        <f>ROUND(G174*产出与消耗!P51,0)</f>
        <v>52877</v>
      </c>
    </row>
    <row r="175" spans="1:10">
      <c r="A175" s="1">
        <v>6</v>
      </c>
      <c r="B175" s="26">
        <f>ROUND(H28*基本公式!$B$170,0)</f>
        <v>3378</v>
      </c>
      <c r="C175" s="23">
        <f>其他表格!G33*基本公式!$B$4*基本公式!$B$128</f>
        <v>2.3661209706718918</v>
      </c>
      <c r="D175" s="26">
        <f t="shared" si="70"/>
        <v>3605</v>
      </c>
      <c r="E175" s="23">
        <f t="shared" si="71"/>
        <v>1.0013761965164967</v>
      </c>
      <c r="F175" s="23">
        <f t="shared" si="72"/>
        <v>4.1724008188187361E-2</v>
      </c>
      <c r="G175" s="5">
        <v>0.3</v>
      </c>
      <c r="H175" s="82">
        <f>ROUND(G175*产出与消耗!P8,0)</f>
        <v>150958</v>
      </c>
      <c r="I175" s="82">
        <f>ROUND(G175*产出与消耗!P30,0)</f>
        <v>150958</v>
      </c>
      <c r="J175" s="82">
        <f>ROUND(G175*产出与消耗!P52,0)</f>
        <v>150958</v>
      </c>
    </row>
    <row r="176" spans="1:10">
      <c r="A176" s="1">
        <v>7</v>
      </c>
      <c r="B176" s="26">
        <f>ROUND(H29*基本公式!$B$170,0)</f>
        <v>6654</v>
      </c>
      <c r="C176" s="23">
        <f>其他表格!G34*基本公式!$B$4*基本公式!$B$128</f>
        <v>4.0917881447709403</v>
      </c>
      <c r="D176" s="26">
        <f t="shared" si="70"/>
        <v>6212</v>
      </c>
      <c r="E176" s="23">
        <f t="shared" si="71"/>
        <v>1.7256671740990486</v>
      </c>
      <c r="F176" s="23">
        <f t="shared" si="72"/>
        <v>7.1902798920793695E-2</v>
      </c>
      <c r="G176" s="5">
        <v>0.3</v>
      </c>
      <c r="H176" s="82">
        <f>ROUND(G176*产出与消耗!P9,0)</f>
        <v>425658</v>
      </c>
      <c r="I176" s="82">
        <f>ROUND(G176*产出与消耗!P31,0)</f>
        <v>425658</v>
      </c>
      <c r="J176" s="82">
        <f>ROUND(G176*产出与消耗!P53,0)</f>
        <v>425658</v>
      </c>
    </row>
    <row r="177" spans="1:10">
      <c r="A177" s="1">
        <v>8</v>
      </c>
      <c r="B177" s="26">
        <f>ROUND(H30*基本公式!$B$170,0)</f>
        <v>11963</v>
      </c>
      <c r="C177" s="23">
        <f>其他表格!G35*基本公式!$B$4*基本公式!$B$128</f>
        <v>8.0524892551556277</v>
      </c>
      <c r="D177" s="26">
        <f t="shared" si="70"/>
        <v>14259</v>
      </c>
      <c r="E177" s="23">
        <f t="shared" si="71"/>
        <v>3.9607011103846874</v>
      </c>
      <c r="F177" s="23">
        <f t="shared" si="72"/>
        <v>0.16502921293269532</v>
      </c>
      <c r="G177" s="5">
        <v>0.3</v>
      </c>
      <c r="H177" s="82">
        <f>ROUND(G177*产出与消耗!P10,0)</f>
        <v>1364221</v>
      </c>
      <c r="I177" s="82">
        <f>ROUND(G177*产出与消耗!P32,0)</f>
        <v>1364221</v>
      </c>
      <c r="J177" s="82">
        <f>ROUND(G177*产出与消耗!P54,0)</f>
        <v>1364221</v>
      </c>
    </row>
    <row r="178" spans="1:10">
      <c r="A178" s="1">
        <v>9</v>
      </c>
      <c r="B178" s="26">
        <f>ROUND(H31*基本公式!$B$170,0)</f>
        <v>17259</v>
      </c>
      <c r="C178" s="23">
        <f>其他表格!G36*基本公式!$B$4*基本公式!$B$128</f>
        <v>13.798635198553095</v>
      </c>
      <c r="D178" s="26">
        <f t="shared" si="70"/>
        <v>20686</v>
      </c>
      <c r="E178" s="23">
        <f t="shared" si="71"/>
        <v>5.7461459433974671</v>
      </c>
      <c r="F178" s="23">
        <f t="shared" si="72"/>
        <v>0.23942274764156113</v>
      </c>
      <c r="G178" s="5">
        <v>0.3</v>
      </c>
      <c r="H178" s="82">
        <f>ROUND(G178*产出与消耗!P11,0)</f>
        <v>3240518</v>
      </c>
      <c r="I178" s="82">
        <f>ROUND(G178*产出与消耗!P33,0)</f>
        <v>3240518</v>
      </c>
      <c r="J178" s="82">
        <f>ROUND(G178*产出与消耗!P55,0)</f>
        <v>3240518</v>
      </c>
    </row>
    <row r="179" spans="1:10">
      <c r="A179" s="1">
        <v>10</v>
      </c>
      <c r="B179" s="26">
        <f>ROUND(H32*基本公式!$B$170,0)</f>
        <v>26247</v>
      </c>
      <c r="C179" s="23">
        <f>其他表格!G37*基本公式!$B$4*基本公式!$B$128</f>
        <v>22.824810102869783</v>
      </c>
      <c r="D179" s="26">
        <f t="shared" si="70"/>
        <v>32494</v>
      </c>
      <c r="E179" s="23">
        <f t="shared" si="71"/>
        <v>9.0261749043166883</v>
      </c>
      <c r="F179" s="23">
        <f t="shared" si="72"/>
        <v>0.37609062101319535</v>
      </c>
      <c r="G179" s="5">
        <v>0.3</v>
      </c>
      <c r="H179" s="82">
        <f>ROUND(G179*产出与消耗!P12,0)</f>
        <v>7755264</v>
      </c>
      <c r="I179" s="82">
        <f>ROUND(G179*产出与消耗!P34,0)</f>
        <v>7755264</v>
      </c>
      <c r="J179" s="82">
        <f>ROUND(G179*产出与消耗!P56,0)</f>
        <v>7755264</v>
      </c>
    </row>
    <row r="180" spans="1:10">
      <c r="A180" s="1">
        <v>11</v>
      </c>
      <c r="B180" s="26">
        <f>ROUND(H33*基本公式!$B$170,0)</f>
        <v>38196</v>
      </c>
      <c r="C180" s="23">
        <f>其他表格!G38*基本公式!$B$4*基本公式!$B$128</f>
        <v>39.315462378148908</v>
      </c>
      <c r="D180" s="26">
        <f t="shared" si="70"/>
        <v>59366</v>
      </c>
      <c r="E180" s="23">
        <f t="shared" si="71"/>
        <v>16.490652275279125</v>
      </c>
      <c r="F180" s="23">
        <f t="shared" si="72"/>
        <v>0.68711051146996349</v>
      </c>
      <c r="G180" s="5">
        <v>0.3</v>
      </c>
      <c r="H180" s="82">
        <f>ROUND(G180*产出与消耗!P13,0)</f>
        <v>15872371</v>
      </c>
      <c r="I180" s="82">
        <f>ROUND(G180*产出与消耗!P35,0)</f>
        <v>15872371</v>
      </c>
      <c r="J180" s="82">
        <f>ROUND(G180*产出与消耗!P57,0)</f>
        <v>15872371</v>
      </c>
    </row>
    <row r="181" spans="1:10">
      <c r="A181" s="1">
        <v>12</v>
      </c>
      <c r="B181" s="26">
        <f>ROUND(H34*基本公式!$B$170,0)</f>
        <v>68618</v>
      </c>
      <c r="C181" s="23">
        <f>其他表格!G39*基本公式!$B$4*基本公式!$B$128</f>
        <v>62.07704586023511</v>
      </c>
      <c r="D181" s="26">
        <f t="shared" si="70"/>
        <v>81942</v>
      </c>
      <c r="E181" s="23">
        <f t="shared" si="71"/>
        <v>22.761583482086202</v>
      </c>
      <c r="F181" s="23">
        <f t="shared" si="72"/>
        <v>0.94839931175359171</v>
      </c>
      <c r="G181" s="5">
        <v>0.3</v>
      </c>
      <c r="H181" s="82">
        <f>ROUND(G181*产出与消耗!P14,0)</f>
        <v>35411904</v>
      </c>
      <c r="I181" s="82">
        <f>ROUND(G181*产出与消耗!P36,0)</f>
        <v>35411904</v>
      </c>
      <c r="J181" s="82">
        <f>ROUND(G181*产出与消耗!P58,0)</f>
        <v>35411904</v>
      </c>
    </row>
    <row r="182" spans="1:10">
      <c r="A182" s="1">
        <v>13</v>
      </c>
      <c r="B182" s="26">
        <f>ROUND(H35*基本公式!$B$170,0)</f>
        <v>93888</v>
      </c>
      <c r="C182" s="23">
        <f>其他表格!G40*基本公式!$B$4*基本公式!$B$128</f>
        <v>96.8063093337</v>
      </c>
      <c r="D182" s="26">
        <f t="shared" si="70"/>
        <v>125025</v>
      </c>
      <c r="E182" s="23">
        <f t="shared" si="71"/>
        <v>34.72926347346489</v>
      </c>
      <c r="F182" s="23">
        <f t="shared" si="72"/>
        <v>1.4470526447277037</v>
      </c>
      <c r="G182" s="5">
        <v>0.3</v>
      </c>
      <c r="H182" s="82">
        <f>ROUND(G182*产出与消耗!P15,0)</f>
        <v>68677632</v>
      </c>
      <c r="I182" s="82">
        <f>ROUND(G182*产出与消耗!P37,0)</f>
        <v>68677632</v>
      </c>
      <c r="J182" s="82">
        <f>ROUND(G182*产出与消耗!P59,0)</f>
        <v>68677632</v>
      </c>
    </row>
    <row r="183" spans="1:10">
      <c r="A183" s="1">
        <v>14</v>
      </c>
      <c r="B183" s="26">
        <f>ROUND(H36*基本公式!$B$170,0)</f>
        <v>115959</v>
      </c>
      <c r="C183" s="23">
        <f>其他表格!G41*基本公式!$B$4*基本公式!$B$128</f>
        <v>142.66192954439998</v>
      </c>
      <c r="D183" s="26">
        <f t="shared" si="70"/>
        <v>165080</v>
      </c>
      <c r="E183" s="23">
        <f t="shared" si="71"/>
        <v>45.855620210699982</v>
      </c>
      <c r="F183" s="23">
        <f t="shared" si="72"/>
        <v>1.9106508421124992</v>
      </c>
      <c r="G183" s="5">
        <v>0.3</v>
      </c>
      <c r="H183" s="82">
        <f>ROUND(G183*产出与消耗!P16,0)</f>
        <v>118444032</v>
      </c>
      <c r="I183" s="82">
        <f>ROUND(G183*产出与消耗!P38,0)</f>
        <v>118444032</v>
      </c>
      <c r="J183" s="82">
        <f>ROUND(G183*产出与消耗!P60,0)</f>
        <v>118444032</v>
      </c>
    </row>
    <row r="184" spans="1:10">
      <c r="A184" s="1">
        <v>15</v>
      </c>
      <c r="B184" s="26">
        <f>ROUND(H37*基本公式!$B$170,0)</f>
        <v>140784</v>
      </c>
      <c r="C184" s="23">
        <f>其他表格!G42*基本公式!$B$4*基本公式!$B$128</f>
        <v>201.12114127499999</v>
      </c>
      <c r="D184" s="26">
        <f t="shared" si="70"/>
        <v>210453</v>
      </c>
      <c r="E184" s="23">
        <f t="shared" si="71"/>
        <v>58.459211730600003</v>
      </c>
      <c r="F184" s="23">
        <f t="shared" si="72"/>
        <v>2.435800488775</v>
      </c>
      <c r="G184" s="5">
        <v>0.3</v>
      </c>
      <c r="H184" s="82">
        <f>ROUND(G184*产出与消耗!P17,0)</f>
        <v>194400000</v>
      </c>
      <c r="I184" s="82">
        <f>ROUND(G184*产出与消耗!P39,0)</f>
        <v>194400000</v>
      </c>
      <c r="J184" s="82">
        <f>ROUND(G184*产出与消耗!P61,0)</f>
        <v>194400000</v>
      </c>
    </row>
    <row r="185" spans="1:10">
      <c r="A185" s="1">
        <v>16</v>
      </c>
      <c r="B185" s="26">
        <f>ROUND(H38*基本公式!$B$170,0)</f>
        <v>164994</v>
      </c>
      <c r="C185" s="23">
        <f>其他表格!G43*基本公式!$B$4*基本公式!$B$128</f>
        <v>273.80702742</v>
      </c>
      <c r="D185" s="26">
        <f t="shared" si="70"/>
        <v>261669</v>
      </c>
      <c r="E185" s="23">
        <f t="shared" si="71"/>
        <v>72.685886145000012</v>
      </c>
      <c r="F185" s="23">
        <f t="shared" si="72"/>
        <v>3.0285785893750004</v>
      </c>
      <c r="G185" s="5">
        <v>0.3</v>
      </c>
      <c r="H185" s="82">
        <f>ROUND(G185*产出与消耗!P18,0)</f>
        <v>300703104</v>
      </c>
      <c r="I185" s="82">
        <f>ROUND(G185*产出与消耗!P40,0)</f>
        <v>300703104</v>
      </c>
      <c r="J185" s="82">
        <f>ROUND(G185*产出与消耗!P62,0)</f>
        <v>300703104</v>
      </c>
    </row>
    <row r="186" spans="1:10">
      <c r="A186" s="1">
        <v>17</v>
      </c>
      <c r="B186" s="26">
        <f>ROUND(H39*基本公式!$B$170,0)</f>
        <v>190978</v>
      </c>
      <c r="C186" s="23">
        <f>其他表格!G44*基本公式!$B$4*基本公式!$B$128</f>
        <v>362.50089359999998</v>
      </c>
      <c r="D186" s="26">
        <f t="shared" si="70"/>
        <v>319298</v>
      </c>
      <c r="E186" s="23">
        <f t="shared" si="71"/>
        <v>88.693866179999986</v>
      </c>
      <c r="F186" s="23">
        <f t="shared" si="72"/>
        <v>3.6955777574999993</v>
      </c>
      <c r="G186" s="5">
        <v>0.3</v>
      </c>
      <c r="H186" s="82">
        <f>ROUND(G186*产出与消耗!P19,0)</f>
        <v>449101325</v>
      </c>
      <c r="I186" s="82">
        <f>ROUND(G186*产出与消耗!P41,0)</f>
        <v>449101325</v>
      </c>
      <c r="J186" s="82">
        <f>ROUND(G186*产出与消耗!P63,0)</f>
        <v>449101325</v>
      </c>
    </row>
    <row r="187" spans="1:10">
      <c r="A187" s="1">
        <v>18</v>
      </c>
      <c r="B187" s="26">
        <f>ROUND(H40*基本公式!$B$170,0)</f>
        <v>219422</v>
      </c>
      <c r="C187" s="23">
        <f>其他表格!G45*基本公式!$B$4*基本公式!$B$128</f>
        <v>469.15559999999994</v>
      </c>
      <c r="D187" s="26">
        <f t="shared" si="70"/>
        <v>383957</v>
      </c>
      <c r="E187" s="23">
        <f t="shared" si="71"/>
        <v>106.65470639999995</v>
      </c>
      <c r="F187" s="23">
        <f t="shared" si="72"/>
        <v>4.443946099999998</v>
      </c>
      <c r="G187" s="5">
        <v>0.3</v>
      </c>
      <c r="H187" s="82">
        <f>ROUND(G187*产出与消耗!P20,0)</f>
        <v>653184000</v>
      </c>
      <c r="I187" s="82">
        <f>ROUND(G187*产出与消耗!P42,0)</f>
        <v>653184000</v>
      </c>
      <c r="J187" s="82">
        <f>ROUND(G187*产出与消耗!P64,0)</f>
        <v>653184000</v>
      </c>
    </row>
    <row r="188" spans="1:10">
      <c r="A188" s="1">
        <v>19</v>
      </c>
      <c r="B188" s="26">
        <f>ROUND(H41*基本公式!$B$170,0)</f>
        <v>249456</v>
      </c>
      <c r="C188" s="23">
        <f>其他表格!G46*基本公式!$B$4*基本公式!$B$128</f>
        <v>595.90991999999983</v>
      </c>
      <c r="D188" s="26">
        <f t="shared" si="70"/>
        <v>456316</v>
      </c>
      <c r="E188" s="23">
        <f t="shared" si="71"/>
        <v>126.75431999999989</v>
      </c>
      <c r="F188" s="23">
        <f t="shared" si="72"/>
        <v>5.2814299999999959</v>
      </c>
      <c r="G188" s="5">
        <v>0.3</v>
      </c>
      <c r="H188" s="82">
        <f>ROUND(G188*产出与消耗!P21,0)</f>
        <v>925167744</v>
      </c>
      <c r="I188" s="82">
        <f>ROUND(G188*产出与消耗!P43,0)</f>
        <v>925167744</v>
      </c>
      <c r="J188" s="82">
        <f>ROUND(G188*产出与消耗!P65,0)</f>
        <v>925167744</v>
      </c>
    </row>
    <row r="189" spans="1:10">
      <c r="A189" s="1">
        <v>20</v>
      </c>
      <c r="B189" s="26">
        <f>ROUND(H42*基本公式!$B$170,0)</f>
        <v>293475</v>
      </c>
      <c r="C189" s="23">
        <f>其他表格!G47*基本公式!$B$4*基本公式!$B$128</f>
        <v>745.10399999999993</v>
      </c>
      <c r="D189" s="26">
        <f t="shared" si="70"/>
        <v>537099</v>
      </c>
      <c r="E189" s="23">
        <f t="shared" si="71"/>
        <v>149.1940800000001</v>
      </c>
      <c r="F189" s="23">
        <f t="shared" si="72"/>
        <v>6.2164200000000038</v>
      </c>
      <c r="G189" s="5">
        <v>0.3</v>
      </c>
      <c r="H189" s="82">
        <f>ROUND(G189*产出与消耗!P22,0)</f>
        <v>1337472000</v>
      </c>
      <c r="I189" s="82">
        <f>ROUND(G189*产出与消耗!P44,0)</f>
        <v>1337472000</v>
      </c>
      <c r="J189" s="82">
        <f>ROUND(G189*产出与消耗!P66,0)</f>
        <v>1337472000</v>
      </c>
    </row>
    <row r="190" spans="1:10" s="7" customFormat="1" ht="27">
      <c r="A190" s="7" t="s">
        <v>88</v>
      </c>
      <c r="B190" s="24" t="s">
        <v>216</v>
      </c>
      <c r="C190" s="25" t="s">
        <v>217</v>
      </c>
      <c r="D190" s="24" t="s">
        <v>218</v>
      </c>
      <c r="E190" s="25" t="s">
        <v>219</v>
      </c>
      <c r="F190" s="25" t="s">
        <v>220</v>
      </c>
    </row>
    <row r="191" spans="1:10">
      <c r="A191" s="1">
        <v>1</v>
      </c>
      <c r="B191" s="26">
        <f>ROUND(H23*基本公式!$B$171,0)</f>
        <v>240</v>
      </c>
      <c r="C191" s="23">
        <f>其他表格!G28*基本公式!$B$4*基本公式!$B$129</f>
        <v>7.8300221086383594E-3</v>
      </c>
      <c r="D191" s="26">
        <f>ROUND(E191*3600,0)</f>
        <v>28</v>
      </c>
      <c r="E191" s="23">
        <f>C191</f>
        <v>7.8300221086383594E-3</v>
      </c>
      <c r="F191" s="23">
        <f>E191/24</f>
        <v>3.2625092119326499E-4</v>
      </c>
    </row>
    <row r="192" spans="1:10">
      <c r="A192" s="1">
        <v>2</v>
      </c>
      <c r="B192" s="26">
        <f>ROUND(H24*基本公式!$B$171,0)</f>
        <v>465</v>
      </c>
      <c r="C192" s="23">
        <f>其他表格!G29*基本公式!$B$4*基本公式!$B$129</f>
        <v>6.882929710244011E-2</v>
      </c>
      <c r="D192" s="26">
        <f t="shared" ref="D192" si="73">ROUND(E192*3600,0)</f>
        <v>220</v>
      </c>
      <c r="E192" s="23">
        <f t="shared" ref="E192" si="74">C192-C191</f>
        <v>6.0999274993801748E-2</v>
      </c>
      <c r="F192" s="23">
        <f t="shared" ref="F192" si="75">E192/24</f>
        <v>2.541636458075073E-3</v>
      </c>
    </row>
    <row r="193" spans="1:6">
      <c r="A193" s="1">
        <v>3</v>
      </c>
      <c r="B193" s="26">
        <f>ROUND(H25*基本公式!$B$171,0)</f>
        <v>690</v>
      </c>
      <c r="C193" s="23">
        <f>其他表格!G30*基本公式!$B$4*基本公式!$B$129</f>
        <v>0.28980756674711627</v>
      </c>
      <c r="D193" s="26">
        <f t="shared" ref="D193:D210" si="76">ROUND(E193*3600,0)</f>
        <v>796</v>
      </c>
      <c r="E193" s="23">
        <f t="shared" ref="E193:E210" si="77">C193-C192</f>
        <v>0.22097826964467615</v>
      </c>
      <c r="F193" s="23">
        <f t="shared" ref="F193:F210" si="78">E193/24</f>
        <v>9.2074279018615063E-3</v>
      </c>
    </row>
    <row r="194" spans="1:6">
      <c r="A194" s="1">
        <v>4</v>
      </c>
      <c r="B194" s="26">
        <f>ROUND(H26*基本公式!$B$171,0)</f>
        <v>1140</v>
      </c>
      <c r="C194" s="23">
        <f>其他表格!G31*基本公式!$B$4*基本公式!$B$129</f>
        <v>0.68638634229580153</v>
      </c>
      <c r="D194" s="26">
        <f t="shared" si="76"/>
        <v>1428</v>
      </c>
      <c r="E194" s="23">
        <f t="shared" si="77"/>
        <v>0.39657877554868526</v>
      </c>
      <c r="F194" s="23">
        <f t="shared" si="78"/>
        <v>1.6524115647861885E-2</v>
      </c>
    </row>
    <row r="195" spans="1:6">
      <c r="A195" s="1">
        <v>5</v>
      </c>
      <c r="B195" s="26">
        <f>ROUND(H27*基本公式!$B$171,0)</f>
        <v>1895</v>
      </c>
      <c r="C195" s="23">
        <f>其他表格!G32*基本公式!$B$4*基本公式!$B$129</f>
        <v>1.3647447741553951</v>
      </c>
      <c r="D195" s="26">
        <f t="shared" si="76"/>
        <v>2442</v>
      </c>
      <c r="E195" s="23">
        <f t="shared" si="77"/>
        <v>0.67835843185959355</v>
      </c>
      <c r="F195" s="23">
        <f t="shared" si="78"/>
        <v>2.8264934660816397E-2</v>
      </c>
    </row>
    <row r="196" spans="1:6">
      <c r="A196" s="1">
        <v>6</v>
      </c>
      <c r="B196" s="26">
        <f>ROUND(H28*基本公式!$B$171,0)</f>
        <v>4825</v>
      </c>
      <c r="C196" s="23">
        <f>其他表格!G33*基本公式!$B$4*基本公式!$B$129</f>
        <v>2.3661209706718918</v>
      </c>
      <c r="D196" s="26">
        <f t="shared" si="76"/>
        <v>3605</v>
      </c>
      <c r="E196" s="23">
        <f t="shared" si="77"/>
        <v>1.0013761965164967</v>
      </c>
      <c r="F196" s="23">
        <f t="shared" si="78"/>
        <v>4.1724008188187361E-2</v>
      </c>
    </row>
    <row r="197" spans="1:6">
      <c r="A197" s="1">
        <v>7</v>
      </c>
      <c r="B197" s="26">
        <f>ROUND(H29*基本公式!$B$171,0)</f>
        <v>9505</v>
      </c>
      <c r="C197" s="23">
        <f>其他表格!G34*基本公式!$B$4*基本公式!$B$129</f>
        <v>4.0917881447709403</v>
      </c>
      <c r="D197" s="26">
        <f t="shared" si="76"/>
        <v>6212</v>
      </c>
      <c r="E197" s="23">
        <f t="shared" si="77"/>
        <v>1.7256671740990486</v>
      </c>
      <c r="F197" s="23">
        <f t="shared" si="78"/>
        <v>7.1902798920793695E-2</v>
      </c>
    </row>
    <row r="198" spans="1:6">
      <c r="A198" s="1">
        <v>8</v>
      </c>
      <c r="B198" s="26">
        <f>ROUND(H30*基本公式!$B$171,0)</f>
        <v>17090</v>
      </c>
      <c r="C198" s="23">
        <f>其他表格!G35*基本公式!$B$4*基本公式!$B$129</f>
        <v>8.0524892551556277</v>
      </c>
      <c r="D198" s="26">
        <f t="shared" si="76"/>
        <v>14259</v>
      </c>
      <c r="E198" s="23">
        <f t="shared" si="77"/>
        <v>3.9607011103846874</v>
      </c>
      <c r="F198" s="23">
        <f t="shared" si="78"/>
        <v>0.16502921293269532</v>
      </c>
    </row>
    <row r="199" spans="1:6">
      <c r="A199" s="1">
        <v>9</v>
      </c>
      <c r="B199" s="26">
        <f>ROUND(H31*基本公式!$B$171,0)</f>
        <v>24655</v>
      </c>
      <c r="C199" s="23">
        <f>其他表格!G36*基本公式!$B$4*基本公式!$B$129</f>
        <v>13.798635198553095</v>
      </c>
      <c r="D199" s="26">
        <f t="shared" si="76"/>
        <v>20686</v>
      </c>
      <c r="E199" s="23">
        <f t="shared" si="77"/>
        <v>5.7461459433974671</v>
      </c>
      <c r="F199" s="23">
        <f t="shared" si="78"/>
        <v>0.23942274764156113</v>
      </c>
    </row>
    <row r="200" spans="1:6">
      <c r="A200" s="1">
        <v>10</v>
      </c>
      <c r="B200" s="26">
        <f>ROUND(H32*基本公式!$B$171,0)</f>
        <v>37495</v>
      </c>
      <c r="C200" s="23">
        <f>其他表格!G37*基本公式!$B$4*基本公式!$B$129</f>
        <v>22.824810102869783</v>
      </c>
      <c r="D200" s="26">
        <f t="shared" si="76"/>
        <v>32494</v>
      </c>
      <c r="E200" s="23">
        <f t="shared" si="77"/>
        <v>9.0261749043166883</v>
      </c>
      <c r="F200" s="23">
        <f t="shared" si="78"/>
        <v>0.37609062101319535</v>
      </c>
    </row>
    <row r="201" spans="1:6">
      <c r="A201" s="1">
        <v>11</v>
      </c>
      <c r="B201" s="26">
        <f>ROUND(H33*基本公式!$B$171,0)</f>
        <v>54565</v>
      </c>
      <c r="C201" s="23">
        <f>其他表格!G38*基本公式!$B$4*基本公式!$B$129</f>
        <v>39.315462378148908</v>
      </c>
      <c r="D201" s="26">
        <f t="shared" si="76"/>
        <v>59366</v>
      </c>
      <c r="E201" s="23">
        <f t="shared" si="77"/>
        <v>16.490652275279125</v>
      </c>
      <c r="F201" s="23">
        <f t="shared" si="78"/>
        <v>0.68711051146996349</v>
      </c>
    </row>
    <row r="202" spans="1:6">
      <c r="A202" s="1">
        <v>12</v>
      </c>
      <c r="B202" s="26">
        <f>ROUND(H34*基本公式!$B$171,0)</f>
        <v>98025</v>
      </c>
      <c r="C202" s="23">
        <f>其他表格!G39*基本公式!$B$4*基本公式!$B$129</f>
        <v>62.07704586023511</v>
      </c>
      <c r="D202" s="26">
        <f t="shared" si="76"/>
        <v>81942</v>
      </c>
      <c r="E202" s="23">
        <f t="shared" si="77"/>
        <v>22.761583482086202</v>
      </c>
      <c r="F202" s="23">
        <f t="shared" si="78"/>
        <v>0.94839931175359171</v>
      </c>
    </row>
    <row r="203" spans="1:6">
      <c r="A203" s="1">
        <v>13</v>
      </c>
      <c r="B203" s="26">
        <f>ROUND(H35*基本公式!$B$171,0)</f>
        <v>134125</v>
      </c>
      <c r="C203" s="23">
        <f>其他表格!G40*基本公式!$B$4*基本公式!$B$129</f>
        <v>96.8063093337</v>
      </c>
      <c r="D203" s="26">
        <f t="shared" si="76"/>
        <v>125025</v>
      </c>
      <c r="E203" s="23">
        <f t="shared" si="77"/>
        <v>34.72926347346489</v>
      </c>
      <c r="F203" s="23">
        <f t="shared" si="78"/>
        <v>1.4470526447277037</v>
      </c>
    </row>
    <row r="204" spans="1:6">
      <c r="A204" s="1">
        <v>14</v>
      </c>
      <c r="B204" s="26">
        <f>ROUND(H36*基本公式!$B$171,0)</f>
        <v>165655</v>
      </c>
      <c r="C204" s="23">
        <f>其他表格!G41*基本公式!$B$4*基本公式!$B$129</f>
        <v>142.66192954439998</v>
      </c>
      <c r="D204" s="26">
        <f t="shared" si="76"/>
        <v>165080</v>
      </c>
      <c r="E204" s="23">
        <f t="shared" si="77"/>
        <v>45.855620210699982</v>
      </c>
      <c r="F204" s="23">
        <f t="shared" si="78"/>
        <v>1.9106508421124992</v>
      </c>
    </row>
    <row r="205" spans="1:6">
      <c r="A205" s="1">
        <v>15</v>
      </c>
      <c r="B205" s="26">
        <f>ROUND(H37*基本公式!$B$171,0)</f>
        <v>201120</v>
      </c>
      <c r="C205" s="23">
        <f>其他表格!G42*基本公式!$B$4*基本公式!$B$129</f>
        <v>201.12114127499999</v>
      </c>
      <c r="D205" s="26">
        <f t="shared" si="76"/>
        <v>210453</v>
      </c>
      <c r="E205" s="23">
        <f t="shared" si="77"/>
        <v>58.459211730600003</v>
      </c>
      <c r="F205" s="23">
        <f t="shared" si="78"/>
        <v>2.435800488775</v>
      </c>
    </row>
    <row r="206" spans="1:6">
      <c r="A206" s="1">
        <v>16</v>
      </c>
      <c r="B206" s="26">
        <f>ROUND(H38*基本公式!$B$171,0)</f>
        <v>235705</v>
      </c>
      <c r="C206" s="23">
        <f>其他表格!G43*基本公式!$B$4*基本公式!$B$129</f>
        <v>273.80702742</v>
      </c>
      <c r="D206" s="26">
        <f t="shared" si="76"/>
        <v>261669</v>
      </c>
      <c r="E206" s="23">
        <f t="shared" si="77"/>
        <v>72.685886145000012</v>
      </c>
      <c r="F206" s="23">
        <f t="shared" si="78"/>
        <v>3.0285785893750004</v>
      </c>
    </row>
    <row r="207" spans="1:6">
      <c r="A207" s="1">
        <v>17</v>
      </c>
      <c r="B207" s="26">
        <f>ROUND(H39*基本公式!$B$171,0)</f>
        <v>272825</v>
      </c>
      <c r="C207" s="23">
        <f>其他表格!G44*基本公式!$B$4*基本公式!$B$129</f>
        <v>362.50089359999998</v>
      </c>
      <c r="D207" s="26">
        <f t="shared" si="76"/>
        <v>319298</v>
      </c>
      <c r="E207" s="23">
        <f t="shared" si="77"/>
        <v>88.693866179999986</v>
      </c>
      <c r="F207" s="23">
        <f t="shared" si="78"/>
        <v>3.6955777574999993</v>
      </c>
    </row>
    <row r="208" spans="1:6">
      <c r="A208" s="1">
        <v>18</v>
      </c>
      <c r="B208" s="26">
        <f>ROUND(H40*基本公式!$B$171,0)</f>
        <v>313460</v>
      </c>
      <c r="C208" s="23">
        <f>其他表格!G45*基本公式!$B$4*基本公式!$B$129</f>
        <v>469.15559999999994</v>
      </c>
      <c r="D208" s="26">
        <f t="shared" si="76"/>
        <v>383957</v>
      </c>
      <c r="E208" s="23">
        <f t="shared" si="77"/>
        <v>106.65470639999995</v>
      </c>
      <c r="F208" s="23">
        <f t="shared" si="78"/>
        <v>4.443946099999998</v>
      </c>
    </row>
    <row r="209" spans="1:7">
      <c r="A209" s="1">
        <v>19</v>
      </c>
      <c r="B209" s="26">
        <f>ROUND(H41*基本公式!$B$171,0)</f>
        <v>356365</v>
      </c>
      <c r="C209" s="23">
        <f>其他表格!G46*基本公式!$B$4*基本公式!$B$129</f>
        <v>595.90991999999983</v>
      </c>
      <c r="D209" s="26">
        <f t="shared" si="76"/>
        <v>456316</v>
      </c>
      <c r="E209" s="23">
        <f t="shared" si="77"/>
        <v>126.75431999999989</v>
      </c>
      <c r="F209" s="23">
        <f t="shared" si="78"/>
        <v>5.2814299999999959</v>
      </c>
    </row>
    <row r="210" spans="1:7">
      <c r="A210" s="1">
        <v>20</v>
      </c>
      <c r="B210" s="26">
        <f>ROUND(H42*基本公式!$B$171,0)</f>
        <v>419250</v>
      </c>
      <c r="C210" s="23">
        <f>其他表格!G47*基本公式!$B$4*基本公式!$B$129</f>
        <v>745.10399999999993</v>
      </c>
      <c r="D210" s="26">
        <f t="shared" si="76"/>
        <v>537099</v>
      </c>
      <c r="E210" s="23">
        <f t="shared" si="77"/>
        <v>149.1940800000001</v>
      </c>
      <c r="F210" s="23">
        <f t="shared" si="78"/>
        <v>6.2164200000000038</v>
      </c>
    </row>
    <row r="211" spans="1:7" s="7" customFormat="1" ht="27">
      <c r="A211" s="7" t="s">
        <v>89</v>
      </c>
      <c r="B211" s="24" t="s">
        <v>216</v>
      </c>
      <c r="C211" s="25" t="s">
        <v>217</v>
      </c>
      <c r="D211" s="24" t="s">
        <v>218</v>
      </c>
      <c r="E211" s="25" t="s">
        <v>219</v>
      </c>
      <c r="F211" s="25" t="s">
        <v>220</v>
      </c>
      <c r="G211" s="7" t="s">
        <v>237</v>
      </c>
    </row>
    <row r="212" spans="1:7">
      <c r="A212" s="1">
        <v>1</v>
      </c>
      <c r="B212" s="26">
        <f>ROUND(H23*基本公式!$B$172,0)</f>
        <v>72</v>
      </c>
      <c r="C212" s="23">
        <f>其他表格!G28*基本公式!$B$4*基本公式!$B$130</f>
        <v>7.8300221086383594E-3</v>
      </c>
      <c r="D212" s="26">
        <f>ROUND(E212*3600,0)</f>
        <v>28</v>
      </c>
      <c r="E212" s="23">
        <f>C212</f>
        <v>7.8300221086383594E-3</v>
      </c>
      <c r="F212" s="23">
        <f>E212/24</f>
        <v>3.2625092119326499E-4</v>
      </c>
      <c r="G212" s="9">
        <v>1</v>
      </c>
    </row>
    <row r="213" spans="1:7">
      <c r="A213" s="1">
        <v>2</v>
      </c>
      <c r="B213" s="26">
        <f>ROUND(H24*基本公式!$B$172,0)</f>
        <v>140</v>
      </c>
      <c r="C213" s="23">
        <f>其他表格!G29*基本公式!$B$4*基本公式!$B$130</f>
        <v>6.882929710244011E-2</v>
      </c>
      <c r="D213" s="26">
        <f t="shared" ref="D213" si="79">ROUND(E213*3600,0)</f>
        <v>220</v>
      </c>
      <c r="E213" s="23">
        <f t="shared" ref="E213" si="80">C213-C212</f>
        <v>6.0999274993801748E-2</v>
      </c>
      <c r="F213" s="23">
        <f t="shared" ref="F213" si="81">E213/24</f>
        <v>2.541636458075073E-3</v>
      </c>
      <c r="G213" s="9">
        <v>2</v>
      </c>
    </row>
    <row r="214" spans="1:7">
      <c r="A214" s="1">
        <v>3</v>
      </c>
      <c r="B214" s="26">
        <f>ROUND(H25*基本公式!$B$172,0)</f>
        <v>207</v>
      </c>
      <c r="C214" s="23">
        <f>其他表格!G30*基本公式!$B$4*基本公式!$B$130</f>
        <v>0.28980756674711627</v>
      </c>
      <c r="D214" s="26">
        <f t="shared" ref="D214:D231" si="82">ROUND(E214*3600,0)</f>
        <v>796</v>
      </c>
      <c r="E214" s="23">
        <f t="shared" ref="E214:E231" si="83">C214-C213</f>
        <v>0.22097826964467615</v>
      </c>
      <c r="F214" s="23">
        <f t="shared" ref="F214:F231" si="84">E214/24</f>
        <v>9.2074279018615063E-3</v>
      </c>
      <c r="G214" s="9">
        <v>3</v>
      </c>
    </row>
    <row r="215" spans="1:7">
      <c r="A215" s="1">
        <v>4</v>
      </c>
      <c r="B215" s="26">
        <f>ROUND(H26*基本公式!$B$172,0)</f>
        <v>342</v>
      </c>
      <c r="C215" s="23">
        <f>其他表格!G31*基本公式!$B$4*基本公式!$B$130</f>
        <v>0.68638634229580153</v>
      </c>
      <c r="D215" s="26">
        <f t="shared" si="82"/>
        <v>1428</v>
      </c>
      <c r="E215" s="23">
        <f t="shared" si="83"/>
        <v>0.39657877554868526</v>
      </c>
      <c r="F215" s="23">
        <f t="shared" si="84"/>
        <v>1.6524115647861885E-2</v>
      </c>
      <c r="G215" s="9">
        <v>4</v>
      </c>
    </row>
    <row r="216" spans="1:7">
      <c r="A216" s="1">
        <v>5</v>
      </c>
      <c r="B216" s="26">
        <f>ROUND(H27*基本公式!$B$172,0)</f>
        <v>569</v>
      </c>
      <c r="C216" s="23">
        <f>其他表格!G32*基本公式!$B$4*基本公式!$B$130</f>
        <v>1.3647447741553951</v>
      </c>
      <c r="D216" s="26">
        <f t="shared" si="82"/>
        <v>2442</v>
      </c>
      <c r="E216" s="23">
        <f t="shared" si="83"/>
        <v>0.67835843185959355</v>
      </c>
      <c r="F216" s="23">
        <f t="shared" si="84"/>
        <v>2.8264934660816397E-2</v>
      </c>
      <c r="G216" s="9">
        <v>5</v>
      </c>
    </row>
    <row r="217" spans="1:7">
      <c r="A217" s="1">
        <v>6</v>
      </c>
      <c r="B217" s="26">
        <f>ROUND(H28*基本公式!$B$172,0)</f>
        <v>1448</v>
      </c>
      <c r="C217" s="23">
        <f>其他表格!G33*基本公式!$B$4*基本公式!$B$130</f>
        <v>2.3661209706718918</v>
      </c>
      <c r="D217" s="26">
        <f t="shared" si="82"/>
        <v>3605</v>
      </c>
      <c r="E217" s="23">
        <f t="shared" si="83"/>
        <v>1.0013761965164967</v>
      </c>
      <c r="F217" s="23">
        <f t="shared" si="84"/>
        <v>4.1724008188187361E-2</v>
      </c>
      <c r="G217" s="9">
        <v>6</v>
      </c>
    </row>
    <row r="218" spans="1:7">
      <c r="A218" s="1">
        <v>7</v>
      </c>
      <c r="B218" s="26">
        <f>ROUND(H29*基本公式!$B$172,0)</f>
        <v>2852</v>
      </c>
      <c r="C218" s="23">
        <f>其他表格!G34*基本公式!$B$4*基本公式!$B$130</f>
        <v>4.0917881447709403</v>
      </c>
      <c r="D218" s="26">
        <f t="shared" si="82"/>
        <v>6212</v>
      </c>
      <c r="E218" s="23">
        <f t="shared" si="83"/>
        <v>1.7256671740990486</v>
      </c>
      <c r="F218" s="23">
        <f t="shared" si="84"/>
        <v>7.1902798920793695E-2</v>
      </c>
      <c r="G218" s="9">
        <v>7</v>
      </c>
    </row>
    <row r="219" spans="1:7">
      <c r="A219" s="1">
        <v>8</v>
      </c>
      <c r="B219" s="26">
        <f>ROUND(H30*基本公式!$B$172,0)</f>
        <v>5127</v>
      </c>
      <c r="C219" s="23">
        <f>其他表格!G35*基本公式!$B$4*基本公式!$B$130</f>
        <v>8.0524892551556277</v>
      </c>
      <c r="D219" s="26">
        <f t="shared" si="82"/>
        <v>14259</v>
      </c>
      <c r="E219" s="23">
        <f t="shared" si="83"/>
        <v>3.9607011103846874</v>
      </c>
      <c r="F219" s="23">
        <f t="shared" si="84"/>
        <v>0.16502921293269532</v>
      </c>
      <c r="G219" s="9">
        <v>8</v>
      </c>
    </row>
    <row r="220" spans="1:7">
      <c r="A220" s="1">
        <v>9</v>
      </c>
      <c r="B220" s="26">
        <f>ROUND(H31*基本公式!$B$172,0)</f>
        <v>7397</v>
      </c>
      <c r="C220" s="23">
        <f>其他表格!G36*基本公式!$B$4*基本公式!$B$130</f>
        <v>13.798635198553095</v>
      </c>
      <c r="D220" s="26">
        <f t="shared" si="82"/>
        <v>20686</v>
      </c>
      <c r="E220" s="23">
        <f t="shared" si="83"/>
        <v>5.7461459433974671</v>
      </c>
      <c r="F220" s="23">
        <f t="shared" si="84"/>
        <v>0.23942274764156113</v>
      </c>
      <c r="G220" s="9">
        <v>9</v>
      </c>
    </row>
    <row r="221" spans="1:7">
      <c r="A221" s="1">
        <v>10</v>
      </c>
      <c r="B221" s="26">
        <f>ROUND(H32*基本公式!$B$172,0)</f>
        <v>11249</v>
      </c>
      <c r="C221" s="23">
        <f>其他表格!G37*基本公式!$B$4*基本公式!$B$130</f>
        <v>22.824810102869783</v>
      </c>
      <c r="D221" s="26">
        <f t="shared" si="82"/>
        <v>32494</v>
      </c>
      <c r="E221" s="23">
        <f t="shared" si="83"/>
        <v>9.0261749043166883</v>
      </c>
      <c r="F221" s="23">
        <f t="shared" si="84"/>
        <v>0.37609062101319535</v>
      </c>
      <c r="G221" s="9">
        <v>10</v>
      </c>
    </row>
    <row r="222" spans="1:7">
      <c r="A222" s="1">
        <v>11</v>
      </c>
      <c r="B222" s="26">
        <f>ROUND(H33*基本公式!$B$172,0)</f>
        <v>16370</v>
      </c>
      <c r="C222" s="23">
        <f>其他表格!G38*基本公式!$B$4*基本公式!$B$130</f>
        <v>39.315462378148908</v>
      </c>
      <c r="D222" s="26">
        <f t="shared" si="82"/>
        <v>59366</v>
      </c>
      <c r="E222" s="23">
        <f t="shared" si="83"/>
        <v>16.490652275279125</v>
      </c>
      <c r="F222" s="23">
        <f t="shared" si="84"/>
        <v>0.68711051146996349</v>
      </c>
      <c r="G222" s="9">
        <v>11</v>
      </c>
    </row>
    <row r="223" spans="1:7">
      <c r="A223" s="1">
        <v>12</v>
      </c>
      <c r="B223" s="26">
        <f>ROUND(H34*基本公式!$B$172,0)</f>
        <v>29408</v>
      </c>
      <c r="C223" s="23">
        <f>其他表格!G39*基本公式!$B$4*基本公式!$B$130</f>
        <v>62.07704586023511</v>
      </c>
      <c r="D223" s="26">
        <f t="shared" si="82"/>
        <v>81942</v>
      </c>
      <c r="E223" s="23">
        <f t="shared" si="83"/>
        <v>22.761583482086202</v>
      </c>
      <c r="F223" s="23">
        <f t="shared" si="84"/>
        <v>0.94839931175359171</v>
      </c>
      <c r="G223" s="9">
        <v>12</v>
      </c>
    </row>
    <row r="224" spans="1:7">
      <c r="A224" s="1">
        <v>13</v>
      </c>
      <c r="B224" s="26">
        <f>ROUND(H35*基本公式!$B$172,0)</f>
        <v>40238</v>
      </c>
      <c r="C224" s="23">
        <f>其他表格!G40*基本公式!$B$4*基本公式!$B$130</f>
        <v>96.8063093337</v>
      </c>
      <c r="D224" s="26">
        <f t="shared" si="82"/>
        <v>125025</v>
      </c>
      <c r="E224" s="23">
        <f t="shared" si="83"/>
        <v>34.72926347346489</v>
      </c>
      <c r="F224" s="23">
        <f t="shared" si="84"/>
        <v>1.4470526447277037</v>
      </c>
      <c r="G224" s="9">
        <v>13</v>
      </c>
    </row>
    <row r="225" spans="1:7">
      <c r="A225" s="1">
        <v>14</v>
      </c>
      <c r="B225" s="26">
        <f>ROUND(H36*基本公式!$B$172,0)</f>
        <v>49697</v>
      </c>
      <c r="C225" s="23">
        <f>其他表格!G41*基本公式!$B$4*基本公式!$B$130</f>
        <v>142.66192954439998</v>
      </c>
      <c r="D225" s="26">
        <f t="shared" si="82"/>
        <v>165080</v>
      </c>
      <c r="E225" s="23">
        <f t="shared" si="83"/>
        <v>45.855620210699982</v>
      </c>
      <c r="F225" s="23">
        <f t="shared" si="84"/>
        <v>1.9106508421124992</v>
      </c>
      <c r="G225" s="9">
        <v>14</v>
      </c>
    </row>
    <row r="226" spans="1:7">
      <c r="A226" s="1">
        <v>15</v>
      </c>
      <c r="B226" s="26">
        <f>ROUND(H37*基本公式!$B$172,0)</f>
        <v>60336</v>
      </c>
      <c r="C226" s="23">
        <f>其他表格!G42*基本公式!$B$4*基本公式!$B$130</f>
        <v>201.12114127499999</v>
      </c>
      <c r="D226" s="26">
        <f t="shared" si="82"/>
        <v>210453</v>
      </c>
      <c r="E226" s="23">
        <f t="shared" si="83"/>
        <v>58.459211730600003</v>
      </c>
      <c r="F226" s="23">
        <f t="shared" si="84"/>
        <v>2.435800488775</v>
      </c>
      <c r="G226" s="9">
        <v>15</v>
      </c>
    </row>
    <row r="227" spans="1:7">
      <c r="A227" s="1">
        <v>16</v>
      </c>
      <c r="B227" s="26">
        <f>ROUND(H38*基本公式!$B$172,0)</f>
        <v>70712</v>
      </c>
      <c r="C227" s="23">
        <f>其他表格!G43*基本公式!$B$4*基本公式!$B$130</f>
        <v>273.80702742</v>
      </c>
      <c r="D227" s="26">
        <f t="shared" si="82"/>
        <v>261669</v>
      </c>
      <c r="E227" s="23">
        <f t="shared" si="83"/>
        <v>72.685886145000012</v>
      </c>
      <c r="F227" s="23">
        <f t="shared" si="84"/>
        <v>3.0285785893750004</v>
      </c>
      <c r="G227" s="9">
        <v>16</v>
      </c>
    </row>
    <row r="228" spans="1:7">
      <c r="A228" s="1">
        <v>17</v>
      </c>
      <c r="B228" s="26">
        <f>ROUND(H39*基本公式!$B$172,0)</f>
        <v>81848</v>
      </c>
      <c r="C228" s="23">
        <f>其他表格!G44*基本公式!$B$4*基本公式!$B$130</f>
        <v>362.50089359999998</v>
      </c>
      <c r="D228" s="26">
        <f t="shared" si="82"/>
        <v>319298</v>
      </c>
      <c r="E228" s="23">
        <f t="shared" si="83"/>
        <v>88.693866179999986</v>
      </c>
      <c r="F228" s="23">
        <f t="shared" si="84"/>
        <v>3.6955777574999993</v>
      </c>
      <c r="G228" s="9">
        <v>17</v>
      </c>
    </row>
    <row r="229" spans="1:7">
      <c r="A229" s="1">
        <v>18</v>
      </c>
      <c r="B229" s="26">
        <f>ROUND(H40*基本公式!$B$172,0)</f>
        <v>94038</v>
      </c>
      <c r="C229" s="23">
        <f>其他表格!G45*基本公式!$B$4*基本公式!$B$130</f>
        <v>469.15559999999994</v>
      </c>
      <c r="D229" s="26">
        <f t="shared" si="82"/>
        <v>383957</v>
      </c>
      <c r="E229" s="23">
        <f t="shared" si="83"/>
        <v>106.65470639999995</v>
      </c>
      <c r="F229" s="23">
        <f t="shared" si="84"/>
        <v>4.443946099999998</v>
      </c>
      <c r="G229" s="9">
        <v>18</v>
      </c>
    </row>
    <row r="230" spans="1:7">
      <c r="A230" s="1">
        <v>19</v>
      </c>
      <c r="B230" s="26">
        <f>ROUND(H41*基本公式!$B$172,0)</f>
        <v>106910</v>
      </c>
      <c r="C230" s="23">
        <f>其他表格!G46*基本公式!$B$4*基本公式!$B$130</f>
        <v>595.90991999999983</v>
      </c>
      <c r="D230" s="26">
        <f t="shared" si="82"/>
        <v>456316</v>
      </c>
      <c r="E230" s="23">
        <f t="shared" si="83"/>
        <v>126.75431999999989</v>
      </c>
      <c r="F230" s="23">
        <f t="shared" si="84"/>
        <v>5.2814299999999959</v>
      </c>
      <c r="G230" s="9">
        <v>19</v>
      </c>
    </row>
    <row r="231" spans="1:7">
      <c r="A231" s="1">
        <v>20</v>
      </c>
      <c r="B231" s="26">
        <f>ROUND(H42*基本公式!$B$172,0)</f>
        <v>125775</v>
      </c>
      <c r="C231" s="23">
        <f>其他表格!G47*基本公式!$B$4*基本公式!$B$130</f>
        <v>745.10399999999993</v>
      </c>
      <c r="D231" s="26">
        <f t="shared" si="82"/>
        <v>537099</v>
      </c>
      <c r="E231" s="23">
        <f t="shared" si="83"/>
        <v>149.1940800000001</v>
      </c>
      <c r="F231" s="23">
        <f t="shared" si="84"/>
        <v>6.2164200000000038</v>
      </c>
      <c r="G231" s="9">
        <v>20</v>
      </c>
    </row>
    <row r="232" spans="1:7" s="7" customFormat="1" ht="27">
      <c r="A232" s="7" t="s">
        <v>91</v>
      </c>
      <c r="B232" s="24" t="s">
        <v>216</v>
      </c>
      <c r="C232" s="25" t="s">
        <v>217</v>
      </c>
      <c r="D232" s="24" t="s">
        <v>218</v>
      </c>
      <c r="E232" s="25" t="s">
        <v>219</v>
      </c>
      <c r="F232" s="25" t="s">
        <v>220</v>
      </c>
    </row>
    <row r="233" spans="1:7">
      <c r="A233" s="1">
        <v>1</v>
      </c>
      <c r="B233" s="26">
        <f>ROUND(H23*基本公式!$B$174,0)</f>
        <v>360</v>
      </c>
      <c r="C233" s="23">
        <f>其他表格!G28*基本公式!$B$4*基本公式!$B$132</f>
        <v>5.8725165814787691E-3</v>
      </c>
      <c r="D233" s="26">
        <f>ROUND(E233*3600,0)</f>
        <v>21</v>
      </c>
      <c r="E233" s="23">
        <f>C233</f>
        <v>5.8725165814787691E-3</v>
      </c>
      <c r="F233" s="23">
        <f>E233/24</f>
        <v>2.4468819089494873E-4</v>
      </c>
    </row>
    <row r="234" spans="1:7">
      <c r="A234" s="1">
        <v>2</v>
      </c>
      <c r="B234" s="26">
        <f>ROUND(H24*基本公式!$B$174,0)</f>
        <v>698</v>
      </c>
      <c r="C234" s="23">
        <f>其他表格!G29*基本公式!$B$4*基本公式!$B$132</f>
        <v>5.1621972826830072E-2</v>
      </c>
      <c r="D234" s="26">
        <f t="shared" ref="D234" si="85">ROUND(E234*3600,0)</f>
        <v>165</v>
      </c>
      <c r="E234" s="23">
        <f t="shared" ref="E234" si="86">C234-C233</f>
        <v>4.5749456245351303E-2</v>
      </c>
      <c r="F234" s="23">
        <f t="shared" ref="F234" si="87">E234/24</f>
        <v>1.9062273435563042E-3</v>
      </c>
    </row>
    <row r="235" spans="1:7">
      <c r="A235" s="1">
        <v>3</v>
      </c>
      <c r="B235" s="26">
        <f>ROUND(H25*基本公式!$B$174,0)</f>
        <v>1035</v>
      </c>
      <c r="C235" s="23">
        <f>其他表格!G30*基本公式!$B$4*基本公式!$B$132</f>
        <v>0.21735567506033718</v>
      </c>
      <c r="D235" s="26">
        <f t="shared" ref="D235:D252" si="88">ROUND(E235*3600,0)</f>
        <v>597</v>
      </c>
      <c r="E235" s="23">
        <f t="shared" ref="E235:E252" si="89">C235-C234</f>
        <v>0.16573370223350711</v>
      </c>
      <c r="F235" s="23">
        <f t="shared" ref="F235:F252" si="90">E235/24</f>
        <v>6.9055709263961297E-3</v>
      </c>
    </row>
    <row r="236" spans="1:7">
      <c r="A236" s="1">
        <v>4</v>
      </c>
      <c r="B236" s="26">
        <f>ROUND(H26*基本公式!$B$174,0)</f>
        <v>1710</v>
      </c>
      <c r="C236" s="23">
        <f>其他表格!G31*基本公式!$B$4*基本公式!$B$132</f>
        <v>0.51478975672185112</v>
      </c>
      <c r="D236" s="26">
        <f t="shared" si="88"/>
        <v>1071</v>
      </c>
      <c r="E236" s="23">
        <f t="shared" si="89"/>
        <v>0.29743408166151397</v>
      </c>
      <c r="F236" s="23">
        <f t="shared" si="90"/>
        <v>1.2393086735896416E-2</v>
      </c>
    </row>
    <row r="237" spans="1:7">
      <c r="A237" s="1">
        <v>5</v>
      </c>
      <c r="B237" s="26">
        <f>ROUND(H27*基本公式!$B$174,0)</f>
        <v>2843</v>
      </c>
      <c r="C237" s="23">
        <f>其他表格!G32*基本公式!$B$4*基本公式!$B$132</f>
        <v>1.0235585806165461</v>
      </c>
      <c r="D237" s="26">
        <f t="shared" si="88"/>
        <v>1832</v>
      </c>
      <c r="E237" s="23">
        <f t="shared" si="89"/>
        <v>0.50876882389469502</v>
      </c>
      <c r="F237" s="23">
        <f t="shared" si="90"/>
        <v>2.1198700995612291E-2</v>
      </c>
    </row>
    <row r="238" spans="1:7">
      <c r="A238" s="1">
        <v>6</v>
      </c>
      <c r="B238" s="26">
        <f>ROUND(H28*基本公式!$B$174,0)</f>
        <v>7238</v>
      </c>
      <c r="C238" s="23">
        <f>其他表格!G33*基本公式!$B$4*基本公式!$B$132</f>
        <v>1.7745907280039188</v>
      </c>
      <c r="D238" s="26">
        <f t="shared" si="88"/>
        <v>2704</v>
      </c>
      <c r="E238" s="23">
        <f t="shared" si="89"/>
        <v>0.75103214738737267</v>
      </c>
      <c r="F238" s="23">
        <f t="shared" si="90"/>
        <v>3.1293006141140528E-2</v>
      </c>
    </row>
    <row r="239" spans="1:7">
      <c r="A239" s="1">
        <v>7</v>
      </c>
      <c r="B239" s="26">
        <f>ROUND(H29*基本公式!$B$174,0)</f>
        <v>14258</v>
      </c>
      <c r="C239" s="23">
        <f>其他表格!G34*基本公式!$B$4*基本公式!$B$132</f>
        <v>3.068841108578205</v>
      </c>
      <c r="D239" s="26">
        <f t="shared" si="88"/>
        <v>4659</v>
      </c>
      <c r="E239" s="23">
        <f t="shared" si="89"/>
        <v>1.2942503805742862</v>
      </c>
      <c r="F239" s="23">
        <f t="shared" si="90"/>
        <v>5.3927099190595261E-2</v>
      </c>
    </row>
    <row r="240" spans="1:7">
      <c r="A240" s="1">
        <v>8</v>
      </c>
      <c r="B240" s="26">
        <f>ROUND(H30*基本公式!$B$174,0)</f>
        <v>25635</v>
      </c>
      <c r="C240" s="23">
        <f>其他表格!G35*基本公式!$B$4*基本公式!$B$132</f>
        <v>6.0393669413667208</v>
      </c>
      <c r="D240" s="26">
        <f t="shared" si="88"/>
        <v>10694</v>
      </c>
      <c r="E240" s="23">
        <f t="shared" si="89"/>
        <v>2.9705258327885158</v>
      </c>
      <c r="F240" s="23">
        <f t="shared" si="90"/>
        <v>0.1237719096995215</v>
      </c>
    </row>
    <row r="241" spans="1:6">
      <c r="A241" s="1">
        <v>9</v>
      </c>
      <c r="B241" s="26">
        <f>ROUND(H31*基本公式!$B$174,0)</f>
        <v>36983</v>
      </c>
      <c r="C241" s="23">
        <f>其他表格!G36*基本公式!$B$4*基本公式!$B$132</f>
        <v>10.348976398914822</v>
      </c>
      <c r="D241" s="26">
        <f t="shared" si="88"/>
        <v>15515</v>
      </c>
      <c r="E241" s="23">
        <f t="shared" si="89"/>
        <v>4.3096094575481008</v>
      </c>
      <c r="F241" s="23">
        <f t="shared" si="90"/>
        <v>0.17956706073117087</v>
      </c>
    </row>
    <row r="242" spans="1:6">
      <c r="A242" s="1">
        <v>10</v>
      </c>
      <c r="B242" s="26">
        <f>ROUND(H32*基本公式!$B$174,0)</f>
        <v>56243</v>
      </c>
      <c r="C242" s="23">
        <f>其他表格!G37*基本公式!$B$4*基本公式!$B$132</f>
        <v>17.118607577152336</v>
      </c>
      <c r="D242" s="26">
        <f t="shared" si="88"/>
        <v>24371</v>
      </c>
      <c r="E242" s="23">
        <f t="shared" si="89"/>
        <v>6.769631178237514</v>
      </c>
      <c r="F242" s="23">
        <f t="shared" si="90"/>
        <v>0.2820679657598964</v>
      </c>
    </row>
    <row r="243" spans="1:6">
      <c r="A243" s="1">
        <v>11</v>
      </c>
      <c r="B243" s="26">
        <f>ROUND(H33*基本公式!$B$174,0)</f>
        <v>81848</v>
      </c>
      <c r="C243" s="23">
        <f>其他表格!G38*基本公式!$B$4*基本公式!$B$132</f>
        <v>29.486596783611681</v>
      </c>
      <c r="D243" s="26">
        <f t="shared" si="88"/>
        <v>44525</v>
      </c>
      <c r="E243" s="23">
        <f t="shared" si="89"/>
        <v>12.367989206459345</v>
      </c>
      <c r="F243" s="23">
        <f t="shared" si="90"/>
        <v>0.51533288360247276</v>
      </c>
    </row>
    <row r="244" spans="1:6">
      <c r="A244" s="1">
        <v>12</v>
      </c>
      <c r="B244" s="26">
        <f>ROUND(H34*基本公式!$B$174,0)</f>
        <v>147038</v>
      </c>
      <c r="C244" s="23">
        <f>其他表格!G39*基本公式!$B$4*基本公式!$B$132</f>
        <v>46.557784395176334</v>
      </c>
      <c r="D244" s="26">
        <f t="shared" si="88"/>
        <v>61456</v>
      </c>
      <c r="E244" s="23">
        <f t="shared" si="89"/>
        <v>17.071187611564653</v>
      </c>
      <c r="F244" s="23">
        <f t="shared" si="90"/>
        <v>0.71129948381519392</v>
      </c>
    </row>
    <row r="245" spans="1:6">
      <c r="A245" s="1">
        <v>13</v>
      </c>
      <c r="B245" s="26">
        <f>ROUND(H35*基本公式!$B$174,0)</f>
        <v>201188</v>
      </c>
      <c r="C245" s="23">
        <f>其他表格!G40*基本公式!$B$4*基本公式!$B$132</f>
        <v>72.604732000274993</v>
      </c>
      <c r="D245" s="26">
        <f t="shared" si="88"/>
        <v>93769</v>
      </c>
      <c r="E245" s="23">
        <f t="shared" si="89"/>
        <v>26.046947605098659</v>
      </c>
      <c r="F245" s="23">
        <f t="shared" si="90"/>
        <v>1.0852894835457774</v>
      </c>
    </row>
    <row r="246" spans="1:6">
      <c r="A246" s="1">
        <v>14</v>
      </c>
      <c r="B246" s="26">
        <f>ROUND(H36*基本公式!$B$174,0)</f>
        <v>248483</v>
      </c>
      <c r="C246" s="23">
        <f>其他表格!G41*基本公式!$B$4*基本公式!$B$132</f>
        <v>106.99644715829999</v>
      </c>
      <c r="D246" s="26">
        <f t="shared" si="88"/>
        <v>123810</v>
      </c>
      <c r="E246" s="23">
        <f t="shared" si="89"/>
        <v>34.391715158024994</v>
      </c>
      <c r="F246" s="23">
        <f t="shared" si="90"/>
        <v>1.4329881315843747</v>
      </c>
    </row>
    <row r="247" spans="1:6">
      <c r="A247" s="1">
        <v>15</v>
      </c>
      <c r="B247" s="26">
        <f>ROUND(H37*基本公式!$B$174,0)</f>
        <v>301680</v>
      </c>
      <c r="C247" s="23">
        <f>其他表格!G42*基本公式!$B$4*基本公式!$B$132</f>
        <v>150.84085595624998</v>
      </c>
      <c r="D247" s="26">
        <f t="shared" si="88"/>
        <v>157840</v>
      </c>
      <c r="E247" s="23">
        <f t="shared" si="89"/>
        <v>43.844408797949995</v>
      </c>
      <c r="F247" s="23">
        <f t="shared" si="90"/>
        <v>1.8268503665812499</v>
      </c>
    </row>
    <row r="248" spans="1:6">
      <c r="A248" s="1">
        <v>16</v>
      </c>
      <c r="B248" s="26">
        <f>ROUND(H38*基本公式!$B$174,0)</f>
        <v>353558</v>
      </c>
      <c r="C248" s="23">
        <f>其他表格!G43*基本公式!$B$4*基本公式!$B$132</f>
        <v>205.35527056499998</v>
      </c>
      <c r="D248" s="26">
        <f t="shared" si="88"/>
        <v>196252</v>
      </c>
      <c r="E248" s="23">
        <f t="shared" si="89"/>
        <v>54.514414608750002</v>
      </c>
      <c r="F248" s="23">
        <f t="shared" si="90"/>
        <v>2.2714339420312499</v>
      </c>
    </row>
    <row r="249" spans="1:6">
      <c r="A249" s="1">
        <v>17</v>
      </c>
      <c r="B249" s="26">
        <f>ROUND(H39*基本公式!$B$174,0)</f>
        <v>409238</v>
      </c>
      <c r="C249" s="23">
        <f>其他表格!G44*基本公式!$B$4*基本公式!$B$132</f>
        <v>271.8756702</v>
      </c>
      <c r="D249" s="26">
        <f t="shared" si="88"/>
        <v>239473</v>
      </c>
      <c r="E249" s="23">
        <f t="shared" si="89"/>
        <v>66.520399635000018</v>
      </c>
      <c r="F249" s="23">
        <f t="shared" si="90"/>
        <v>2.7716833181250009</v>
      </c>
    </row>
    <row r="250" spans="1:6">
      <c r="A250" s="1">
        <v>18</v>
      </c>
      <c r="B250" s="26">
        <f>ROUND(H40*基本公式!$B$174,0)</f>
        <v>470190</v>
      </c>
      <c r="C250" s="23">
        <f>其他表格!G45*基本公式!$B$4*基本公式!$B$132</f>
        <v>351.86669999999992</v>
      </c>
      <c r="D250" s="26">
        <f t="shared" si="88"/>
        <v>287968</v>
      </c>
      <c r="E250" s="23">
        <f t="shared" si="89"/>
        <v>79.991029799999922</v>
      </c>
      <c r="F250" s="23">
        <f t="shared" si="90"/>
        <v>3.3329595749999967</v>
      </c>
    </row>
    <row r="251" spans="1:6">
      <c r="A251" s="1">
        <v>19</v>
      </c>
      <c r="B251" s="26">
        <f>ROUND(H41*基本公式!$B$174,0)</f>
        <v>534548</v>
      </c>
      <c r="C251" s="23">
        <f>其他表格!G46*基本公式!$B$4*基本公式!$B$132</f>
        <v>446.93243999999987</v>
      </c>
      <c r="D251" s="26">
        <f t="shared" si="88"/>
        <v>342237</v>
      </c>
      <c r="E251" s="23">
        <f t="shared" si="89"/>
        <v>95.065739999999948</v>
      </c>
      <c r="F251" s="23">
        <f t="shared" si="90"/>
        <v>3.961072499999998</v>
      </c>
    </row>
    <row r="252" spans="1:6">
      <c r="A252" s="1">
        <v>20</v>
      </c>
      <c r="B252" s="26">
        <f>ROUND(H42*基本公式!$B$174,0)</f>
        <v>628875</v>
      </c>
      <c r="C252" s="23">
        <f>其他表格!G47*基本公式!$B$4*基本公式!$B$132</f>
        <v>558.82799999999997</v>
      </c>
      <c r="D252" s="26">
        <f t="shared" si="88"/>
        <v>402824</v>
      </c>
      <c r="E252" s="23">
        <f t="shared" si="89"/>
        <v>111.8955600000001</v>
      </c>
      <c r="F252" s="23">
        <f t="shared" si="90"/>
        <v>4.662315000000004</v>
      </c>
    </row>
    <row r="253" spans="1:6" s="7" customFormat="1" ht="27">
      <c r="A253" s="7" t="s">
        <v>92</v>
      </c>
      <c r="B253" s="24" t="s">
        <v>216</v>
      </c>
      <c r="C253" s="25" t="s">
        <v>217</v>
      </c>
      <c r="D253" s="24" t="s">
        <v>218</v>
      </c>
      <c r="E253" s="25" t="s">
        <v>219</v>
      </c>
      <c r="F253" s="25" t="s">
        <v>220</v>
      </c>
    </row>
    <row r="254" spans="1:6">
      <c r="A254" s="1">
        <v>1</v>
      </c>
      <c r="B254" s="26">
        <f>ROUND(H23*基本公式!$B$175,0)</f>
        <v>408</v>
      </c>
      <c r="C254" s="23">
        <f>其他表格!G28*基本公式!$B$4*基本公式!$B$133</f>
        <v>6.8512693450585652E-3</v>
      </c>
      <c r="D254" s="26">
        <f>ROUND(E254*3600,0)</f>
        <v>25</v>
      </c>
      <c r="E254" s="23">
        <f>C254</f>
        <v>6.8512693450585652E-3</v>
      </c>
      <c r="F254" s="23">
        <f>E254/24</f>
        <v>2.8546955604410686E-4</v>
      </c>
    </row>
    <row r="255" spans="1:6">
      <c r="A255" s="1">
        <v>2</v>
      </c>
      <c r="B255" s="26">
        <f>ROUND(H24*基本公式!$B$175,0)</f>
        <v>791</v>
      </c>
      <c r="C255" s="23">
        <f>其他表格!G29*基本公式!$B$4*基本公式!$B$133</f>
        <v>6.0225634964635094E-2</v>
      </c>
      <c r="D255" s="26">
        <f t="shared" ref="D255" si="91">ROUND(E255*3600,0)</f>
        <v>192</v>
      </c>
      <c r="E255" s="23">
        <f t="shared" ref="E255" si="92">C255-C254</f>
        <v>5.3374365619576529E-2</v>
      </c>
      <c r="F255" s="23">
        <f t="shared" ref="F255" si="93">E255/24</f>
        <v>2.2239319008156887E-3</v>
      </c>
    </row>
    <row r="256" spans="1:6">
      <c r="A256" s="1">
        <v>3</v>
      </c>
      <c r="B256" s="26">
        <f>ROUND(H25*基本公式!$B$175,0)</f>
        <v>1173</v>
      </c>
      <c r="C256" s="23">
        <f>其他表格!G30*基本公式!$B$4*基本公式!$B$133</f>
        <v>0.25358162090372677</v>
      </c>
      <c r="D256" s="26">
        <f t="shared" ref="D256:D273" si="94">ROUND(E256*3600,0)</f>
        <v>696</v>
      </c>
      <c r="E256" s="23">
        <f t="shared" ref="E256:E273" si="95">C256-C255</f>
        <v>0.19335598593909167</v>
      </c>
      <c r="F256" s="23">
        <f t="shared" ref="F256:F273" si="96">E256/24</f>
        <v>8.0564994141288197E-3</v>
      </c>
    </row>
    <row r="257" spans="1:6">
      <c r="A257" s="1">
        <v>4</v>
      </c>
      <c r="B257" s="26">
        <f>ROUND(H26*基本公式!$B$175,0)</f>
        <v>1938</v>
      </c>
      <c r="C257" s="23">
        <f>其他表格!G31*基本公式!$B$4*基本公式!$B$133</f>
        <v>0.60058804950882638</v>
      </c>
      <c r="D257" s="26">
        <f t="shared" si="94"/>
        <v>1249</v>
      </c>
      <c r="E257" s="23">
        <f t="shared" si="95"/>
        <v>0.34700642860509961</v>
      </c>
      <c r="F257" s="23">
        <f t="shared" si="96"/>
        <v>1.4458601191879151E-2</v>
      </c>
    </row>
    <row r="258" spans="1:6">
      <c r="A258" s="1">
        <v>5</v>
      </c>
      <c r="B258" s="26">
        <f>ROUND(H27*基本公式!$B$175,0)</f>
        <v>3222</v>
      </c>
      <c r="C258" s="23">
        <f>其他表格!G32*基本公式!$B$4*基本公式!$B$133</f>
        <v>1.1941516773859706</v>
      </c>
      <c r="D258" s="26">
        <f t="shared" si="94"/>
        <v>2137</v>
      </c>
      <c r="E258" s="23">
        <f t="shared" si="95"/>
        <v>0.59356362787714423</v>
      </c>
      <c r="F258" s="23">
        <f t="shared" si="96"/>
        <v>2.4731817828214344E-2</v>
      </c>
    </row>
    <row r="259" spans="1:6">
      <c r="A259" s="1">
        <v>6</v>
      </c>
      <c r="B259" s="26">
        <f>ROUND(H28*基本公式!$B$175,0)</f>
        <v>8203</v>
      </c>
      <c r="C259" s="23">
        <f>其他表格!G33*基本公式!$B$4*基本公式!$B$133</f>
        <v>2.0703558493379055</v>
      </c>
      <c r="D259" s="26">
        <f t="shared" si="94"/>
        <v>3154</v>
      </c>
      <c r="E259" s="23">
        <f t="shared" si="95"/>
        <v>0.8762041719519349</v>
      </c>
      <c r="F259" s="23">
        <f t="shared" si="96"/>
        <v>3.6508507164663952E-2</v>
      </c>
    </row>
    <row r="260" spans="1:6">
      <c r="A260" s="1">
        <v>7</v>
      </c>
      <c r="B260" s="26">
        <f>ROUND(H29*基本公式!$B$175,0)</f>
        <v>16159</v>
      </c>
      <c r="C260" s="23">
        <f>其他表格!G34*基本公式!$B$4*基本公式!$B$133</f>
        <v>3.5803146266745731</v>
      </c>
      <c r="D260" s="26">
        <f t="shared" si="94"/>
        <v>5436</v>
      </c>
      <c r="E260" s="23">
        <f t="shared" si="95"/>
        <v>1.5099587773366676</v>
      </c>
      <c r="F260" s="23">
        <f t="shared" si="96"/>
        <v>6.2914949055694488E-2</v>
      </c>
    </row>
    <row r="261" spans="1:6">
      <c r="A261" s="1">
        <v>8</v>
      </c>
      <c r="B261" s="26">
        <f>ROUND(H30*基本公式!$B$175,0)</f>
        <v>29053</v>
      </c>
      <c r="C261" s="23">
        <f>其他表格!G35*基本公式!$B$4*基本公式!$B$133</f>
        <v>7.0459280982611743</v>
      </c>
      <c r="D261" s="26">
        <f t="shared" si="94"/>
        <v>12476</v>
      </c>
      <c r="E261" s="23">
        <f t="shared" si="95"/>
        <v>3.4656134715866012</v>
      </c>
      <c r="F261" s="23">
        <f t="shared" si="96"/>
        <v>0.14440056131610837</v>
      </c>
    </row>
    <row r="262" spans="1:6">
      <c r="A262" s="1">
        <v>9</v>
      </c>
      <c r="B262" s="26">
        <f>ROUND(H31*基本公式!$B$175,0)</f>
        <v>41914</v>
      </c>
      <c r="C262" s="23">
        <f>其他表格!G36*基本公式!$B$4*基本公式!$B$133</f>
        <v>12.073805798733959</v>
      </c>
      <c r="D262" s="26">
        <f t="shared" si="94"/>
        <v>18100</v>
      </c>
      <c r="E262" s="23">
        <f t="shared" si="95"/>
        <v>5.0278777004727848</v>
      </c>
      <c r="F262" s="23">
        <f t="shared" si="96"/>
        <v>0.20949490418636604</v>
      </c>
    </row>
    <row r="263" spans="1:6">
      <c r="A263" s="1">
        <v>10</v>
      </c>
      <c r="B263" s="26">
        <f>ROUND(H32*基本公式!$B$175,0)</f>
        <v>63742</v>
      </c>
      <c r="C263" s="23">
        <f>其他表格!G37*基本公式!$B$4*基本公式!$B$133</f>
        <v>19.971708840011061</v>
      </c>
      <c r="D263" s="26">
        <f t="shared" si="94"/>
        <v>28432</v>
      </c>
      <c r="E263" s="23">
        <f t="shared" si="95"/>
        <v>7.8979030412771021</v>
      </c>
      <c r="F263" s="23">
        <f t="shared" si="96"/>
        <v>0.3290792933865459</v>
      </c>
    </row>
    <row r="264" spans="1:6">
      <c r="A264" s="1">
        <v>11</v>
      </c>
      <c r="B264" s="26">
        <f>ROUND(H33*基本公式!$B$175,0)</f>
        <v>92761</v>
      </c>
      <c r="C264" s="23">
        <f>其他表格!G38*基本公式!$B$4*基本公式!$B$133</f>
        <v>34.401029580880298</v>
      </c>
      <c r="D264" s="26">
        <f t="shared" si="94"/>
        <v>51946</v>
      </c>
      <c r="E264" s="23">
        <f t="shared" si="95"/>
        <v>14.429320740869237</v>
      </c>
      <c r="F264" s="23">
        <f t="shared" si="96"/>
        <v>0.60122169753621824</v>
      </c>
    </row>
    <row r="265" spans="1:6">
      <c r="A265" s="1">
        <v>12</v>
      </c>
      <c r="B265" s="26">
        <f>ROUND(H34*基本公式!$B$175,0)</f>
        <v>166643</v>
      </c>
      <c r="C265" s="23">
        <f>其他表格!G39*基本公式!$B$4*基本公式!$B$133</f>
        <v>54.317415127705729</v>
      </c>
      <c r="D265" s="26">
        <f t="shared" si="94"/>
        <v>71699</v>
      </c>
      <c r="E265" s="23">
        <f t="shared" si="95"/>
        <v>19.916385546825431</v>
      </c>
      <c r="F265" s="23">
        <f t="shared" si="96"/>
        <v>0.82984939778439293</v>
      </c>
    </row>
    <row r="266" spans="1:6">
      <c r="A266" s="1">
        <v>13</v>
      </c>
      <c r="B266" s="26">
        <f>ROUND(H35*基本公式!$B$175,0)</f>
        <v>228013</v>
      </c>
      <c r="C266" s="23">
        <f>其他表格!G40*基本公式!$B$4*基本公式!$B$133</f>
        <v>84.705520666987496</v>
      </c>
      <c r="D266" s="26">
        <f t="shared" si="94"/>
        <v>109397</v>
      </c>
      <c r="E266" s="23">
        <f t="shared" si="95"/>
        <v>30.388105539281767</v>
      </c>
      <c r="F266" s="23">
        <f t="shared" si="96"/>
        <v>1.2661710641367403</v>
      </c>
    </row>
    <row r="267" spans="1:6">
      <c r="A267" s="1">
        <v>14</v>
      </c>
      <c r="B267" s="26">
        <f>ROUND(H36*基本公式!$B$175,0)</f>
        <v>281614</v>
      </c>
      <c r="C267" s="23">
        <f>其他表格!G41*基本公式!$B$4*基本公式!$B$133</f>
        <v>124.82918835135</v>
      </c>
      <c r="D267" s="26">
        <f t="shared" si="94"/>
        <v>144445</v>
      </c>
      <c r="E267" s="23">
        <f t="shared" si="95"/>
        <v>40.123667684362502</v>
      </c>
      <c r="F267" s="23">
        <f t="shared" si="96"/>
        <v>1.6718194868484375</v>
      </c>
    </row>
    <row r="268" spans="1:6">
      <c r="A268" s="1">
        <v>15</v>
      </c>
      <c r="B268" s="26">
        <f>ROUND(H37*基本公式!$B$175,0)</f>
        <v>341904</v>
      </c>
      <c r="C268" s="23">
        <f>其他表格!G42*基本公式!$B$4*基本公式!$B$133</f>
        <v>175.980998615625</v>
      </c>
      <c r="D268" s="26">
        <f t="shared" si="94"/>
        <v>184147</v>
      </c>
      <c r="E268" s="23">
        <f t="shared" si="95"/>
        <v>51.151810264274999</v>
      </c>
      <c r="F268" s="23">
        <f t="shared" si="96"/>
        <v>2.1313254276781248</v>
      </c>
    </row>
    <row r="269" spans="1:6">
      <c r="A269" s="1">
        <v>16</v>
      </c>
      <c r="B269" s="26">
        <f>ROUND(H38*基本公式!$B$175,0)</f>
        <v>400699</v>
      </c>
      <c r="C269" s="23">
        <f>其他表格!G43*基本公式!$B$4*基本公式!$B$133</f>
        <v>239.5811489925</v>
      </c>
      <c r="D269" s="26">
        <f t="shared" si="94"/>
        <v>228961</v>
      </c>
      <c r="E269" s="23">
        <f t="shared" si="95"/>
        <v>63.600150376875007</v>
      </c>
      <c r="F269" s="23">
        <f t="shared" si="96"/>
        <v>2.6500062657031251</v>
      </c>
    </row>
    <row r="270" spans="1:6">
      <c r="A270" s="1">
        <v>17</v>
      </c>
      <c r="B270" s="26">
        <f>ROUND(H39*基本公式!$B$175,0)</f>
        <v>463803</v>
      </c>
      <c r="C270" s="23">
        <f>其他表格!G44*基本公式!$B$4*基本公式!$B$133</f>
        <v>317.18828189999999</v>
      </c>
      <c r="D270" s="26">
        <f t="shared" si="94"/>
        <v>279386</v>
      </c>
      <c r="E270" s="23">
        <f t="shared" si="95"/>
        <v>77.607132907499988</v>
      </c>
      <c r="F270" s="23">
        <f t="shared" si="96"/>
        <v>3.2336305378124997</v>
      </c>
    </row>
    <row r="271" spans="1:6">
      <c r="A271" s="1">
        <v>18</v>
      </c>
      <c r="B271" s="26">
        <f>ROUND(H40*基本公式!$B$175,0)</f>
        <v>532882</v>
      </c>
      <c r="C271" s="23">
        <f>其他表格!G45*基本公式!$B$4*基本公式!$B$133</f>
        <v>410.51114999999993</v>
      </c>
      <c r="D271" s="26">
        <f t="shared" si="94"/>
        <v>335962</v>
      </c>
      <c r="E271" s="23">
        <f t="shared" si="95"/>
        <v>93.322868099999937</v>
      </c>
      <c r="F271" s="23">
        <f t="shared" si="96"/>
        <v>3.8884528374999974</v>
      </c>
    </row>
    <row r="272" spans="1:6">
      <c r="A272" s="1">
        <v>19</v>
      </c>
      <c r="B272" s="26">
        <f>ROUND(H41*基本公式!$B$175,0)</f>
        <v>605821</v>
      </c>
      <c r="C272" s="23">
        <f>其他表格!G46*基本公式!$B$4*基本公式!$B$133</f>
        <v>521.42117999999994</v>
      </c>
      <c r="D272" s="26">
        <f t="shared" si="94"/>
        <v>399276</v>
      </c>
      <c r="E272" s="23">
        <f t="shared" si="95"/>
        <v>110.91003000000001</v>
      </c>
      <c r="F272" s="23">
        <f t="shared" si="96"/>
        <v>4.6212512500000003</v>
      </c>
    </row>
    <row r="273" spans="1:6">
      <c r="A273" s="1">
        <v>20</v>
      </c>
      <c r="B273" s="26">
        <f>ROUND(H42*基本公式!$B$175,0)</f>
        <v>712725</v>
      </c>
      <c r="C273" s="23">
        <f>其他表格!G47*基本公式!$B$4*基本公式!$B$133</f>
        <v>651.96600000000001</v>
      </c>
      <c r="D273" s="26">
        <f t="shared" si="94"/>
        <v>469961</v>
      </c>
      <c r="E273" s="23">
        <f t="shared" si="95"/>
        <v>130.54482000000007</v>
      </c>
      <c r="F273" s="23">
        <f t="shared" si="96"/>
        <v>5.439367500000003</v>
      </c>
    </row>
    <row r="274" spans="1:6" s="7" customFormat="1" ht="27">
      <c r="A274" s="7" t="s">
        <v>93</v>
      </c>
      <c r="B274" s="24" t="s">
        <v>216</v>
      </c>
      <c r="C274" s="25" t="s">
        <v>217</v>
      </c>
      <c r="D274" s="24" t="s">
        <v>218</v>
      </c>
      <c r="E274" s="25" t="s">
        <v>219</v>
      </c>
      <c r="F274" s="25" t="s">
        <v>220</v>
      </c>
    </row>
    <row r="275" spans="1:6">
      <c r="A275" s="1">
        <v>1</v>
      </c>
      <c r="B275" s="26">
        <f>ROUND(H23*基本公式!$B$176,0)</f>
        <v>480</v>
      </c>
      <c r="C275" s="23">
        <f>其他表格!G28*基本公式!$B$4*基本公式!$B$134</f>
        <v>7.8300221086383594E-3</v>
      </c>
      <c r="D275" s="26">
        <f>ROUND(E275*3600,0)</f>
        <v>28</v>
      </c>
      <c r="E275" s="23">
        <f>C275</f>
        <v>7.8300221086383594E-3</v>
      </c>
      <c r="F275" s="23">
        <f>E275/24</f>
        <v>3.2625092119326499E-4</v>
      </c>
    </row>
    <row r="276" spans="1:6">
      <c r="A276" s="1">
        <v>2</v>
      </c>
      <c r="B276" s="26">
        <f>ROUND(H24*基本公式!$B$176,0)</f>
        <v>930</v>
      </c>
      <c r="C276" s="23">
        <f>其他表格!G29*基本公式!$B$4*基本公式!$B$134</f>
        <v>6.882929710244011E-2</v>
      </c>
      <c r="D276" s="26">
        <f t="shared" ref="D276" si="97">ROUND(E276*3600,0)</f>
        <v>220</v>
      </c>
      <c r="E276" s="23">
        <f t="shared" ref="E276" si="98">C276-C275</f>
        <v>6.0999274993801748E-2</v>
      </c>
      <c r="F276" s="23">
        <f t="shared" ref="F276" si="99">E276/24</f>
        <v>2.541636458075073E-3</v>
      </c>
    </row>
    <row r="277" spans="1:6">
      <c r="A277" s="1">
        <v>3</v>
      </c>
      <c r="B277" s="26">
        <f>ROUND(H25*基本公式!$B$176,0)</f>
        <v>1380</v>
      </c>
      <c r="C277" s="23">
        <f>其他表格!G30*基本公式!$B$4*基本公式!$B$134</f>
        <v>0.28980756674711627</v>
      </c>
      <c r="D277" s="26">
        <f t="shared" ref="D277:D294" si="100">ROUND(E277*3600,0)</f>
        <v>796</v>
      </c>
      <c r="E277" s="23">
        <f t="shared" ref="E277:E294" si="101">C277-C276</f>
        <v>0.22097826964467615</v>
      </c>
      <c r="F277" s="23">
        <f t="shared" ref="F277:F294" si="102">E277/24</f>
        <v>9.2074279018615063E-3</v>
      </c>
    </row>
    <row r="278" spans="1:6">
      <c r="A278" s="1">
        <v>4</v>
      </c>
      <c r="B278" s="26">
        <f>ROUND(H26*基本公式!$B$176,0)</f>
        <v>2280</v>
      </c>
      <c r="C278" s="23">
        <f>其他表格!G31*基本公式!$B$4*基本公式!$B$134</f>
        <v>0.68638634229580153</v>
      </c>
      <c r="D278" s="26">
        <f t="shared" si="100"/>
        <v>1428</v>
      </c>
      <c r="E278" s="23">
        <f t="shared" si="101"/>
        <v>0.39657877554868526</v>
      </c>
      <c r="F278" s="23">
        <f t="shared" si="102"/>
        <v>1.6524115647861885E-2</v>
      </c>
    </row>
    <row r="279" spans="1:6">
      <c r="A279" s="1">
        <v>5</v>
      </c>
      <c r="B279" s="26">
        <f>ROUND(H27*基本公式!$B$176,0)</f>
        <v>3790</v>
      </c>
      <c r="C279" s="23">
        <f>其他表格!G32*基本公式!$B$4*基本公式!$B$134</f>
        <v>1.3647447741553951</v>
      </c>
      <c r="D279" s="26">
        <f t="shared" si="100"/>
        <v>2442</v>
      </c>
      <c r="E279" s="23">
        <f t="shared" si="101"/>
        <v>0.67835843185959355</v>
      </c>
      <c r="F279" s="23">
        <f t="shared" si="102"/>
        <v>2.8264934660816397E-2</v>
      </c>
    </row>
    <row r="280" spans="1:6">
      <c r="A280" s="1">
        <v>6</v>
      </c>
      <c r="B280" s="26">
        <f>ROUND(H28*基本公式!$B$176,0)</f>
        <v>9650</v>
      </c>
      <c r="C280" s="23">
        <f>其他表格!G33*基本公式!$B$4*基本公式!$B$134</f>
        <v>2.3661209706718918</v>
      </c>
      <c r="D280" s="26">
        <f t="shared" si="100"/>
        <v>3605</v>
      </c>
      <c r="E280" s="23">
        <f t="shared" si="101"/>
        <v>1.0013761965164967</v>
      </c>
      <c r="F280" s="23">
        <f t="shared" si="102"/>
        <v>4.1724008188187361E-2</v>
      </c>
    </row>
    <row r="281" spans="1:6">
      <c r="A281" s="1">
        <v>7</v>
      </c>
      <c r="B281" s="26">
        <f>ROUND(H29*基本公式!$B$176,0)</f>
        <v>19010</v>
      </c>
      <c r="C281" s="23">
        <f>其他表格!G34*基本公式!$B$4*基本公式!$B$134</f>
        <v>4.0917881447709403</v>
      </c>
      <c r="D281" s="26">
        <f t="shared" si="100"/>
        <v>6212</v>
      </c>
      <c r="E281" s="23">
        <f t="shared" si="101"/>
        <v>1.7256671740990486</v>
      </c>
      <c r="F281" s="23">
        <f t="shared" si="102"/>
        <v>7.1902798920793695E-2</v>
      </c>
    </row>
    <row r="282" spans="1:6">
      <c r="A282" s="1">
        <v>8</v>
      </c>
      <c r="B282" s="26">
        <f>ROUND(H30*基本公式!$B$176,0)</f>
        <v>34180</v>
      </c>
      <c r="C282" s="23">
        <f>其他表格!G35*基本公式!$B$4*基本公式!$B$134</f>
        <v>8.0524892551556277</v>
      </c>
      <c r="D282" s="26">
        <f t="shared" si="100"/>
        <v>14259</v>
      </c>
      <c r="E282" s="23">
        <f t="shared" si="101"/>
        <v>3.9607011103846874</v>
      </c>
      <c r="F282" s="23">
        <f t="shared" si="102"/>
        <v>0.16502921293269532</v>
      </c>
    </row>
    <row r="283" spans="1:6">
      <c r="A283" s="1">
        <v>9</v>
      </c>
      <c r="B283" s="26">
        <f>ROUND(H31*基本公式!$B$176,0)</f>
        <v>49310</v>
      </c>
      <c r="C283" s="23">
        <f>其他表格!G36*基本公式!$B$4*基本公式!$B$134</f>
        <v>13.798635198553095</v>
      </c>
      <c r="D283" s="26">
        <f t="shared" si="100"/>
        <v>20686</v>
      </c>
      <c r="E283" s="23">
        <f t="shared" si="101"/>
        <v>5.7461459433974671</v>
      </c>
      <c r="F283" s="23">
        <f t="shared" si="102"/>
        <v>0.23942274764156113</v>
      </c>
    </row>
    <row r="284" spans="1:6">
      <c r="A284" s="1">
        <v>10</v>
      </c>
      <c r="B284" s="26">
        <f>ROUND(H32*基本公式!$B$176,0)</f>
        <v>74990</v>
      </c>
      <c r="C284" s="23">
        <f>其他表格!G37*基本公式!$B$4*基本公式!$B$134</f>
        <v>22.824810102869783</v>
      </c>
      <c r="D284" s="26">
        <f t="shared" si="100"/>
        <v>32494</v>
      </c>
      <c r="E284" s="23">
        <f t="shared" si="101"/>
        <v>9.0261749043166883</v>
      </c>
      <c r="F284" s="23">
        <f t="shared" si="102"/>
        <v>0.37609062101319535</v>
      </c>
    </row>
    <row r="285" spans="1:6">
      <c r="A285" s="1">
        <v>11</v>
      </c>
      <c r="B285" s="26">
        <f>ROUND(H33*基本公式!$B$176,0)</f>
        <v>109130</v>
      </c>
      <c r="C285" s="23">
        <f>其他表格!G38*基本公式!$B$4*基本公式!$B$134</f>
        <v>39.315462378148908</v>
      </c>
      <c r="D285" s="26">
        <f t="shared" si="100"/>
        <v>59366</v>
      </c>
      <c r="E285" s="23">
        <f t="shared" si="101"/>
        <v>16.490652275279125</v>
      </c>
      <c r="F285" s="23">
        <f t="shared" si="102"/>
        <v>0.68711051146996349</v>
      </c>
    </row>
    <row r="286" spans="1:6">
      <c r="A286" s="1">
        <v>12</v>
      </c>
      <c r="B286" s="26">
        <f>ROUND(H34*基本公式!$B$176,0)</f>
        <v>196050</v>
      </c>
      <c r="C286" s="23">
        <f>其他表格!G39*基本公式!$B$4*基本公式!$B$134</f>
        <v>62.07704586023511</v>
      </c>
      <c r="D286" s="26">
        <f t="shared" si="100"/>
        <v>81942</v>
      </c>
      <c r="E286" s="23">
        <f t="shared" si="101"/>
        <v>22.761583482086202</v>
      </c>
      <c r="F286" s="23">
        <f t="shared" si="102"/>
        <v>0.94839931175359171</v>
      </c>
    </row>
    <row r="287" spans="1:6">
      <c r="A287" s="1">
        <v>13</v>
      </c>
      <c r="B287" s="26">
        <f>ROUND(H35*基本公式!$B$176,0)</f>
        <v>268250</v>
      </c>
      <c r="C287" s="23">
        <f>其他表格!G40*基本公式!$B$4*基本公式!$B$134</f>
        <v>96.8063093337</v>
      </c>
      <c r="D287" s="26">
        <f t="shared" si="100"/>
        <v>125025</v>
      </c>
      <c r="E287" s="23">
        <f t="shared" si="101"/>
        <v>34.72926347346489</v>
      </c>
      <c r="F287" s="23">
        <f t="shared" si="102"/>
        <v>1.4470526447277037</v>
      </c>
    </row>
    <row r="288" spans="1:6">
      <c r="A288" s="1">
        <v>14</v>
      </c>
      <c r="B288" s="26">
        <f>ROUND(H36*基本公式!$B$176,0)</f>
        <v>331310</v>
      </c>
      <c r="C288" s="23">
        <f>其他表格!G41*基本公式!$B$4*基本公式!$B$134</f>
        <v>142.66192954439998</v>
      </c>
      <c r="D288" s="26">
        <f t="shared" si="100"/>
        <v>165080</v>
      </c>
      <c r="E288" s="23">
        <f t="shared" si="101"/>
        <v>45.855620210699982</v>
      </c>
      <c r="F288" s="23">
        <f t="shared" si="102"/>
        <v>1.9106508421124992</v>
      </c>
    </row>
    <row r="289" spans="1:8">
      <c r="A289" s="1">
        <v>15</v>
      </c>
      <c r="B289" s="26">
        <f>ROUND(H37*基本公式!$B$176,0)</f>
        <v>402240</v>
      </c>
      <c r="C289" s="23">
        <f>其他表格!G42*基本公式!$B$4*基本公式!$B$134</f>
        <v>201.12114127499999</v>
      </c>
      <c r="D289" s="26">
        <f t="shared" si="100"/>
        <v>210453</v>
      </c>
      <c r="E289" s="23">
        <f t="shared" si="101"/>
        <v>58.459211730600003</v>
      </c>
      <c r="F289" s="23">
        <f t="shared" si="102"/>
        <v>2.435800488775</v>
      </c>
    </row>
    <row r="290" spans="1:8">
      <c r="A290" s="1">
        <v>16</v>
      </c>
      <c r="B290" s="26">
        <f>ROUND(H38*基本公式!$B$176,0)</f>
        <v>471410</v>
      </c>
      <c r="C290" s="23">
        <f>其他表格!G43*基本公式!$B$4*基本公式!$B$134</f>
        <v>273.80702742</v>
      </c>
      <c r="D290" s="26">
        <f t="shared" si="100"/>
        <v>261669</v>
      </c>
      <c r="E290" s="23">
        <f t="shared" si="101"/>
        <v>72.685886145000012</v>
      </c>
      <c r="F290" s="23">
        <f t="shared" si="102"/>
        <v>3.0285785893750004</v>
      </c>
    </row>
    <row r="291" spans="1:8">
      <c r="A291" s="1">
        <v>17</v>
      </c>
      <c r="B291" s="26">
        <f>ROUND(H39*基本公式!$B$176,0)</f>
        <v>545650</v>
      </c>
      <c r="C291" s="23">
        <f>其他表格!G44*基本公式!$B$4*基本公式!$B$134</f>
        <v>362.50089359999998</v>
      </c>
      <c r="D291" s="26">
        <f t="shared" si="100"/>
        <v>319298</v>
      </c>
      <c r="E291" s="23">
        <f t="shared" si="101"/>
        <v>88.693866179999986</v>
      </c>
      <c r="F291" s="23">
        <f t="shared" si="102"/>
        <v>3.6955777574999993</v>
      </c>
    </row>
    <row r="292" spans="1:8">
      <c r="A292" s="1">
        <v>18</v>
      </c>
      <c r="B292" s="26">
        <f>ROUND(H40*基本公式!$B$176,0)</f>
        <v>626920</v>
      </c>
      <c r="C292" s="23">
        <f>其他表格!G45*基本公式!$B$4*基本公式!$B$134</f>
        <v>469.15559999999994</v>
      </c>
      <c r="D292" s="26">
        <f t="shared" si="100"/>
        <v>383957</v>
      </c>
      <c r="E292" s="23">
        <f t="shared" si="101"/>
        <v>106.65470639999995</v>
      </c>
      <c r="F292" s="23">
        <f t="shared" si="102"/>
        <v>4.443946099999998</v>
      </c>
    </row>
    <row r="293" spans="1:8">
      <c r="A293" s="1">
        <v>19</v>
      </c>
      <c r="B293" s="26">
        <f>ROUND(H41*基本公式!$B$176,0)</f>
        <v>712730</v>
      </c>
      <c r="C293" s="23">
        <f>其他表格!G46*基本公式!$B$4*基本公式!$B$134</f>
        <v>595.90991999999983</v>
      </c>
      <c r="D293" s="26">
        <f t="shared" si="100"/>
        <v>456316</v>
      </c>
      <c r="E293" s="23">
        <f t="shared" si="101"/>
        <v>126.75431999999989</v>
      </c>
      <c r="F293" s="23">
        <f t="shared" si="102"/>
        <v>5.2814299999999959</v>
      </c>
    </row>
    <row r="294" spans="1:8">
      <c r="A294" s="1">
        <v>20</v>
      </c>
      <c r="B294" s="26">
        <f>ROUND(H42*基本公式!$B$176,0)</f>
        <v>838500</v>
      </c>
      <c r="C294" s="23">
        <f>其他表格!G47*基本公式!$B$4*基本公式!$B$134</f>
        <v>745.10399999999993</v>
      </c>
      <c r="D294" s="26">
        <f t="shared" si="100"/>
        <v>537099</v>
      </c>
      <c r="E294" s="23">
        <f t="shared" si="101"/>
        <v>149.1940800000001</v>
      </c>
      <c r="F294" s="23">
        <f t="shared" si="102"/>
        <v>6.2164200000000038</v>
      </c>
    </row>
    <row r="295" spans="1:8" s="7" customFormat="1" ht="27">
      <c r="A295" s="7" t="s">
        <v>90</v>
      </c>
      <c r="B295" s="24" t="s">
        <v>216</v>
      </c>
      <c r="C295" s="25" t="s">
        <v>217</v>
      </c>
      <c r="D295" s="24" t="s">
        <v>218</v>
      </c>
      <c r="E295" s="25" t="s">
        <v>219</v>
      </c>
      <c r="F295" s="25" t="s">
        <v>220</v>
      </c>
      <c r="G295" s="7" t="s">
        <v>238</v>
      </c>
      <c r="H295" s="7" t="s">
        <v>239</v>
      </c>
    </row>
    <row r="296" spans="1:8">
      <c r="A296" s="1">
        <v>1</v>
      </c>
      <c r="B296" s="26">
        <f>ROUND(H23*基本公式!$B$173,0)</f>
        <v>96</v>
      </c>
      <c r="C296" s="23">
        <f>其他表格!G28*基本公式!$B$4*基本公式!$B$131</f>
        <v>1.370253869011713E-2</v>
      </c>
      <c r="D296" s="26">
        <f>ROUND(E296*3600,0)</f>
        <v>49</v>
      </c>
      <c r="E296" s="23">
        <f>C296</f>
        <v>1.370253869011713E-2</v>
      </c>
      <c r="F296" s="23">
        <f>E296/24</f>
        <v>5.7093911208821373E-4</v>
      </c>
      <c r="G296" s="9">
        <v>1</v>
      </c>
    </row>
    <row r="297" spans="1:8">
      <c r="A297" s="1">
        <v>2</v>
      </c>
      <c r="B297" s="26">
        <f>ROUND(H24*基本公式!$B$173,0)</f>
        <v>186</v>
      </c>
      <c r="C297" s="23">
        <f>其他表格!G29*基本公式!$B$4*基本公式!$B$131</f>
        <v>0.12045126992927019</v>
      </c>
      <c r="D297" s="26">
        <f t="shared" ref="D297" si="103">ROUND(E297*3600,0)</f>
        <v>384</v>
      </c>
      <c r="E297" s="23">
        <f t="shared" ref="E297" si="104">C297-C296</f>
        <v>0.10674873123915306</v>
      </c>
      <c r="F297" s="23">
        <f t="shared" ref="F297" si="105">E297/24</f>
        <v>4.4478638016313774E-3</v>
      </c>
      <c r="G297" s="9">
        <v>2</v>
      </c>
    </row>
    <row r="298" spans="1:8">
      <c r="A298" s="1">
        <v>3</v>
      </c>
      <c r="B298" s="26">
        <f>ROUND(H25*基本公式!$B$173,0)</f>
        <v>276</v>
      </c>
      <c r="C298" s="23">
        <f>其他表格!G30*基本公式!$B$4*基本公式!$B$131</f>
        <v>0.50716324180745354</v>
      </c>
      <c r="D298" s="26">
        <f t="shared" ref="D298:D315" si="106">ROUND(E298*3600,0)</f>
        <v>1392</v>
      </c>
      <c r="E298" s="23">
        <f t="shared" ref="E298:E315" si="107">C298-C297</f>
        <v>0.38671197187818335</v>
      </c>
      <c r="F298" s="23">
        <f t="shared" ref="F298:F315" si="108">E298/24</f>
        <v>1.6112998828257639E-2</v>
      </c>
      <c r="G298" s="9">
        <v>3</v>
      </c>
    </row>
    <row r="299" spans="1:8">
      <c r="A299" s="1">
        <v>4</v>
      </c>
      <c r="B299" s="26">
        <f>ROUND(H26*基本公式!$B$173,0)</f>
        <v>456</v>
      </c>
      <c r="C299" s="23">
        <f>其他表格!G31*基本公式!$B$4*基本公式!$B$131</f>
        <v>1.2011760990176528</v>
      </c>
      <c r="D299" s="26">
        <f t="shared" si="106"/>
        <v>2498</v>
      </c>
      <c r="E299" s="23">
        <f t="shared" si="107"/>
        <v>0.69401285721019923</v>
      </c>
      <c r="F299" s="23">
        <f t="shared" si="108"/>
        <v>2.8917202383758302E-2</v>
      </c>
      <c r="G299" s="9">
        <v>4</v>
      </c>
    </row>
    <row r="300" spans="1:8">
      <c r="A300" s="1">
        <v>5</v>
      </c>
      <c r="B300" s="26">
        <f>ROUND(H27*基本公式!$B$173,0)</f>
        <v>758</v>
      </c>
      <c r="C300" s="23">
        <f>其他表格!G32*基本公式!$B$4*基本公式!$B$131</f>
        <v>2.3883033547719412</v>
      </c>
      <c r="D300" s="26">
        <f t="shared" si="106"/>
        <v>4274</v>
      </c>
      <c r="E300" s="23">
        <f t="shared" si="107"/>
        <v>1.1871272557542885</v>
      </c>
      <c r="F300" s="23">
        <f t="shared" si="108"/>
        <v>4.9463635656428688E-2</v>
      </c>
      <c r="G300" s="9">
        <v>5</v>
      </c>
    </row>
    <row r="301" spans="1:8">
      <c r="A301" s="1">
        <v>6</v>
      </c>
      <c r="B301" s="26">
        <f>ROUND(H28*基本公式!$B$173,0)</f>
        <v>1930</v>
      </c>
      <c r="C301" s="23">
        <f>其他表格!G33*基本公式!$B$4*基本公式!$B$131</f>
        <v>4.140711698675811</v>
      </c>
      <c r="D301" s="26">
        <f t="shared" si="106"/>
        <v>6309</v>
      </c>
      <c r="E301" s="23">
        <f t="shared" si="107"/>
        <v>1.7524083439038698</v>
      </c>
      <c r="F301" s="23">
        <f t="shared" si="108"/>
        <v>7.3017014329327903E-2</v>
      </c>
      <c r="G301" s="9">
        <v>6</v>
      </c>
    </row>
    <row r="302" spans="1:8">
      <c r="A302" s="1">
        <v>7</v>
      </c>
      <c r="B302" s="26">
        <f>ROUND(H29*基本公式!$B$173,0)</f>
        <v>3802</v>
      </c>
      <c r="C302" s="23">
        <f>其他表格!G34*基本公式!$B$4*基本公式!$B$131</f>
        <v>7.1606292533491462</v>
      </c>
      <c r="D302" s="26">
        <f t="shared" si="106"/>
        <v>10872</v>
      </c>
      <c r="E302" s="23">
        <f t="shared" si="107"/>
        <v>3.0199175546733352</v>
      </c>
      <c r="F302" s="23">
        <f t="shared" si="108"/>
        <v>0.12582989811138898</v>
      </c>
      <c r="G302" s="9">
        <v>7</v>
      </c>
    </row>
    <row r="303" spans="1:8">
      <c r="A303" s="1">
        <v>8</v>
      </c>
      <c r="B303" s="26">
        <f>ROUND(H30*基本公式!$B$173,0)</f>
        <v>6836</v>
      </c>
      <c r="C303" s="23">
        <f>其他表格!G35*基本公式!$B$4*基本公式!$B$131</f>
        <v>14.091856196522349</v>
      </c>
      <c r="D303" s="26">
        <f t="shared" si="106"/>
        <v>24952</v>
      </c>
      <c r="E303" s="23">
        <f t="shared" si="107"/>
        <v>6.9312269431732023</v>
      </c>
      <c r="F303" s="23">
        <f t="shared" si="108"/>
        <v>0.28880112263221674</v>
      </c>
      <c r="G303" s="9">
        <v>8</v>
      </c>
    </row>
    <row r="304" spans="1:8">
      <c r="A304" s="1">
        <v>9</v>
      </c>
      <c r="B304" s="26">
        <f>ROUND(H31*基本公式!$B$173,0)</f>
        <v>9862</v>
      </c>
      <c r="C304" s="23">
        <f>其他表格!G36*基本公式!$B$4*基本公式!$B$131</f>
        <v>24.147611597467918</v>
      </c>
      <c r="D304" s="26">
        <f t="shared" si="106"/>
        <v>36201</v>
      </c>
      <c r="E304" s="23">
        <f t="shared" si="107"/>
        <v>10.05575540094557</v>
      </c>
      <c r="F304" s="23">
        <f t="shared" si="108"/>
        <v>0.41898980837273209</v>
      </c>
      <c r="G304" s="9">
        <v>9</v>
      </c>
    </row>
    <row r="305" spans="1:7">
      <c r="A305" s="1">
        <v>10</v>
      </c>
      <c r="B305" s="26">
        <f>ROUND(H32*基本公式!$B$173,0)</f>
        <v>14998</v>
      </c>
      <c r="C305" s="23">
        <f>其他表格!G37*基本公式!$B$4*基本公式!$B$131</f>
        <v>39.943417680022122</v>
      </c>
      <c r="D305" s="26">
        <f t="shared" si="106"/>
        <v>56865</v>
      </c>
      <c r="E305" s="23">
        <f t="shared" si="107"/>
        <v>15.795806082554204</v>
      </c>
      <c r="F305" s="23">
        <f t="shared" si="108"/>
        <v>0.6581585867730918</v>
      </c>
      <c r="G305" s="9">
        <v>10</v>
      </c>
    </row>
    <row r="306" spans="1:7">
      <c r="A306" s="1">
        <v>11</v>
      </c>
      <c r="B306" s="26">
        <f>ROUND(H33*基本公式!$B$173,0)</f>
        <v>21826</v>
      </c>
      <c r="C306" s="23">
        <f>其他表格!G38*基本公式!$B$4*基本公式!$B$131</f>
        <v>68.802059161760596</v>
      </c>
      <c r="D306" s="26">
        <f t="shared" si="106"/>
        <v>103891</v>
      </c>
      <c r="E306" s="23">
        <f t="shared" si="107"/>
        <v>28.858641481738474</v>
      </c>
      <c r="F306" s="23">
        <f t="shared" si="108"/>
        <v>1.2024433950724365</v>
      </c>
      <c r="G306" s="9">
        <v>11</v>
      </c>
    </row>
    <row r="307" spans="1:7">
      <c r="A307" s="1">
        <v>12</v>
      </c>
      <c r="B307" s="26">
        <f>ROUND(H34*基本公式!$B$173,0)</f>
        <v>39210</v>
      </c>
      <c r="C307" s="23">
        <f>其他表格!G39*基本公式!$B$4*基本公式!$B$131</f>
        <v>108.63483025541146</v>
      </c>
      <c r="D307" s="26">
        <f t="shared" si="106"/>
        <v>143398</v>
      </c>
      <c r="E307" s="23">
        <f t="shared" si="107"/>
        <v>39.832771093650862</v>
      </c>
      <c r="F307" s="23">
        <f t="shared" si="108"/>
        <v>1.6596987955687859</v>
      </c>
      <c r="G307" s="9">
        <v>12</v>
      </c>
    </row>
    <row r="308" spans="1:7">
      <c r="A308" s="1">
        <v>13</v>
      </c>
      <c r="B308" s="26">
        <f>ROUND(H35*基本公式!$B$173,0)</f>
        <v>53650</v>
      </c>
      <c r="C308" s="23">
        <f>其他表格!G40*基本公式!$B$4*基本公式!$B$131</f>
        <v>169.41104133397499</v>
      </c>
      <c r="D308" s="26">
        <f t="shared" si="106"/>
        <v>218794</v>
      </c>
      <c r="E308" s="23">
        <f t="shared" si="107"/>
        <v>60.776211078563534</v>
      </c>
      <c r="F308" s="23">
        <f t="shared" si="108"/>
        <v>2.5323421282734806</v>
      </c>
      <c r="G308" s="9">
        <v>13</v>
      </c>
    </row>
    <row r="309" spans="1:7">
      <c r="A309" s="1">
        <v>14</v>
      </c>
      <c r="B309" s="26">
        <f>ROUND(H36*基本公式!$B$173,0)</f>
        <v>66262</v>
      </c>
      <c r="C309" s="23">
        <f>其他表格!G41*基本公式!$B$4*基本公式!$B$131</f>
        <v>249.6583767027</v>
      </c>
      <c r="D309" s="26">
        <f t="shared" si="106"/>
        <v>288890</v>
      </c>
      <c r="E309" s="23">
        <f t="shared" si="107"/>
        <v>80.247335368725004</v>
      </c>
      <c r="F309" s="23">
        <f t="shared" si="108"/>
        <v>3.343638973696875</v>
      </c>
      <c r="G309" s="9">
        <v>14</v>
      </c>
    </row>
    <row r="310" spans="1:7">
      <c r="A310" s="1">
        <v>15</v>
      </c>
      <c r="B310" s="26">
        <f>ROUND(H37*基本公式!$B$173,0)</f>
        <v>80448</v>
      </c>
      <c r="C310" s="23">
        <f>其他表格!G42*基本公式!$B$4*基本公式!$B$131</f>
        <v>351.96199723125</v>
      </c>
      <c r="D310" s="26">
        <f t="shared" si="106"/>
        <v>368293</v>
      </c>
      <c r="E310" s="23">
        <f t="shared" si="107"/>
        <v>102.30362052855</v>
      </c>
      <c r="F310" s="23">
        <f t="shared" si="108"/>
        <v>4.2626508553562497</v>
      </c>
      <c r="G310" s="9">
        <v>15</v>
      </c>
    </row>
    <row r="311" spans="1:7">
      <c r="A311" s="1">
        <v>16</v>
      </c>
      <c r="B311" s="26">
        <f>ROUND(H38*基本公式!$B$173,0)</f>
        <v>94282</v>
      </c>
      <c r="C311" s="23">
        <f>其他表格!G43*基本公式!$B$4*基本公式!$B$131</f>
        <v>479.16229798500001</v>
      </c>
      <c r="D311" s="26">
        <f t="shared" si="106"/>
        <v>457921</v>
      </c>
      <c r="E311" s="23">
        <f t="shared" si="107"/>
        <v>127.20030075375001</v>
      </c>
      <c r="F311" s="23">
        <f t="shared" si="108"/>
        <v>5.3000125314062503</v>
      </c>
      <c r="G311" s="9">
        <v>16</v>
      </c>
    </row>
    <row r="312" spans="1:7">
      <c r="A312" s="1">
        <v>17</v>
      </c>
      <c r="B312" s="26">
        <f>ROUND(H39*基本公式!$B$173,0)</f>
        <v>109130</v>
      </c>
      <c r="C312" s="23">
        <f>其他表格!G44*基本公式!$B$4*基本公式!$B$131</f>
        <v>634.37656379999999</v>
      </c>
      <c r="D312" s="26">
        <f t="shared" si="106"/>
        <v>558771</v>
      </c>
      <c r="E312" s="23">
        <f t="shared" si="107"/>
        <v>155.21426581499998</v>
      </c>
      <c r="F312" s="23">
        <f t="shared" si="108"/>
        <v>6.4672610756249993</v>
      </c>
      <c r="G312" s="9">
        <v>17</v>
      </c>
    </row>
    <row r="313" spans="1:7">
      <c r="A313" s="1">
        <v>18</v>
      </c>
      <c r="B313" s="26">
        <f>ROUND(H40*基本公式!$B$173,0)</f>
        <v>125384</v>
      </c>
      <c r="C313" s="23">
        <f>其他表格!G45*基本公式!$B$4*基本公式!$B$131</f>
        <v>821.02229999999986</v>
      </c>
      <c r="D313" s="26">
        <f t="shared" si="106"/>
        <v>671925</v>
      </c>
      <c r="E313" s="23">
        <f t="shared" si="107"/>
        <v>186.64573619999987</v>
      </c>
      <c r="F313" s="23">
        <f t="shared" si="108"/>
        <v>7.7769056749999947</v>
      </c>
      <c r="G313" s="9">
        <v>18</v>
      </c>
    </row>
    <row r="314" spans="1:7">
      <c r="A314" s="1">
        <v>19</v>
      </c>
      <c r="B314" s="26">
        <f>ROUND(H41*基本公式!$B$173,0)</f>
        <v>142546</v>
      </c>
      <c r="C314" s="23">
        <f>其他表格!G46*基本公式!$B$4*基本公式!$B$131</f>
        <v>1042.8423599999999</v>
      </c>
      <c r="D314" s="26">
        <f t="shared" si="106"/>
        <v>798552</v>
      </c>
      <c r="E314" s="23">
        <f t="shared" si="107"/>
        <v>221.82006000000001</v>
      </c>
      <c r="F314" s="23">
        <f t="shared" si="108"/>
        <v>9.2425025000000005</v>
      </c>
      <c r="G314" s="9">
        <v>19</v>
      </c>
    </row>
    <row r="315" spans="1:7">
      <c r="A315" s="1">
        <v>20</v>
      </c>
      <c r="B315" s="26">
        <f>ROUND(H42*基本公式!$B$173,0)</f>
        <v>167700</v>
      </c>
      <c r="C315" s="23">
        <f>其他表格!G47*基本公式!$B$4*基本公式!$B$131</f>
        <v>1303.932</v>
      </c>
      <c r="D315" s="26">
        <f t="shared" si="106"/>
        <v>939923</v>
      </c>
      <c r="E315" s="23">
        <f t="shared" si="107"/>
        <v>261.08964000000014</v>
      </c>
      <c r="F315" s="23">
        <f t="shared" si="108"/>
        <v>10.878735000000006</v>
      </c>
      <c r="G315" s="9">
        <v>20</v>
      </c>
    </row>
  </sheetData>
  <phoneticPr fontId="8" type="noConversion"/>
  <pageMargins left="0.69930555555555596" right="0.69930555555555596" top="0.75" bottom="0.75" header="0.3" footer="0.3"/>
  <pageSetup paperSize="9"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252"/>
  <sheetViews>
    <sheetView topLeftCell="J16" zoomScaleNormal="100" workbookViewId="0">
      <selection activeCell="M13" sqref="M13"/>
    </sheetView>
  </sheetViews>
  <sheetFormatPr defaultColWidth="9" defaultRowHeight="13.5"/>
  <cols>
    <col min="1" max="1" width="12.75" customWidth="1"/>
    <col min="2" max="2" width="6.5" customWidth="1"/>
    <col min="3" max="3" width="10.5" customWidth="1"/>
    <col min="4" max="4" width="10.5" style="9" customWidth="1"/>
    <col min="5" max="5" width="12.25" customWidth="1"/>
    <col min="6" max="6" width="10.5" style="9" customWidth="1"/>
    <col min="7" max="7" width="11.375" style="10" customWidth="1"/>
    <col min="8" max="9" width="13.625" style="10" customWidth="1"/>
    <col min="10" max="10" width="10.5" style="11" customWidth="1"/>
    <col min="11" max="11" width="10.5" style="9" customWidth="1"/>
    <col min="12" max="12" width="12.75" style="10" customWidth="1"/>
    <col min="13" max="13" width="12" style="5" customWidth="1"/>
    <col min="14" max="14" width="12" style="9" customWidth="1"/>
    <col min="15" max="15" width="12.75" style="10" customWidth="1"/>
    <col min="16" max="16" width="12" style="5" customWidth="1"/>
    <col min="17" max="17" width="12" style="9" customWidth="1"/>
    <col min="18" max="18" width="12.75" style="10" customWidth="1"/>
    <col min="19" max="19" width="12" style="5" customWidth="1"/>
    <col min="20" max="20" width="12" style="12" customWidth="1"/>
    <col min="21" max="21" width="9.5" style="5" customWidth="1"/>
    <col min="22" max="23" width="9" style="5"/>
  </cols>
  <sheetData>
    <row r="1" spans="1:23" s="1" customFormat="1" ht="27">
      <c r="A1" s="13" t="s">
        <v>240</v>
      </c>
      <c r="B1" s="14"/>
      <c r="C1" s="14" t="s">
        <v>241</v>
      </c>
      <c r="D1" s="15" t="s">
        <v>242</v>
      </c>
      <c r="E1" s="14" t="s">
        <v>243</v>
      </c>
      <c r="F1" s="15" t="s">
        <v>244</v>
      </c>
      <c r="G1" s="16" t="s">
        <v>245</v>
      </c>
      <c r="H1" s="16" t="s">
        <v>246</v>
      </c>
      <c r="I1" s="16" t="s">
        <v>247</v>
      </c>
      <c r="J1" s="19" t="s">
        <v>248</v>
      </c>
      <c r="K1" s="15" t="s">
        <v>249</v>
      </c>
      <c r="L1" s="20" t="s">
        <v>250</v>
      </c>
      <c r="M1" s="21" t="s">
        <v>251</v>
      </c>
      <c r="N1" s="22" t="s">
        <v>252</v>
      </c>
      <c r="O1" s="20" t="s">
        <v>253</v>
      </c>
      <c r="P1" s="21" t="s">
        <v>254</v>
      </c>
      <c r="Q1" s="22" t="s">
        <v>255</v>
      </c>
      <c r="R1" s="20" t="s">
        <v>256</v>
      </c>
      <c r="S1" s="21" t="s">
        <v>257</v>
      </c>
      <c r="T1" s="4" t="s">
        <v>258</v>
      </c>
      <c r="U1" s="21" t="s">
        <v>259</v>
      </c>
      <c r="V1" s="21" t="s">
        <v>260</v>
      </c>
      <c r="W1" s="21" t="s">
        <v>261</v>
      </c>
    </row>
    <row r="2" spans="1:23">
      <c r="A2" t="s">
        <v>162</v>
      </c>
      <c r="B2">
        <v>1</v>
      </c>
      <c r="C2">
        <f>ROUND(C3-(C4-C3)/(产出与消耗!$K$5-产出与消耗!$K$4)*(产出与消耗!$K$4-产出与消耗!$K$3),0)</f>
        <v>119</v>
      </c>
      <c r="D2" s="9">
        <v>2</v>
      </c>
      <c r="E2">
        <f>ROUND(D2*C2/3600/(建筑!G86*基本公式!$B$154),2)</f>
        <v>0.03</v>
      </c>
      <c r="F2" s="9">
        <v>10</v>
      </c>
      <c r="G2" s="10">
        <f t="shared" ref="G2" si="0">F2*C2</f>
        <v>1190</v>
      </c>
      <c r="H2" s="10">
        <f>ROUND((G2+G23+G44+G65+G86+G107+G128+G149+G170+G191+G212+G233)/12,0)</f>
        <v>367</v>
      </c>
      <c r="I2" s="10">
        <f>H2*其他表格!X2</f>
        <v>367</v>
      </c>
      <c r="J2" s="11">
        <f>ROUND(C3-(C4-C3)/(产出与消耗!K5-产出与消耗!K4)*(产出与消耗!K4-产出与消耗!K3),0)</f>
        <v>119</v>
      </c>
      <c r="K2" s="9">
        <v>8</v>
      </c>
      <c r="L2" s="10">
        <f t="shared" ref="L2" si="1">ROUND(K2*C2,0)</f>
        <v>952</v>
      </c>
      <c r="M2" s="5">
        <f>ROUND(L2/产出与消耗!S3,4)</f>
        <v>0.13569999999999999</v>
      </c>
      <c r="N2" s="9">
        <v>9</v>
      </c>
      <c r="O2" s="10">
        <f t="shared" ref="O2" si="2">ROUND(N2*C2,0)</f>
        <v>1071</v>
      </c>
      <c r="P2" s="5">
        <f>ROUND(O2/产出与消耗!S25,4)</f>
        <v>0.13370000000000001</v>
      </c>
      <c r="Q2" s="9">
        <v>3</v>
      </c>
      <c r="R2" s="10">
        <f t="shared" ref="R2" si="3">ROUND(Q2*C2,0)</f>
        <v>357</v>
      </c>
      <c r="S2" s="5">
        <f>ROUND(R2/产出与消耗!S47,4)</f>
        <v>5.0900000000000001E-2</v>
      </c>
      <c r="T2" s="8">
        <f>M2+P2+S2</f>
        <v>0.32029999999999997</v>
      </c>
      <c r="U2" s="5">
        <f>M2+M23+M44+M65+M86+M107+M128+M149+M170+M191+M212+M233</f>
        <v>0.47510000000000002</v>
      </c>
      <c r="V2" s="5">
        <f>P2+P23+P44+P65+P86+P107+P128+P149+P170+P191+P212+P233</f>
        <v>0.41590000000000005</v>
      </c>
      <c r="W2" s="5">
        <f>S2+S23+S44+S65+S86+S107+S128+S149+S170+S191+S212+S233</f>
        <v>0.32240000000000002</v>
      </c>
    </row>
    <row r="3" spans="1:23">
      <c r="B3">
        <v>2</v>
      </c>
      <c r="C3">
        <f>ROUND(C4-(C5-C4)/(产出与消耗!$K$6-产出与消耗!$K$5)*(产出与消耗!$K$5-产出与消耗!$K$4),0)</f>
        <v>231</v>
      </c>
      <c r="D3" s="9">
        <v>2</v>
      </c>
      <c r="E3">
        <f>ROUND(D3*C3/3600/(建筑!G87*基本公式!$B$154),2)</f>
        <v>0.06</v>
      </c>
      <c r="F3" s="9">
        <v>10</v>
      </c>
      <c r="G3" s="10">
        <f t="shared" ref="G3:G21" si="4">F3*C3</f>
        <v>2310</v>
      </c>
      <c r="H3" s="10">
        <f t="shared" ref="H3" si="5">ROUND((G3+G24+G45+G66+G87+G108+G129+G150+G171+G192+G213+G234)/12,0)</f>
        <v>712</v>
      </c>
      <c r="I3" s="10">
        <f>H3*其他表格!X3</f>
        <v>712</v>
      </c>
      <c r="J3" s="11">
        <f>ROUND(C4-(C5-C4)/(产出与消耗!K6-产出与消耗!K5)*(产出与消耗!K5-产出与消耗!K4),0)</f>
        <v>231</v>
      </c>
      <c r="K3" s="9">
        <v>8</v>
      </c>
      <c r="L3" s="10">
        <f t="shared" ref="L3:L21" si="6">ROUND(K3*C3,0)</f>
        <v>1848</v>
      </c>
      <c r="M3" s="5">
        <f>ROUND(L3/产出与消耗!S4,4)</f>
        <v>0.1822</v>
      </c>
      <c r="N3" s="9">
        <v>9</v>
      </c>
      <c r="O3" s="10">
        <f t="shared" ref="O3:O21" si="7">ROUND(N3*C3,0)</f>
        <v>2079</v>
      </c>
      <c r="P3" s="5">
        <f>ROUND(O3/产出与消耗!S26,4)</f>
        <v>0.1865</v>
      </c>
      <c r="Q3" s="9">
        <v>3</v>
      </c>
      <c r="R3" s="10">
        <f t="shared" ref="R3:R21" si="8">ROUND(Q3*C3,0)</f>
        <v>693</v>
      </c>
      <c r="S3" s="5">
        <f>ROUND(R3/产出与消耗!S48,4)</f>
        <v>6.8500000000000005E-2</v>
      </c>
      <c r="T3" s="8">
        <f t="shared" ref="T3" si="9">M3+P3+S3</f>
        <v>0.43720000000000003</v>
      </c>
      <c r="U3" s="5">
        <f t="shared" ref="U3" si="10">M3+M24+M45+M66+M87+M108+M129+M150+M171+M192+M213+M234</f>
        <v>0.63759999999999994</v>
      </c>
      <c r="V3" s="5">
        <f t="shared" ref="V3" si="11">P3+P24+P45+P66+P87+P108+P129+P150+P171+P192+P213+P234</f>
        <v>0.58030000000000004</v>
      </c>
      <c r="W3" s="5">
        <f t="shared" ref="W3" si="12">S3+S24+S45+S66+S87+S108+S129+S150+S171+S192+S213+S234</f>
        <v>0.4335</v>
      </c>
    </row>
    <row r="4" spans="1:23">
      <c r="B4">
        <v>3</v>
      </c>
      <c r="C4">
        <f>ROUND(C5-(C6-C5)/(产出与消耗!$K$7-产出与消耗!$K$6)*(产出与消耗!$K$6-产出与消耗!$K$5),0)</f>
        <v>343</v>
      </c>
      <c r="D4" s="9">
        <v>2</v>
      </c>
      <c r="E4">
        <f>ROUND(D4*C4/3600/(建筑!G88*基本公式!$B$154),2)</f>
        <v>0.1</v>
      </c>
      <c r="F4" s="9">
        <v>10</v>
      </c>
      <c r="G4" s="10">
        <f t="shared" si="4"/>
        <v>3430</v>
      </c>
      <c r="H4" s="10">
        <f t="shared" ref="H4:H21" si="13">ROUND((G4+G25+G46+G67+G88+G109+G130+G151+G172+G193+G214+G235)/12,0)</f>
        <v>1058</v>
      </c>
      <c r="I4" s="10">
        <f>H4*其他表格!X4</f>
        <v>2116</v>
      </c>
      <c r="J4" s="11">
        <f>ROUND(C5-(C6-C5)/(产出与消耗!K7-产出与消耗!K6)*(产出与消耗!K6-产出与消耗!K5),0)</f>
        <v>343</v>
      </c>
      <c r="K4" s="9">
        <v>8</v>
      </c>
      <c r="L4" s="10">
        <f t="shared" si="6"/>
        <v>2744</v>
      </c>
      <c r="M4" s="5">
        <f>ROUND(L4/产出与消耗!S5,4)</f>
        <v>0.1968</v>
      </c>
      <c r="N4" s="9">
        <v>9</v>
      </c>
      <c r="O4" s="10">
        <f t="shared" si="7"/>
        <v>3087</v>
      </c>
      <c r="P4" s="5">
        <f>ROUND(O4/产出与消耗!S27,4)</f>
        <v>0.20660000000000001</v>
      </c>
      <c r="Q4" s="9">
        <v>3</v>
      </c>
      <c r="R4" s="10">
        <f t="shared" si="8"/>
        <v>1029</v>
      </c>
      <c r="S4" s="5">
        <f>ROUND(R4/产出与消耗!S49,4)</f>
        <v>7.4499999999999997E-2</v>
      </c>
      <c r="T4" s="8">
        <f t="shared" ref="T4:T21" si="14">M4+P4+S4</f>
        <v>0.47789999999999999</v>
      </c>
      <c r="U4" s="5">
        <f t="shared" ref="U4:U21" si="15">M4+M25+M46+M67+M88+M109+M130+M151+M172+M193+M214+M235</f>
        <v>0.68880000000000008</v>
      </c>
      <c r="V4" s="5">
        <f t="shared" ref="V4:V21" si="16">P4+P25+P46+P67+P88+P109+P130+P151+P172+P193+P214+P235</f>
        <v>0.64270000000000005</v>
      </c>
      <c r="W4" s="5">
        <f t="shared" ref="W4:W21" si="17">S4+S25+S46+S67+S88+S109+S130+S151+S172+S193+S214+S235</f>
        <v>0.47189999999999999</v>
      </c>
    </row>
    <row r="5" spans="1:23">
      <c r="B5">
        <v>4</v>
      </c>
      <c r="C5">
        <f>ROUND(C6-(C7-C6)/(产出与消耗!$K$8-产出与消耗!$K$7)*(产出与消耗!$K$7-产出与消耗!$K$6),0)</f>
        <v>568</v>
      </c>
      <c r="D5" s="9">
        <v>2</v>
      </c>
      <c r="E5">
        <f>ROUND(D5*C5/3600/(建筑!G89*基本公式!$B$154),2)</f>
        <v>0.16</v>
      </c>
      <c r="F5" s="9">
        <v>10</v>
      </c>
      <c r="G5" s="10">
        <f t="shared" si="4"/>
        <v>5680</v>
      </c>
      <c r="H5" s="10">
        <f t="shared" si="13"/>
        <v>1751</v>
      </c>
      <c r="I5" s="10">
        <f>H5*其他表格!X5</f>
        <v>5253</v>
      </c>
      <c r="J5" s="11">
        <f>ROUND(C6-(C7-C6)/(产出与消耗!K8-产出与消耗!K7)*(产出与消耗!K7-产出与消耗!K6),0)</f>
        <v>568</v>
      </c>
      <c r="K5" s="9">
        <v>8</v>
      </c>
      <c r="L5" s="10">
        <f t="shared" si="6"/>
        <v>4544</v>
      </c>
      <c r="M5" s="5">
        <f>ROUND(L5/产出与消耗!S6,4)</f>
        <v>0.24160000000000001</v>
      </c>
      <c r="N5" s="9">
        <v>9</v>
      </c>
      <c r="O5" s="10">
        <f t="shared" si="7"/>
        <v>5112</v>
      </c>
      <c r="P5" s="5">
        <f>ROUND(O5/产出与消耗!S28,4)</f>
        <v>0.2581</v>
      </c>
      <c r="Q5" s="9">
        <v>3</v>
      </c>
      <c r="R5" s="10">
        <f t="shared" si="8"/>
        <v>1704</v>
      </c>
      <c r="S5" s="5">
        <f>ROUND(R5/产出与消耗!S50,4)</f>
        <v>9.3299999999999994E-2</v>
      </c>
      <c r="T5" s="8">
        <f t="shared" si="14"/>
        <v>0.59299999999999997</v>
      </c>
      <c r="U5" s="5">
        <f t="shared" si="15"/>
        <v>0.84560000000000002</v>
      </c>
      <c r="V5" s="5">
        <f t="shared" si="16"/>
        <v>0.80289999999999995</v>
      </c>
      <c r="W5" s="5">
        <f t="shared" si="17"/>
        <v>0.59089999999999998</v>
      </c>
    </row>
    <row r="6" spans="1:23">
      <c r="B6">
        <v>5</v>
      </c>
      <c r="C6">
        <f>ROUND(C7-(C8-C7)/(产出与消耗!$K$9-产出与消耗!$K$8)*(产出与消耗!$K$8-产出与消耗!$K$7),0)</f>
        <v>905</v>
      </c>
      <c r="D6" s="9">
        <v>2</v>
      </c>
      <c r="E6">
        <f>ROUND(D6*C6/3600/(建筑!G90*基本公式!$B$154),2)</f>
        <v>0.25</v>
      </c>
      <c r="F6" s="9">
        <v>10</v>
      </c>
      <c r="G6" s="10">
        <f t="shared" si="4"/>
        <v>9050</v>
      </c>
      <c r="H6" s="10">
        <f t="shared" si="13"/>
        <v>2916</v>
      </c>
      <c r="I6" s="10">
        <f>H6*其他表格!X6</f>
        <v>11664</v>
      </c>
      <c r="J6" s="11">
        <f>ROUND(C7-(C8-C7)/(产出与消耗!K9-产出与消耗!K8)*(产出与消耗!K8-产出与消耗!K7),0)</f>
        <v>905</v>
      </c>
      <c r="K6" s="9">
        <v>8</v>
      </c>
      <c r="L6" s="10">
        <f t="shared" si="6"/>
        <v>7240</v>
      </c>
      <c r="M6" s="5">
        <f>ROUND(L6/产出与消耗!S7,4)</f>
        <v>0.26479999999999998</v>
      </c>
      <c r="N6" s="9">
        <v>9</v>
      </c>
      <c r="O6" s="10">
        <f t="shared" si="7"/>
        <v>8145</v>
      </c>
      <c r="P6" s="5">
        <f>ROUND(O6/产出与消耗!S29,4)</f>
        <v>0.2979</v>
      </c>
      <c r="Q6" s="9">
        <v>3</v>
      </c>
      <c r="R6" s="10">
        <f t="shared" si="8"/>
        <v>2715</v>
      </c>
      <c r="S6" s="5">
        <f>ROUND(R6/产出与消耗!S51,4)</f>
        <v>0.1062</v>
      </c>
      <c r="T6" s="8">
        <f t="shared" si="14"/>
        <v>0.66889999999999994</v>
      </c>
      <c r="U6" s="5">
        <f t="shared" si="15"/>
        <v>1.0098</v>
      </c>
      <c r="V6" s="5">
        <f t="shared" si="16"/>
        <v>1.0086999999999999</v>
      </c>
      <c r="W6" s="5">
        <f t="shared" si="17"/>
        <v>0.72940000000000005</v>
      </c>
    </row>
    <row r="7" spans="1:23">
      <c r="B7">
        <v>6</v>
      </c>
      <c r="C7">
        <f>ROUND(C8-(C9-C8)/(产出与消耗!$K$10-产出与消耗!$K$9)*(产出与消耗!$K$9-产出与消耗!$K$8),0)</f>
        <v>1467</v>
      </c>
      <c r="D7" s="9">
        <v>2</v>
      </c>
      <c r="E7">
        <f>ROUND(D7*C7/3600/(建筑!G91*基本公式!$B$154),2)</f>
        <v>0.41</v>
      </c>
      <c r="F7" s="9">
        <v>10</v>
      </c>
      <c r="G7" s="10">
        <f t="shared" si="4"/>
        <v>14670</v>
      </c>
      <c r="H7" s="10">
        <f t="shared" si="13"/>
        <v>7426</v>
      </c>
      <c r="I7" s="10">
        <f>H7*其他表格!X7</f>
        <v>37130</v>
      </c>
      <c r="J7" s="11">
        <f>ROUND(C8-(C9-C8)/(产出与消耗!K10-产出与消耗!K9)*(产出与消耗!K9-产出与消耗!K8),0)</f>
        <v>1467</v>
      </c>
      <c r="K7" s="9">
        <v>8</v>
      </c>
      <c r="L7" s="10">
        <f t="shared" si="6"/>
        <v>11736</v>
      </c>
      <c r="M7" s="5">
        <f>ROUND(L7/产出与消耗!S8,4)</f>
        <v>0.18559999999999999</v>
      </c>
      <c r="N7" s="9">
        <v>9</v>
      </c>
      <c r="O7" s="10">
        <f t="shared" si="7"/>
        <v>13203</v>
      </c>
      <c r="P7" s="5">
        <f>ROUND(O7/产出与消耗!S30,4)</f>
        <v>0.20880000000000001</v>
      </c>
      <c r="Q7" s="9">
        <v>3</v>
      </c>
      <c r="R7" s="10">
        <f t="shared" si="8"/>
        <v>4401</v>
      </c>
      <c r="S7" s="5">
        <f>ROUND(R7/产出与消耗!S52,4)</f>
        <v>8.2699999999999996E-2</v>
      </c>
      <c r="T7" s="8">
        <f t="shared" si="14"/>
        <v>0.47709999999999997</v>
      </c>
      <c r="U7" s="5">
        <f t="shared" si="15"/>
        <v>1.476</v>
      </c>
      <c r="V7" s="5">
        <f t="shared" si="16"/>
        <v>1.4660999999999997</v>
      </c>
      <c r="W7" s="5">
        <f t="shared" si="17"/>
        <v>1.1554</v>
      </c>
    </row>
    <row r="8" spans="1:23">
      <c r="B8">
        <v>7</v>
      </c>
      <c r="C8">
        <f>ROUND(C9-(C10-C9)/(产出与消耗!$K$11-产出与消耗!$K$10)*(产出与消耗!$K$10-产出与消耗!$K$9),0)</f>
        <v>2367</v>
      </c>
      <c r="D8" s="9">
        <v>2</v>
      </c>
      <c r="E8">
        <f>ROUND(D8*C8/3600/(建筑!G92*基本公式!$B$154),2)</f>
        <v>0.33</v>
      </c>
      <c r="F8" s="9">
        <v>10</v>
      </c>
      <c r="G8" s="10">
        <f t="shared" si="4"/>
        <v>23670</v>
      </c>
      <c r="H8" s="10">
        <f t="shared" si="13"/>
        <v>14625</v>
      </c>
      <c r="I8" s="10">
        <f>H8*其他表格!X8</f>
        <v>87750</v>
      </c>
      <c r="J8" s="11">
        <f>ROUND(C9-(C10-C9)/(产出与消耗!K11-产出与消耗!K10)*(产出与消耗!K10-产出与消耗!K9),0)</f>
        <v>2367</v>
      </c>
      <c r="K8" s="9">
        <v>8</v>
      </c>
      <c r="L8" s="10">
        <f t="shared" si="6"/>
        <v>18936</v>
      </c>
      <c r="M8" s="5">
        <f>ROUND(L8/产出与消耗!S9,4)</f>
        <v>0.1487</v>
      </c>
      <c r="N8" s="9">
        <v>9</v>
      </c>
      <c r="O8" s="10">
        <f t="shared" si="7"/>
        <v>21303</v>
      </c>
      <c r="P8" s="5">
        <f>ROUND(O8/产出与消耗!S31,4)</f>
        <v>0.1673</v>
      </c>
      <c r="Q8" s="9">
        <v>3</v>
      </c>
      <c r="R8" s="10">
        <f t="shared" si="8"/>
        <v>7101</v>
      </c>
      <c r="S8" s="5">
        <f>ROUND(R8/产出与消耗!S53,4)</f>
        <v>6.5699999999999995E-2</v>
      </c>
      <c r="T8" s="8">
        <f t="shared" si="14"/>
        <v>0.38169999999999998</v>
      </c>
      <c r="U8" s="5">
        <f t="shared" si="15"/>
        <v>1.5563</v>
      </c>
      <c r="V8" s="5">
        <f t="shared" si="16"/>
        <v>1.544</v>
      </c>
      <c r="W8" s="5">
        <f t="shared" si="17"/>
        <v>1.2</v>
      </c>
    </row>
    <row r="9" spans="1:23">
      <c r="A9" s="12"/>
      <c r="B9">
        <v>8</v>
      </c>
      <c r="C9">
        <f>ROUND(C10-(C11-C10)/(产出与消耗!$K$12-产出与消耗!$K$11)*(产出与消耗!$K$11-产出与消耗!$K$10),0)</f>
        <v>3829</v>
      </c>
      <c r="D9" s="9">
        <v>2</v>
      </c>
      <c r="E9">
        <f>ROUND(D9*C9/3600/(建筑!G93*基本公式!$B$154),2)</f>
        <v>0.53</v>
      </c>
      <c r="F9" s="9">
        <v>10</v>
      </c>
      <c r="G9" s="10">
        <f t="shared" si="4"/>
        <v>38290</v>
      </c>
      <c r="H9" s="10">
        <f t="shared" si="13"/>
        <v>26291</v>
      </c>
      <c r="I9" s="10">
        <f>H9*其他表格!X9</f>
        <v>184037</v>
      </c>
      <c r="J9" s="11">
        <f>ROUND(C10-(C11-C10)/(产出与消耗!K12-产出与消耗!K11)*(产出与消耗!K11-产出与消耗!K10),0)</f>
        <v>3829</v>
      </c>
      <c r="K9" s="9">
        <v>8</v>
      </c>
      <c r="L9" s="10">
        <f t="shared" si="6"/>
        <v>30632</v>
      </c>
      <c r="M9" s="5">
        <f>ROUND(L9/产出与消耗!S10,4)</f>
        <v>5.79E-2</v>
      </c>
      <c r="N9" s="9">
        <v>9</v>
      </c>
      <c r="O9" s="10">
        <f t="shared" si="7"/>
        <v>34461</v>
      </c>
      <c r="P9" s="5">
        <f>ROUND(O9/产出与消耗!S32,4)</f>
        <v>6.5100000000000005E-2</v>
      </c>
      <c r="Q9" s="9">
        <v>3</v>
      </c>
      <c r="R9" s="10">
        <f t="shared" si="8"/>
        <v>11487</v>
      </c>
      <c r="S9" s="5">
        <f>ROUND(R9/产出与消耗!S54,4)</f>
        <v>2.5399999999999999E-2</v>
      </c>
      <c r="T9" s="8">
        <f t="shared" si="14"/>
        <v>0.1484</v>
      </c>
      <c r="U9" s="5">
        <f t="shared" si="15"/>
        <v>0.69509999999999994</v>
      </c>
      <c r="V9" s="5">
        <f t="shared" si="16"/>
        <v>0.68930000000000002</v>
      </c>
      <c r="W9" s="5">
        <f t="shared" si="17"/>
        <v>0.53110000000000002</v>
      </c>
    </row>
    <row r="10" spans="1:23">
      <c r="B10">
        <v>9</v>
      </c>
      <c r="C10">
        <f>ROUND(C11-(C12-C11)/(产出与消耗!$K$13-产出与消耗!$K$12)*(产出与消耗!$K$12-产出与消耗!$K$11),0)</f>
        <v>5291</v>
      </c>
      <c r="D10" s="9">
        <v>2</v>
      </c>
      <c r="E10">
        <f>ROUND(D10*C10/3600/(建筑!G94*基本公式!$B$154),2)</f>
        <v>0.73</v>
      </c>
      <c r="F10" s="9">
        <v>10</v>
      </c>
      <c r="G10" s="10">
        <f t="shared" si="4"/>
        <v>52910</v>
      </c>
      <c r="H10" s="10">
        <f t="shared" si="13"/>
        <v>37930</v>
      </c>
      <c r="I10" s="10">
        <f>H10*其他表格!X10</f>
        <v>303440</v>
      </c>
      <c r="J10" s="11">
        <f>ROUND(C11-(C12-C11)/(产出与消耗!K13-产出与消耗!K12)*(产出与消耗!K12-产出与消耗!K11),0)</f>
        <v>5291</v>
      </c>
      <c r="K10" s="9">
        <v>8</v>
      </c>
      <c r="L10" s="10">
        <f t="shared" si="6"/>
        <v>42328</v>
      </c>
      <c r="M10" s="5">
        <f>ROUND(L10/产出与消耗!S11,4)</f>
        <v>3.4700000000000002E-2</v>
      </c>
      <c r="N10" s="9">
        <v>9</v>
      </c>
      <c r="O10" s="10">
        <f t="shared" si="7"/>
        <v>47619</v>
      </c>
      <c r="P10" s="5">
        <f>ROUND(O10/产出与消耗!S33,4)</f>
        <v>3.9100000000000003E-2</v>
      </c>
      <c r="Q10" s="9">
        <v>3</v>
      </c>
      <c r="R10" s="10">
        <f t="shared" si="8"/>
        <v>15873</v>
      </c>
      <c r="S10" s="5">
        <f>ROUND(R10/产出与消耗!S55,4)</f>
        <v>1.52E-2</v>
      </c>
      <c r="T10" s="8">
        <f t="shared" si="14"/>
        <v>8.900000000000001E-2</v>
      </c>
      <c r="U10" s="5">
        <f t="shared" si="15"/>
        <v>0.44080000000000003</v>
      </c>
      <c r="V10" s="5">
        <f t="shared" si="16"/>
        <v>0.43689999999999996</v>
      </c>
      <c r="W10" s="5">
        <f t="shared" si="17"/>
        <v>0.33599999999999997</v>
      </c>
    </row>
    <row r="11" spans="1:23">
      <c r="A11" s="17" t="s">
        <v>195</v>
      </c>
      <c r="B11">
        <v>10</v>
      </c>
      <c r="C11">
        <f>ROUND(C12-(C13-C12)/(产出与消耗!$K$14-产出与消耗!$K$13)*(产出与消耗!$K$13-产出与消耗!$K$12),0)</f>
        <v>7653</v>
      </c>
      <c r="D11" s="9">
        <v>2</v>
      </c>
      <c r="E11">
        <f>ROUND(D11*C11/3600/(建筑!G95*基本公式!$B$154),2)</f>
        <v>1.06</v>
      </c>
      <c r="F11" s="9">
        <v>10</v>
      </c>
      <c r="G11" s="10">
        <f t="shared" si="4"/>
        <v>76530</v>
      </c>
      <c r="H11" s="10">
        <f t="shared" si="13"/>
        <v>57682</v>
      </c>
      <c r="I11" s="10">
        <f>H11*其他表格!X11</f>
        <v>519138</v>
      </c>
      <c r="J11" s="11">
        <f>ROUND(C12-(C13-C12)/(产出与消耗!K14-产出与消耗!K13)*(产出与消耗!K13-产出与消耗!K12),0)</f>
        <v>7653</v>
      </c>
      <c r="K11" s="9">
        <v>8</v>
      </c>
      <c r="L11" s="10">
        <f t="shared" si="6"/>
        <v>61224</v>
      </c>
      <c r="M11" s="5">
        <f>ROUND(L11/产出与消耗!S12,4)</f>
        <v>1.5599999999999999E-2</v>
      </c>
      <c r="N11" s="9">
        <v>9</v>
      </c>
      <c r="O11" s="10">
        <f t="shared" si="7"/>
        <v>68877</v>
      </c>
      <c r="P11" s="5">
        <f>ROUND(O11/产出与消耗!S34,4)</f>
        <v>1.7600000000000001E-2</v>
      </c>
      <c r="Q11" s="9">
        <v>3</v>
      </c>
      <c r="R11" s="10">
        <f t="shared" si="8"/>
        <v>22959</v>
      </c>
      <c r="S11" s="5">
        <f>ROUND(R11/产出与消耗!S56,4)</f>
        <v>6.7999999999999996E-3</v>
      </c>
      <c r="T11" s="8">
        <f t="shared" si="14"/>
        <v>0.04</v>
      </c>
      <c r="U11" s="5">
        <f t="shared" si="15"/>
        <v>0.29030000000000006</v>
      </c>
      <c r="V11" s="5">
        <f t="shared" si="16"/>
        <v>0.28550000000000003</v>
      </c>
      <c r="W11" s="5">
        <f t="shared" si="17"/>
        <v>0.22650000000000001</v>
      </c>
    </row>
    <row r="12" spans="1:23">
      <c r="B12">
        <v>11</v>
      </c>
      <c r="C12">
        <f>ROUND(C13-(C14-C13)/(产出与消耗!$K$15-产出与消耗!$K$14)*(产出与消耗!$K$14-产出与消耗!$K$13),0)</f>
        <v>9115</v>
      </c>
      <c r="D12" s="9">
        <v>2</v>
      </c>
      <c r="E12">
        <f>ROUND(D12*C12/3600/(建筑!G96*基本公式!$B$154),2)</f>
        <v>1.27</v>
      </c>
      <c r="F12" s="9">
        <v>10</v>
      </c>
      <c r="G12" s="10">
        <f t="shared" si="4"/>
        <v>91150</v>
      </c>
      <c r="H12" s="10">
        <f t="shared" si="13"/>
        <v>83946</v>
      </c>
      <c r="I12" s="10">
        <f>H12*其他表格!X12</f>
        <v>839460</v>
      </c>
      <c r="J12" s="11">
        <f>ROUND(C13-(C14-C13)/(产出与消耗!K15-产出与消耗!K14)*(产出与消耗!K14-产出与消耗!K13),0)</f>
        <v>9115</v>
      </c>
      <c r="K12" s="9">
        <v>8</v>
      </c>
      <c r="L12" s="10">
        <f t="shared" si="6"/>
        <v>72920</v>
      </c>
      <c r="M12" s="5">
        <f>ROUND(L12/产出与消耗!S13,4)</f>
        <v>9.1000000000000004E-3</v>
      </c>
      <c r="N12" s="9">
        <v>9</v>
      </c>
      <c r="O12" s="10">
        <f t="shared" si="7"/>
        <v>82035</v>
      </c>
      <c r="P12" s="5">
        <f>ROUND(O12/产出与消耗!S35,4)</f>
        <v>1.03E-2</v>
      </c>
      <c r="Q12" s="9">
        <v>3</v>
      </c>
      <c r="R12" s="10">
        <f t="shared" si="8"/>
        <v>27345</v>
      </c>
      <c r="S12" s="5">
        <f>ROUND(R12/产出与消耗!S57,4)</f>
        <v>4.0000000000000001E-3</v>
      </c>
      <c r="T12" s="8">
        <f t="shared" si="14"/>
        <v>2.3400000000000001E-2</v>
      </c>
      <c r="U12" s="5">
        <f t="shared" si="15"/>
        <v>0.76910000000000001</v>
      </c>
      <c r="V12" s="5">
        <f t="shared" si="16"/>
        <v>0.74430000000000007</v>
      </c>
      <c r="W12" s="5">
        <f t="shared" si="17"/>
        <v>0.62890000000000001</v>
      </c>
    </row>
    <row r="13" spans="1:23">
      <c r="B13">
        <v>12</v>
      </c>
      <c r="C13">
        <f>ROUND(C14-(C15-C14)/(产出与消耗!$K$16-产出与消耗!$K$15)*(产出与消耗!$K$15-产出与消耗!$K$14),0)</f>
        <v>12939</v>
      </c>
      <c r="D13" s="9">
        <v>2</v>
      </c>
      <c r="E13">
        <f>ROUND(D13*C13/3600/(建筑!G97*基本公式!$B$154),2)</f>
        <v>1.2</v>
      </c>
      <c r="F13" s="9">
        <v>10</v>
      </c>
      <c r="G13" s="10">
        <f t="shared" si="4"/>
        <v>129390</v>
      </c>
      <c r="H13" s="10">
        <f t="shared" si="13"/>
        <v>150808</v>
      </c>
      <c r="I13" s="10">
        <f>H13*其他表格!X13</f>
        <v>1658888</v>
      </c>
      <c r="J13" s="11">
        <f>ROUND(C14-(C15-C14)/(产出与消耗!K16-产出与消耗!K15)*(产出与消耗!K15-产出与消耗!K14),0)</f>
        <v>12939</v>
      </c>
      <c r="K13" s="9">
        <v>8</v>
      </c>
      <c r="L13" s="10">
        <f t="shared" si="6"/>
        <v>103512</v>
      </c>
      <c r="M13" s="5">
        <f>ROUND(L13/产出与消耗!S14,4)</f>
        <v>4.5999999999999999E-3</v>
      </c>
      <c r="N13" s="9">
        <v>9</v>
      </c>
      <c r="O13" s="10">
        <f t="shared" si="7"/>
        <v>116451</v>
      </c>
      <c r="P13" s="5">
        <f>ROUND(O13/产出与消耗!S36,4)</f>
        <v>5.1999999999999998E-3</v>
      </c>
      <c r="Q13" s="9">
        <v>3</v>
      </c>
      <c r="R13" s="10">
        <f t="shared" si="8"/>
        <v>38817</v>
      </c>
      <c r="S13" s="5">
        <f>ROUND(R13/产出与消耗!S58,4)</f>
        <v>2E-3</v>
      </c>
      <c r="T13" s="8">
        <f t="shared" si="14"/>
        <v>1.18E-2</v>
      </c>
      <c r="U13" s="5">
        <f t="shared" si="15"/>
        <v>0.82800000000000007</v>
      </c>
      <c r="V13" s="5">
        <f t="shared" si="16"/>
        <v>0.79930000000000001</v>
      </c>
      <c r="W13" s="5">
        <f t="shared" si="17"/>
        <v>0.68140000000000001</v>
      </c>
    </row>
    <row r="14" spans="1:23">
      <c r="A14" s="12"/>
      <c r="B14">
        <v>13</v>
      </c>
      <c r="C14">
        <f>ROUND(C15-(C16-C15)/(产出与消耗!$K$17-产出与消耗!$K$16)*(产出与消耗!$K$16-产出与消耗!$K$15),0)</f>
        <v>16201</v>
      </c>
      <c r="D14" s="9">
        <v>2</v>
      </c>
      <c r="E14">
        <f>ROUND(D14*C14/3600/(建筑!G98*基本公式!$B$154),2)</f>
        <v>1.5</v>
      </c>
      <c r="F14" s="9">
        <v>10</v>
      </c>
      <c r="G14" s="10">
        <f t="shared" si="4"/>
        <v>162010</v>
      </c>
      <c r="H14" s="10">
        <f t="shared" si="13"/>
        <v>206345</v>
      </c>
      <c r="I14" s="10">
        <f>H14*其他表格!X14</f>
        <v>2476140</v>
      </c>
      <c r="J14" s="11">
        <f>ROUND(C15-(C16-C15)/(产出与消耗!K17-产出与消耗!K16)*(产出与消耗!K16-产出与消耗!K15),0)</f>
        <v>16201</v>
      </c>
      <c r="K14" s="9">
        <v>8</v>
      </c>
      <c r="L14" s="10">
        <f t="shared" si="6"/>
        <v>129608</v>
      </c>
      <c r="M14" s="5">
        <f>ROUND(L14/产出与消耗!S15,4)</f>
        <v>3.0000000000000001E-3</v>
      </c>
      <c r="N14" s="9">
        <v>9</v>
      </c>
      <c r="O14" s="10">
        <f t="shared" si="7"/>
        <v>145809</v>
      </c>
      <c r="P14" s="5">
        <f>ROUND(O14/产出与消耗!S37,4)</f>
        <v>3.3E-3</v>
      </c>
      <c r="Q14" s="9">
        <v>3</v>
      </c>
      <c r="R14" s="10">
        <f t="shared" si="8"/>
        <v>48603</v>
      </c>
      <c r="S14" s="5">
        <f>ROUND(R14/产出与消耗!S59,4)</f>
        <v>1.2999999999999999E-3</v>
      </c>
      <c r="T14" s="8">
        <f t="shared" si="14"/>
        <v>7.6E-3</v>
      </c>
      <c r="U14" s="5">
        <f t="shared" si="15"/>
        <v>0.66079999999999994</v>
      </c>
      <c r="V14" s="5">
        <f t="shared" si="16"/>
        <v>0.63760000000000006</v>
      </c>
      <c r="W14" s="5">
        <f t="shared" si="17"/>
        <v>0.5444</v>
      </c>
    </row>
    <row r="15" spans="1:23">
      <c r="A15" s="17" t="s">
        <v>196</v>
      </c>
      <c r="B15">
        <v>14</v>
      </c>
      <c r="C15">
        <f>ROUND(C16-(C17-C16)/(产出与消耗!$K$18-产出与消耗!$K$17)*(产出与消耗!$K$17-产出与消耗!$K$16),0)</f>
        <v>19126</v>
      </c>
      <c r="D15" s="9">
        <v>2</v>
      </c>
      <c r="E15">
        <f>ROUND(D15*C15/3600/(建筑!G99*基本公式!$B$154),2)</f>
        <v>1.77</v>
      </c>
      <c r="F15" s="9">
        <v>10</v>
      </c>
      <c r="G15" s="10">
        <f t="shared" si="4"/>
        <v>191260</v>
      </c>
      <c r="H15" s="10">
        <f t="shared" si="13"/>
        <v>254855</v>
      </c>
      <c r="I15" s="10">
        <f>H15*其他表格!X15</f>
        <v>3313115</v>
      </c>
      <c r="J15" s="11">
        <f>ROUND(C16-(C17-C16)/(产出与消耗!K18-产出与消耗!K17)*(产出与消耗!K17-产出与消耗!K16),0)</f>
        <v>19126</v>
      </c>
      <c r="K15" s="9">
        <v>8</v>
      </c>
      <c r="L15" s="10">
        <f t="shared" si="6"/>
        <v>153008</v>
      </c>
      <c r="M15" s="5">
        <f>ROUND(L15/产出与消耗!S16,4)</f>
        <v>1.6999999999999999E-3</v>
      </c>
      <c r="N15" s="9">
        <v>9</v>
      </c>
      <c r="O15" s="10">
        <f t="shared" si="7"/>
        <v>172134</v>
      </c>
      <c r="P15" s="5">
        <f>ROUND(O15/产出与消耗!S38,4)</f>
        <v>1.9E-3</v>
      </c>
      <c r="Q15" s="9">
        <v>3</v>
      </c>
      <c r="R15" s="10">
        <f t="shared" si="8"/>
        <v>57378</v>
      </c>
      <c r="S15" s="5">
        <f>ROUND(R15/产出与消耗!S60,4)</f>
        <v>6.9999999999999999E-4</v>
      </c>
      <c r="T15" s="8">
        <f t="shared" si="14"/>
        <v>4.3E-3</v>
      </c>
      <c r="U15" s="5">
        <f t="shared" si="15"/>
        <v>0.41249999999999998</v>
      </c>
      <c r="V15" s="5">
        <f t="shared" si="16"/>
        <v>0.39789999999999998</v>
      </c>
      <c r="W15" s="5">
        <f t="shared" si="17"/>
        <v>0.34</v>
      </c>
    </row>
    <row r="16" spans="1:23">
      <c r="B16">
        <v>15</v>
      </c>
      <c r="C16">
        <f>ROUND(C17-(C18-C17)/(产出与消耗!$K$19-产出与消耗!$K$18)*(产出与消耗!$K$18-产出与消耗!$K$17),0)</f>
        <v>22501</v>
      </c>
      <c r="D16" s="9">
        <v>2</v>
      </c>
      <c r="E16">
        <f>ROUND(D16*C16/3600/(建筑!G100*基本公式!$B$154),2)</f>
        <v>2.08</v>
      </c>
      <c r="F16" s="9">
        <v>10</v>
      </c>
      <c r="G16" s="10">
        <f t="shared" si="4"/>
        <v>225010</v>
      </c>
      <c r="H16" s="10">
        <f t="shared" si="13"/>
        <v>309413</v>
      </c>
      <c r="I16" s="10">
        <f>H16*其他表格!X16</f>
        <v>4331782</v>
      </c>
      <c r="J16" s="11">
        <f>ROUND(C17-(C18-C17)/(产出与消耗!K19-产出与消耗!K18)*(产出与消耗!K18-产出与消耗!K17),0)</f>
        <v>22501</v>
      </c>
      <c r="K16" s="9">
        <v>8</v>
      </c>
      <c r="L16" s="10">
        <f t="shared" si="6"/>
        <v>180008</v>
      </c>
      <c r="M16" s="5">
        <f>ROUND(L16/产出与消耗!S17,4)</f>
        <v>1.1999999999999999E-3</v>
      </c>
      <c r="N16" s="9">
        <v>9</v>
      </c>
      <c r="O16" s="10">
        <f t="shared" si="7"/>
        <v>202509</v>
      </c>
      <c r="P16" s="5">
        <f>ROUND(O16/产出与消耗!S39,4)</f>
        <v>1.4E-3</v>
      </c>
      <c r="Q16" s="9">
        <v>3</v>
      </c>
      <c r="R16" s="10">
        <f t="shared" si="8"/>
        <v>67503</v>
      </c>
      <c r="S16" s="5">
        <f>ROUND(R16/产出与消耗!S61,4)</f>
        <v>5.0000000000000001E-4</v>
      </c>
      <c r="T16" s="8">
        <f t="shared" si="14"/>
        <v>3.0999999999999999E-3</v>
      </c>
      <c r="U16" s="5">
        <f t="shared" si="15"/>
        <v>0.31559999999999999</v>
      </c>
      <c r="V16" s="5">
        <f t="shared" si="16"/>
        <v>0.30470000000000003</v>
      </c>
      <c r="W16" s="5">
        <f t="shared" si="17"/>
        <v>0.26029999999999998</v>
      </c>
    </row>
    <row r="17" spans="1:23">
      <c r="B17">
        <v>16</v>
      </c>
      <c r="C17">
        <f>ROUND(C18-(C19-C18)/(产出与消耗!$K$20-产出与消耗!$K$19)*(产出与消耗!$K$19-产出与消耗!$K$18),0)</f>
        <v>25876</v>
      </c>
      <c r="D17" s="9">
        <v>2</v>
      </c>
      <c r="E17">
        <f>ROUND(D17*C17/3600/(建筑!G101*基本公式!$B$154),2)</f>
        <v>1.8</v>
      </c>
      <c r="F17" s="9">
        <v>10</v>
      </c>
      <c r="G17" s="10">
        <f t="shared" si="4"/>
        <v>258760</v>
      </c>
      <c r="H17" s="10">
        <f t="shared" si="13"/>
        <v>362622</v>
      </c>
      <c r="I17" s="10">
        <f>H17*其他表格!X17</f>
        <v>5439330</v>
      </c>
      <c r="J17" s="11">
        <f>ROUND(C18-(C19-C18)/(产出与消耗!K20-产出与消耗!K19)*(产出与消耗!K19-产出与消耗!K18),0)</f>
        <v>25876</v>
      </c>
      <c r="K17" s="9">
        <v>8</v>
      </c>
      <c r="L17" s="10">
        <f t="shared" si="6"/>
        <v>207008</v>
      </c>
      <c r="M17" s="5">
        <f>ROUND(L17/产出与消耗!S18,4)</f>
        <v>8.0000000000000004E-4</v>
      </c>
      <c r="N17" s="9">
        <v>9</v>
      </c>
      <c r="O17" s="10">
        <f t="shared" si="7"/>
        <v>232884</v>
      </c>
      <c r="P17" s="5">
        <f>ROUND(O17/产出与消耗!S40,4)</f>
        <v>8.9999999999999998E-4</v>
      </c>
      <c r="Q17" s="9">
        <v>3</v>
      </c>
      <c r="R17" s="10">
        <f t="shared" si="8"/>
        <v>77628</v>
      </c>
      <c r="S17" s="5">
        <f>ROUND(R17/产出与消耗!S62,4)</f>
        <v>2.9999999999999997E-4</v>
      </c>
      <c r="T17" s="8">
        <f t="shared" si="14"/>
        <v>2E-3</v>
      </c>
      <c r="U17" s="5">
        <f t="shared" si="15"/>
        <v>0.20790000000000003</v>
      </c>
      <c r="V17" s="5">
        <f t="shared" si="16"/>
        <v>0.20049999999999998</v>
      </c>
      <c r="W17" s="5">
        <f t="shared" si="17"/>
        <v>0.17119999999999996</v>
      </c>
    </row>
    <row r="18" spans="1:23">
      <c r="B18">
        <v>17</v>
      </c>
      <c r="C18">
        <f>ROUND(C19-(C20-C19)/(产出与消耗!$K$21-产出与消耗!$K$20)*(产出与消耗!$K$20-产出与消耗!$K$19),0)</f>
        <v>29588</v>
      </c>
      <c r="D18" s="9">
        <v>2</v>
      </c>
      <c r="E18">
        <f>ROUND(D18*C18/3600/(建筑!G102*基本公式!$B$154),2)</f>
        <v>2.0499999999999998</v>
      </c>
      <c r="F18" s="9">
        <v>10</v>
      </c>
      <c r="G18" s="10">
        <f t="shared" si="4"/>
        <v>295880</v>
      </c>
      <c r="H18" s="10">
        <f t="shared" si="13"/>
        <v>419731</v>
      </c>
      <c r="I18" s="10">
        <f>H18*其他表格!X18</f>
        <v>6715696</v>
      </c>
      <c r="J18" s="11">
        <f>ROUND(C19-(C20-C19)/(产出与消耗!K21-产出与消耗!K20)*(产出与消耗!K20-产出与消耗!K19),0)</f>
        <v>29588</v>
      </c>
      <c r="K18" s="9">
        <v>8</v>
      </c>
      <c r="L18" s="10">
        <f t="shared" si="6"/>
        <v>236704</v>
      </c>
      <c r="M18" s="5">
        <f>ROUND(L18/产出与消耗!S19,4)</f>
        <v>5.9999999999999995E-4</v>
      </c>
      <c r="N18" s="9">
        <v>9</v>
      </c>
      <c r="O18" s="10">
        <f t="shared" si="7"/>
        <v>266292</v>
      </c>
      <c r="P18" s="5">
        <f>ROUND(O18/产出与消耗!S41,4)</f>
        <v>6.9999999999999999E-4</v>
      </c>
      <c r="Q18" s="9">
        <v>3</v>
      </c>
      <c r="R18" s="10">
        <f t="shared" si="8"/>
        <v>88764</v>
      </c>
      <c r="S18" s="5">
        <f>ROUND(R18/产出与消耗!S63,4)</f>
        <v>2.9999999999999997E-4</v>
      </c>
      <c r="T18" s="8">
        <f t="shared" si="14"/>
        <v>1.5999999999999999E-3</v>
      </c>
      <c r="U18" s="5">
        <f t="shared" si="15"/>
        <v>0.1628</v>
      </c>
      <c r="V18" s="5">
        <f t="shared" si="16"/>
        <v>0.15720000000000001</v>
      </c>
      <c r="W18" s="5">
        <f t="shared" si="17"/>
        <v>0.13450000000000001</v>
      </c>
    </row>
    <row r="19" spans="1:23">
      <c r="B19">
        <v>18</v>
      </c>
      <c r="C19">
        <f>ROUND(C20-(C21-C20)/(产出与消耗!$K$22-产出与消耗!$K$21)*(产出与消耗!$K$21-产出与消耗!$K$20),0)</f>
        <v>33750</v>
      </c>
      <c r="D19" s="9">
        <v>2</v>
      </c>
      <c r="E19">
        <f>ROUND(D19*C19/3600/(建筑!G103*基本公式!$B$154),2)</f>
        <v>2.34</v>
      </c>
      <c r="F19" s="9">
        <v>10</v>
      </c>
      <c r="G19" s="10">
        <f t="shared" si="4"/>
        <v>337500</v>
      </c>
      <c r="H19" s="10">
        <f t="shared" si="13"/>
        <v>482244</v>
      </c>
      <c r="I19" s="10">
        <f>H19*其他表格!X19</f>
        <v>8198148</v>
      </c>
      <c r="J19" s="11">
        <f>ROUND(C20-(C21-C20)/(产出与消耗!K22-产出与消耗!K21)*(产出与消耗!K21-产出与消耗!K20),0)</f>
        <v>33750</v>
      </c>
      <c r="K19" s="9">
        <v>8</v>
      </c>
      <c r="L19" s="10">
        <f t="shared" si="6"/>
        <v>270000</v>
      </c>
      <c r="M19" s="5">
        <f>ROUND(L19/产出与消耗!S20,4)</f>
        <v>4.0000000000000002E-4</v>
      </c>
      <c r="N19" s="9">
        <v>9</v>
      </c>
      <c r="O19" s="10">
        <f t="shared" si="7"/>
        <v>303750</v>
      </c>
      <c r="P19" s="5">
        <f>ROUND(O19/产出与消耗!S42,4)</f>
        <v>4.0000000000000002E-4</v>
      </c>
      <c r="Q19" s="9">
        <v>3</v>
      </c>
      <c r="R19" s="10">
        <f t="shared" si="8"/>
        <v>101250</v>
      </c>
      <c r="S19" s="5">
        <f>ROUND(R19/产出与消耗!S64,4)</f>
        <v>2.0000000000000001E-4</v>
      </c>
      <c r="T19" s="8">
        <f t="shared" si="14"/>
        <v>1E-3</v>
      </c>
      <c r="U19" s="5">
        <f t="shared" si="15"/>
        <v>0.11279999999999998</v>
      </c>
      <c r="V19" s="5">
        <f t="shared" si="16"/>
        <v>0.10880000000000001</v>
      </c>
      <c r="W19" s="5">
        <f t="shared" si="17"/>
        <v>9.3100000000000002E-2</v>
      </c>
    </row>
    <row r="20" spans="1:23">
      <c r="A20" s="18" t="s">
        <v>197</v>
      </c>
      <c r="B20">
        <v>19</v>
      </c>
      <c r="C20">
        <f>ROUND(产出与消耗!$K$21*C21/产出与消耗!$K$22,0)</f>
        <v>38250</v>
      </c>
      <c r="D20" s="9">
        <v>2</v>
      </c>
      <c r="E20">
        <f>ROUND(D20*C20/3600/(建筑!G104*基本公式!$B$154),2)</f>
        <v>2.66</v>
      </c>
      <c r="F20" s="9">
        <v>10</v>
      </c>
      <c r="G20" s="10">
        <f t="shared" si="4"/>
        <v>382500</v>
      </c>
      <c r="H20" s="10">
        <f t="shared" si="13"/>
        <v>548250</v>
      </c>
      <c r="I20" s="10">
        <f>H20*其他表格!X20</f>
        <v>9868500</v>
      </c>
      <c r="J20" s="11">
        <f>ROUND(产出与消耗!$K$21*C21/产出与消耗!$K$22,0)</f>
        <v>38250</v>
      </c>
      <c r="K20" s="9">
        <v>8</v>
      </c>
      <c r="L20" s="10">
        <f t="shared" si="6"/>
        <v>306000</v>
      </c>
      <c r="M20" s="5">
        <f>ROUND(L20/产出与消耗!S21,4)</f>
        <v>2.9999999999999997E-4</v>
      </c>
      <c r="N20" s="9">
        <v>9</v>
      </c>
      <c r="O20" s="10">
        <f t="shared" si="7"/>
        <v>344250</v>
      </c>
      <c r="P20" s="5">
        <f>ROUND(O20/产出与消耗!S43,4)</f>
        <v>2.9999999999999997E-4</v>
      </c>
      <c r="Q20" s="9">
        <v>3</v>
      </c>
      <c r="R20" s="10">
        <f t="shared" si="8"/>
        <v>114750</v>
      </c>
      <c r="S20" s="5">
        <f>ROUND(R20/产出与消耗!S65,4)</f>
        <v>1E-4</v>
      </c>
      <c r="T20" s="8">
        <f t="shared" si="14"/>
        <v>6.9999999999999999E-4</v>
      </c>
      <c r="U20" s="5">
        <f t="shared" si="15"/>
        <v>8.0500000000000002E-2</v>
      </c>
      <c r="V20" s="5">
        <f t="shared" si="16"/>
        <v>7.7700000000000005E-2</v>
      </c>
      <c r="W20" s="5">
        <f t="shared" si="17"/>
        <v>6.6299999999999998E-2</v>
      </c>
    </row>
    <row r="21" spans="1:23">
      <c r="B21">
        <v>20</v>
      </c>
      <c r="C21">
        <v>45000</v>
      </c>
      <c r="D21" s="9">
        <v>2</v>
      </c>
      <c r="E21">
        <f>ROUND(D21*C21/3600/(建筑!G105*基本公式!$B$154),2)</f>
        <v>2.5</v>
      </c>
      <c r="F21" s="9">
        <v>10</v>
      </c>
      <c r="G21" s="10">
        <f t="shared" si="4"/>
        <v>450000</v>
      </c>
      <c r="H21" s="10">
        <f t="shared" si="13"/>
        <v>645000</v>
      </c>
      <c r="I21" s="10">
        <f>H21*其他表格!X21</f>
        <v>12255000</v>
      </c>
      <c r="J21" s="11">
        <v>45000</v>
      </c>
      <c r="K21" s="9">
        <v>8</v>
      </c>
      <c r="L21" s="10">
        <f t="shared" si="6"/>
        <v>360000</v>
      </c>
      <c r="M21" s="5">
        <f>ROUND(L21/产出与消耗!S22,4)</f>
        <v>2.0000000000000001E-4</v>
      </c>
      <c r="N21" s="9">
        <v>9</v>
      </c>
      <c r="O21" s="10">
        <f t="shared" si="7"/>
        <v>405000</v>
      </c>
      <c r="P21" s="5">
        <f>ROUND(O21/产出与消耗!S44,4)</f>
        <v>2.0000000000000001E-4</v>
      </c>
      <c r="Q21" s="9">
        <v>3</v>
      </c>
      <c r="R21" s="10">
        <f t="shared" si="8"/>
        <v>135000</v>
      </c>
      <c r="S21" s="5">
        <f>ROUND(R21/产出与消耗!S66,4)</f>
        <v>1E-4</v>
      </c>
      <c r="T21" s="8">
        <f t="shared" si="14"/>
        <v>5.0000000000000001E-4</v>
      </c>
      <c r="U21" s="5">
        <f t="shared" si="15"/>
        <v>5.8899999999999994E-2</v>
      </c>
      <c r="V21" s="5">
        <f t="shared" si="16"/>
        <v>5.6799999999999996E-2</v>
      </c>
      <c r="W21" s="5">
        <f t="shared" si="17"/>
        <v>4.8299999999999996E-2</v>
      </c>
    </row>
    <row r="23" spans="1:23">
      <c r="A23" t="s">
        <v>169</v>
      </c>
      <c r="B23">
        <v>1</v>
      </c>
      <c r="C23">
        <f>ROUND(C24-(C25-C24)/(产出与消耗!$K$5-产出与消耗!$K$4)*(产出与消耗!$K$4-产出与消耗!$K$3),0)</f>
        <v>119</v>
      </c>
      <c r="D23" s="9">
        <v>2</v>
      </c>
      <c r="E23">
        <f>ROUND(D23*C23/3600/(建筑!G86*基本公式!$B$154),2)</f>
        <v>0.03</v>
      </c>
      <c r="F23" s="9">
        <v>10</v>
      </c>
      <c r="G23" s="10">
        <f t="shared" ref="G23" si="18">F23*C23</f>
        <v>1190</v>
      </c>
      <c r="K23" s="9">
        <v>6</v>
      </c>
      <c r="L23" s="10">
        <f t="shared" ref="L23" si="19">ROUND(K23*C23,0)</f>
        <v>714</v>
      </c>
      <c r="M23" s="5">
        <f>ROUND(L23/产出与消耗!S3,4)</f>
        <v>0.1018</v>
      </c>
      <c r="N23" s="9">
        <v>3</v>
      </c>
      <c r="O23" s="10">
        <f t="shared" ref="O23" si="20">ROUND(N23*C23,0)</f>
        <v>357</v>
      </c>
      <c r="P23" s="5">
        <f>ROUND(O23/产出与消耗!S25,4)</f>
        <v>4.4600000000000001E-2</v>
      </c>
      <c r="Q23" s="9">
        <v>8</v>
      </c>
      <c r="R23" s="10">
        <f t="shared" ref="R23" si="21">ROUND(Q23*C23,0)</f>
        <v>952</v>
      </c>
      <c r="S23" s="5">
        <f>ROUND(R23/产出与消耗!S47,4)</f>
        <v>0.1358</v>
      </c>
      <c r="T23" s="8">
        <f>M23+P23+S23</f>
        <v>0.28220000000000001</v>
      </c>
    </row>
    <row r="24" spans="1:23">
      <c r="B24">
        <v>2</v>
      </c>
      <c r="C24">
        <f>ROUND(C25-(C26-C25)/(产出与消耗!$K$6-产出与消耗!$K$5)*(产出与消耗!$K$5-产出与消耗!$K$4),0)</f>
        <v>231</v>
      </c>
      <c r="D24" s="9">
        <v>2</v>
      </c>
      <c r="E24">
        <f>ROUND(D24*C24/3600/(建筑!G87*基本公式!$B$154),2)</f>
        <v>0.06</v>
      </c>
      <c r="F24" s="9">
        <v>10</v>
      </c>
      <c r="G24" s="10">
        <f t="shared" ref="G24:G42" si="22">F24*C24</f>
        <v>2310</v>
      </c>
      <c r="K24" s="9">
        <v>6</v>
      </c>
      <c r="L24" s="10">
        <f t="shared" ref="L24:L42" si="23">ROUND(K24*C24,0)</f>
        <v>1386</v>
      </c>
      <c r="M24" s="5">
        <f>ROUND(L24/产出与消耗!S4,4)</f>
        <v>0.1366</v>
      </c>
      <c r="N24" s="9">
        <v>3</v>
      </c>
      <c r="O24" s="10">
        <f t="shared" ref="O24:O42" si="24">ROUND(N24*C24,0)</f>
        <v>693</v>
      </c>
      <c r="P24" s="5">
        <f>ROUND(O24/产出与消耗!S26,4)</f>
        <v>6.2199999999999998E-2</v>
      </c>
      <c r="Q24" s="9">
        <v>8</v>
      </c>
      <c r="R24" s="10">
        <f t="shared" ref="R24:R42" si="25">ROUND(Q24*C24,0)</f>
        <v>1848</v>
      </c>
      <c r="S24" s="5">
        <f>ROUND(R24/产出与消耗!S48,4)</f>
        <v>0.1825</v>
      </c>
      <c r="T24" s="8">
        <f t="shared" ref="T24" si="26">M24+P24+S24</f>
        <v>0.38129999999999997</v>
      </c>
    </row>
    <row r="25" spans="1:23">
      <c r="B25">
        <v>3</v>
      </c>
      <c r="C25">
        <f>ROUND(C26-(C27-C26)/(产出与消耗!$K$7-产出与消耗!$K$6)*(产出与消耗!$K$6-产出与消耗!$K$5),0)</f>
        <v>343</v>
      </c>
      <c r="D25" s="9">
        <v>2</v>
      </c>
      <c r="E25">
        <f>ROUND(D25*C25/3600/(建筑!G88*基本公式!$B$154),2)</f>
        <v>0.1</v>
      </c>
      <c r="F25" s="9">
        <v>10</v>
      </c>
      <c r="G25" s="10">
        <f t="shared" si="22"/>
        <v>3430</v>
      </c>
      <c r="K25" s="9">
        <v>6</v>
      </c>
      <c r="L25" s="10">
        <f t="shared" si="23"/>
        <v>2058</v>
      </c>
      <c r="M25" s="5">
        <f>ROUND(L25/产出与消耗!S5,4)</f>
        <v>0.14760000000000001</v>
      </c>
      <c r="N25" s="9">
        <v>3</v>
      </c>
      <c r="O25" s="10">
        <f t="shared" si="24"/>
        <v>1029</v>
      </c>
      <c r="P25" s="5">
        <f>ROUND(O25/产出与消耗!S27,4)</f>
        <v>6.8900000000000003E-2</v>
      </c>
      <c r="Q25" s="9">
        <v>8</v>
      </c>
      <c r="R25" s="10">
        <f t="shared" si="25"/>
        <v>2744</v>
      </c>
      <c r="S25" s="5">
        <f>ROUND(R25/产出与消耗!S49,4)</f>
        <v>0.19869999999999999</v>
      </c>
      <c r="T25" s="8">
        <f t="shared" ref="T25:T42" si="27">M25+P25+S25</f>
        <v>0.41520000000000001</v>
      </c>
    </row>
    <row r="26" spans="1:23">
      <c r="B26">
        <v>4</v>
      </c>
      <c r="C26">
        <f>ROUND(C27-(C28-C27)/(产出与消耗!$K$8-产出与消耗!$K$7)*(产出与消耗!$K$7-产出与消耗!$K$6),0)</f>
        <v>568</v>
      </c>
      <c r="D26" s="9">
        <v>2</v>
      </c>
      <c r="E26">
        <f>ROUND(D26*C26/3600/(建筑!G89*基本公式!$B$154),2)</f>
        <v>0.16</v>
      </c>
      <c r="F26" s="9">
        <v>10</v>
      </c>
      <c r="G26" s="10">
        <f t="shared" si="22"/>
        <v>5680</v>
      </c>
      <c r="K26" s="9">
        <v>6</v>
      </c>
      <c r="L26" s="10">
        <f t="shared" si="23"/>
        <v>3408</v>
      </c>
      <c r="M26" s="5">
        <f>ROUND(L26/产出与消耗!S6,4)</f>
        <v>0.1812</v>
      </c>
      <c r="N26" s="9">
        <v>3</v>
      </c>
      <c r="O26" s="10">
        <f t="shared" si="24"/>
        <v>1704</v>
      </c>
      <c r="P26" s="5">
        <f>ROUND(O26/产出与消耗!S28,4)</f>
        <v>8.5999999999999993E-2</v>
      </c>
      <c r="Q26" s="9">
        <v>8</v>
      </c>
      <c r="R26" s="10">
        <f t="shared" si="25"/>
        <v>4544</v>
      </c>
      <c r="S26" s="5">
        <f>ROUND(R26/产出与消耗!S50,4)</f>
        <v>0.24879999999999999</v>
      </c>
      <c r="T26" s="8">
        <f t="shared" si="27"/>
        <v>0.51600000000000001</v>
      </c>
    </row>
    <row r="27" spans="1:23">
      <c r="B27">
        <v>5</v>
      </c>
      <c r="C27">
        <f>ROUND(C28-(C29-C28)/(产出与消耗!$K$9-产出与消耗!$K$8)*(产出与消耗!$K$8-产出与消耗!$K$7),0)</f>
        <v>905</v>
      </c>
      <c r="D27" s="9">
        <v>2</v>
      </c>
      <c r="E27">
        <f>ROUND(D27*C27/3600/(建筑!G90*基本公式!$B$154),2)</f>
        <v>0.25</v>
      </c>
      <c r="F27" s="9">
        <v>10</v>
      </c>
      <c r="G27" s="10">
        <f t="shared" si="22"/>
        <v>9050</v>
      </c>
      <c r="K27" s="9">
        <v>6</v>
      </c>
      <c r="L27" s="10">
        <f t="shared" si="23"/>
        <v>5430</v>
      </c>
      <c r="M27" s="5">
        <f>ROUND(L27/产出与消耗!S7,4)</f>
        <v>0.1986</v>
      </c>
      <c r="N27" s="9">
        <v>3</v>
      </c>
      <c r="O27" s="10">
        <f t="shared" si="24"/>
        <v>2715</v>
      </c>
      <c r="P27" s="5">
        <f>ROUND(O27/产出与消耗!S29,4)</f>
        <v>9.9299999999999999E-2</v>
      </c>
      <c r="Q27" s="9">
        <v>8</v>
      </c>
      <c r="R27" s="10">
        <f t="shared" si="25"/>
        <v>7240</v>
      </c>
      <c r="S27" s="5">
        <f>ROUND(R27/产出与消耗!S51,4)</f>
        <v>0.28310000000000002</v>
      </c>
      <c r="T27" s="8">
        <f t="shared" si="27"/>
        <v>0.58099999999999996</v>
      </c>
    </row>
    <row r="28" spans="1:23">
      <c r="B28">
        <v>6</v>
      </c>
      <c r="C28">
        <f>ROUND(C29-(C30-C29)/(产出与消耗!$K$10-产出与消耗!$K$9)*(产出与消耗!$K$9-产出与消耗!$K$8),0)</f>
        <v>1467</v>
      </c>
      <c r="D28" s="9">
        <v>2</v>
      </c>
      <c r="E28">
        <f>ROUND(D28*C28/3600/(建筑!G91*基本公式!$B$154),2)</f>
        <v>0.41</v>
      </c>
      <c r="F28" s="9">
        <v>10</v>
      </c>
      <c r="G28" s="10">
        <f t="shared" si="22"/>
        <v>14670</v>
      </c>
      <c r="K28" s="9">
        <v>6</v>
      </c>
      <c r="L28" s="10">
        <f t="shared" si="23"/>
        <v>8802</v>
      </c>
      <c r="M28" s="5">
        <f>ROUND(L28/产出与消耗!S8,4)</f>
        <v>0.13919999999999999</v>
      </c>
      <c r="N28" s="9">
        <v>3</v>
      </c>
      <c r="O28" s="10">
        <f t="shared" si="24"/>
        <v>4401</v>
      </c>
      <c r="P28" s="5">
        <f>ROUND(O28/产出与消耗!S30,4)</f>
        <v>6.9599999999999995E-2</v>
      </c>
      <c r="Q28" s="9">
        <v>8</v>
      </c>
      <c r="R28" s="10">
        <f t="shared" si="25"/>
        <v>11736</v>
      </c>
      <c r="S28" s="5">
        <f>ROUND(R28/产出与消耗!S52,4)</f>
        <v>0.22059999999999999</v>
      </c>
      <c r="T28" s="8">
        <f t="shared" si="27"/>
        <v>0.4294</v>
      </c>
    </row>
    <row r="29" spans="1:23">
      <c r="B29">
        <v>7</v>
      </c>
      <c r="C29">
        <f>ROUND(C30-(C31-C30)/(产出与消耗!$K$11-产出与消耗!$K$10)*(产出与消耗!$K$10-产出与消耗!$K$9),0)</f>
        <v>2367</v>
      </c>
      <c r="D29" s="9">
        <v>2</v>
      </c>
      <c r="E29">
        <f>ROUND(D29*C29/3600/(建筑!G92*基本公式!$B$154),2)</f>
        <v>0.33</v>
      </c>
      <c r="F29" s="9">
        <v>10</v>
      </c>
      <c r="G29" s="10">
        <f t="shared" si="22"/>
        <v>23670</v>
      </c>
      <c r="K29" s="9">
        <v>6</v>
      </c>
      <c r="L29" s="10">
        <f t="shared" si="23"/>
        <v>14202</v>
      </c>
      <c r="M29" s="5">
        <f>ROUND(L29/产出与消耗!S9,4)</f>
        <v>0.1115</v>
      </c>
      <c r="N29" s="9">
        <v>3</v>
      </c>
      <c r="O29" s="10">
        <f t="shared" si="24"/>
        <v>7101</v>
      </c>
      <c r="P29" s="5">
        <f>ROUND(O29/产出与消耗!S31,4)</f>
        <v>5.5800000000000002E-2</v>
      </c>
      <c r="Q29" s="9">
        <v>8</v>
      </c>
      <c r="R29" s="10">
        <f t="shared" si="25"/>
        <v>18936</v>
      </c>
      <c r="S29" s="5">
        <f>ROUND(R29/产出与消耗!S53,4)</f>
        <v>0.17510000000000001</v>
      </c>
      <c r="T29" s="8">
        <f t="shared" si="27"/>
        <v>0.34240000000000004</v>
      </c>
    </row>
    <row r="30" spans="1:23">
      <c r="A30" s="12"/>
      <c r="B30">
        <v>8</v>
      </c>
      <c r="C30">
        <f>ROUND(C31-(C32-C31)/(产出与消耗!$K$12-产出与消耗!$K$11)*(产出与消耗!$K$11-产出与消耗!$K$10),0)</f>
        <v>3829</v>
      </c>
      <c r="D30" s="9">
        <v>2</v>
      </c>
      <c r="E30">
        <f>ROUND(D30*C30/3600/(建筑!G93*基本公式!$B$154),2)</f>
        <v>0.53</v>
      </c>
      <c r="F30" s="9">
        <v>10</v>
      </c>
      <c r="G30" s="10">
        <f t="shared" si="22"/>
        <v>38290</v>
      </c>
      <c r="K30" s="9">
        <v>6</v>
      </c>
      <c r="L30" s="10">
        <f t="shared" si="23"/>
        <v>22974</v>
      </c>
      <c r="M30" s="5">
        <f>ROUND(L30/产出与消耗!S10,4)</f>
        <v>4.3400000000000001E-2</v>
      </c>
      <c r="N30" s="9">
        <v>3</v>
      </c>
      <c r="O30" s="10">
        <f t="shared" si="24"/>
        <v>11487</v>
      </c>
      <c r="P30" s="5">
        <f>ROUND(O30/产出与消耗!S32,4)</f>
        <v>2.1700000000000001E-2</v>
      </c>
      <c r="Q30" s="9">
        <v>8</v>
      </c>
      <c r="R30" s="10">
        <f t="shared" si="25"/>
        <v>30632</v>
      </c>
      <c r="S30" s="5">
        <f>ROUND(R30/产出与消耗!S54,4)</f>
        <v>6.7699999999999996E-2</v>
      </c>
      <c r="T30" s="8">
        <f t="shared" si="27"/>
        <v>0.1328</v>
      </c>
    </row>
    <row r="31" spans="1:23">
      <c r="B31">
        <v>9</v>
      </c>
      <c r="C31">
        <f>ROUND(C32-(C33-C32)/(产出与消耗!$K$13-产出与消耗!$K$12)*(产出与消耗!$K$12-产出与消耗!$K$11),0)</f>
        <v>5291</v>
      </c>
      <c r="D31" s="9">
        <v>2</v>
      </c>
      <c r="E31">
        <f>ROUND(D31*C31/3600/(建筑!G94*基本公式!$B$154),2)</f>
        <v>0.73</v>
      </c>
      <c r="F31" s="9">
        <v>10</v>
      </c>
      <c r="G31" s="10">
        <f t="shared" si="22"/>
        <v>52910</v>
      </c>
      <c r="K31" s="9">
        <v>6</v>
      </c>
      <c r="L31" s="10">
        <f t="shared" si="23"/>
        <v>31746</v>
      </c>
      <c r="M31" s="5">
        <f>ROUND(L31/产出与消耗!S11,4)</f>
        <v>2.6100000000000002E-2</v>
      </c>
      <c r="N31" s="9">
        <v>3</v>
      </c>
      <c r="O31" s="10">
        <f t="shared" si="24"/>
        <v>15873</v>
      </c>
      <c r="P31" s="5">
        <f>ROUND(O31/产出与消耗!S33,4)</f>
        <v>1.2999999999999999E-2</v>
      </c>
      <c r="Q31" s="9">
        <v>8</v>
      </c>
      <c r="R31" s="10">
        <f t="shared" si="25"/>
        <v>42328</v>
      </c>
      <c r="S31" s="5">
        <f>ROUND(R31/产出与消耗!S55,4)</f>
        <v>4.0599999999999997E-2</v>
      </c>
      <c r="T31" s="8">
        <f t="shared" si="27"/>
        <v>7.9699999999999993E-2</v>
      </c>
    </row>
    <row r="32" spans="1:23">
      <c r="A32" s="17" t="s">
        <v>195</v>
      </c>
      <c r="B32">
        <v>10</v>
      </c>
      <c r="C32">
        <f>ROUND(C33-(C34-C33)/(产出与消耗!$K$14-产出与消耗!$K$13)*(产出与消耗!$K$13-产出与消耗!$K$12),0)</f>
        <v>7653</v>
      </c>
      <c r="D32" s="9">
        <v>2</v>
      </c>
      <c r="E32">
        <f>ROUND(D32*C32/3600/(建筑!G95*基本公式!$B$154),2)</f>
        <v>1.06</v>
      </c>
      <c r="F32" s="9">
        <v>10</v>
      </c>
      <c r="G32" s="10">
        <f t="shared" si="22"/>
        <v>76530</v>
      </c>
      <c r="K32" s="9">
        <v>6</v>
      </c>
      <c r="L32" s="10">
        <f t="shared" si="23"/>
        <v>45918</v>
      </c>
      <c r="M32" s="5">
        <f>ROUND(L32/产出与消耗!S12,4)</f>
        <v>1.17E-2</v>
      </c>
      <c r="N32" s="9">
        <v>3</v>
      </c>
      <c r="O32" s="10">
        <f t="shared" si="24"/>
        <v>22959</v>
      </c>
      <c r="P32" s="5">
        <f>ROUND(O32/产出与消耗!S34,4)</f>
        <v>5.8999999999999999E-3</v>
      </c>
      <c r="Q32" s="9">
        <v>8</v>
      </c>
      <c r="R32" s="10">
        <f t="shared" si="25"/>
        <v>61224</v>
      </c>
      <c r="S32" s="5">
        <f>ROUND(R32/产出与消耗!S56,4)</f>
        <v>1.8200000000000001E-2</v>
      </c>
      <c r="T32" s="8">
        <f t="shared" si="27"/>
        <v>3.5799999999999998E-2</v>
      </c>
    </row>
    <row r="33" spans="1:20">
      <c r="B33">
        <v>11</v>
      </c>
      <c r="C33">
        <f>ROUND(C34-(C35-C34)/(产出与消耗!$K$15-产出与消耗!$K$14)*(产出与消耗!$K$14-产出与消耗!$K$13),0)</f>
        <v>9115</v>
      </c>
      <c r="D33" s="9">
        <v>2</v>
      </c>
      <c r="E33">
        <f>ROUND(D33*C33/3600/(建筑!G96*基本公式!$B$154),2)</f>
        <v>1.27</v>
      </c>
      <c r="F33" s="9">
        <v>10</v>
      </c>
      <c r="G33" s="10">
        <f t="shared" si="22"/>
        <v>91150</v>
      </c>
      <c r="K33" s="9">
        <v>6</v>
      </c>
      <c r="L33" s="10">
        <f t="shared" si="23"/>
        <v>54690</v>
      </c>
      <c r="M33" s="5">
        <f>ROUND(L33/产出与消耗!S13,4)</f>
        <v>6.7999999999999996E-3</v>
      </c>
      <c r="N33" s="9">
        <v>3</v>
      </c>
      <c r="O33" s="10">
        <f t="shared" si="24"/>
        <v>27345</v>
      </c>
      <c r="P33" s="5">
        <f>ROUND(O33/产出与消耗!S35,4)</f>
        <v>3.3999999999999998E-3</v>
      </c>
      <c r="Q33" s="9">
        <v>8</v>
      </c>
      <c r="R33" s="10">
        <f t="shared" si="25"/>
        <v>72920</v>
      </c>
      <c r="S33" s="5">
        <f>ROUND(R33/产出与消耗!S57,4)</f>
        <v>1.0699999999999999E-2</v>
      </c>
      <c r="T33" s="8">
        <f t="shared" si="27"/>
        <v>2.0899999999999998E-2</v>
      </c>
    </row>
    <row r="34" spans="1:20">
      <c r="B34">
        <v>12</v>
      </c>
      <c r="C34">
        <f>ROUND(C35-(C36-C35)/(产出与消耗!$K$16-产出与消耗!$K$15)*(产出与消耗!$K$15-产出与消耗!$K$14),0)</f>
        <v>12939</v>
      </c>
      <c r="D34" s="9">
        <v>2</v>
      </c>
      <c r="E34">
        <f>ROUND(D34*C34/3600/(建筑!G97*基本公式!$B$154),2)</f>
        <v>1.2</v>
      </c>
      <c r="F34" s="9">
        <v>10</v>
      </c>
      <c r="G34" s="10">
        <f t="shared" si="22"/>
        <v>129390</v>
      </c>
      <c r="K34" s="9">
        <v>6</v>
      </c>
      <c r="L34" s="10">
        <f t="shared" si="23"/>
        <v>77634</v>
      </c>
      <c r="M34" s="5">
        <f>ROUND(L34/产出与消耗!S14,4)</f>
        <v>3.3999999999999998E-3</v>
      </c>
      <c r="N34" s="9">
        <v>3</v>
      </c>
      <c r="O34" s="10">
        <f t="shared" si="24"/>
        <v>38817</v>
      </c>
      <c r="P34" s="5">
        <f>ROUND(O34/产出与消耗!S36,4)</f>
        <v>1.6999999999999999E-3</v>
      </c>
      <c r="Q34" s="9">
        <v>8</v>
      </c>
      <c r="R34" s="10">
        <f t="shared" si="25"/>
        <v>103512</v>
      </c>
      <c r="S34" s="5">
        <f>ROUND(R34/产出与消耗!S58,4)</f>
        <v>5.4000000000000003E-3</v>
      </c>
      <c r="T34" s="8">
        <f t="shared" si="27"/>
        <v>1.0499999999999999E-2</v>
      </c>
    </row>
    <row r="35" spans="1:20">
      <c r="A35" s="12"/>
      <c r="B35">
        <v>13</v>
      </c>
      <c r="C35">
        <f>ROUND(C36-(C37-C36)/(产出与消耗!$K$17-产出与消耗!$K$16)*(产出与消耗!$K$16-产出与消耗!$K$15),0)</f>
        <v>16201</v>
      </c>
      <c r="D35" s="9">
        <v>2</v>
      </c>
      <c r="E35">
        <f>ROUND(D35*C35/3600/(建筑!G98*基本公式!$B$154),2)</f>
        <v>1.5</v>
      </c>
      <c r="F35" s="9">
        <v>10</v>
      </c>
      <c r="G35" s="10">
        <f t="shared" si="22"/>
        <v>162010</v>
      </c>
      <c r="K35" s="9">
        <v>6</v>
      </c>
      <c r="L35" s="10">
        <f t="shared" si="23"/>
        <v>97206</v>
      </c>
      <c r="M35" s="5">
        <f>ROUND(L35/产出与消耗!S15,4)</f>
        <v>2.2000000000000001E-3</v>
      </c>
      <c r="N35" s="9">
        <v>3</v>
      </c>
      <c r="O35" s="10">
        <f t="shared" si="24"/>
        <v>48603</v>
      </c>
      <c r="P35" s="5">
        <f>ROUND(O35/产出与消耗!S37,4)</f>
        <v>1.1000000000000001E-3</v>
      </c>
      <c r="Q35" s="9">
        <v>8</v>
      </c>
      <c r="R35" s="10">
        <f t="shared" si="25"/>
        <v>129608</v>
      </c>
      <c r="S35" s="5">
        <f>ROUND(R35/产出与消耗!S59,4)</f>
        <v>3.5000000000000001E-3</v>
      </c>
      <c r="T35" s="8">
        <f t="shared" si="27"/>
        <v>6.8000000000000005E-3</v>
      </c>
    </row>
    <row r="36" spans="1:20">
      <c r="A36" s="17" t="s">
        <v>196</v>
      </c>
      <c r="B36">
        <v>14</v>
      </c>
      <c r="C36">
        <f>ROUND(C37-(C38-C37)/(产出与消耗!$K$18-产出与消耗!$K$17)*(产出与消耗!$K$17-产出与消耗!$K$16),0)</f>
        <v>19126</v>
      </c>
      <c r="D36" s="9">
        <v>2</v>
      </c>
      <c r="E36">
        <f>ROUND(D36*C36/3600/(建筑!G99*基本公式!$B$154),2)</f>
        <v>1.77</v>
      </c>
      <c r="F36" s="9">
        <v>10</v>
      </c>
      <c r="G36" s="10">
        <f t="shared" si="22"/>
        <v>191260</v>
      </c>
      <c r="K36" s="9">
        <v>6</v>
      </c>
      <c r="L36" s="10">
        <f t="shared" si="23"/>
        <v>114756</v>
      </c>
      <c r="M36" s="5">
        <f>ROUND(L36/产出与消耗!S16,4)</f>
        <v>1.2999999999999999E-3</v>
      </c>
      <c r="N36" s="9">
        <v>3</v>
      </c>
      <c r="O36" s="10">
        <f t="shared" si="24"/>
        <v>57378</v>
      </c>
      <c r="P36" s="5">
        <f>ROUND(O36/产出与消耗!S38,4)</f>
        <v>5.9999999999999995E-4</v>
      </c>
      <c r="Q36" s="9">
        <v>8</v>
      </c>
      <c r="R36" s="10">
        <f t="shared" si="25"/>
        <v>153008</v>
      </c>
      <c r="S36" s="5">
        <f>ROUND(R36/产出与消耗!S60,4)</f>
        <v>2E-3</v>
      </c>
      <c r="T36" s="8">
        <f t="shared" si="27"/>
        <v>3.8999999999999998E-3</v>
      </c>
    </row>
    <row r="37" spans="1:20">
      <c r="B37">
        <v>15</v>
      </c>
      <c r="C37">
        <f>ROUND(C38-(C39-C38)/(产出与消耗!$K$19-产出与消耗!$K$18)*(产出与消耗!$K$18-产出与消耗!$K$17),0)</f>
        <v>22501</v>
      </c>
      <c r="D37" s="9">
        <v>2</v>
      </c>
      <c r="E37">
        <f>ROUND(D37*C37/3600/(建筑!G100*基本公式!$B$154),2)</f>
        <v>2.08</v>
      </c>
      <c r="F37" s="9">
        <v>10</v>
      </c>
      <c r="G37" s="10">
        <f t="shared" si="22"/>
        <v>225010</v>
      </c>
      <c r="K37" s="9">
        <v>6</v>
      </c>
      <c r="L37" s="10">
        <f t="shared" si="23"/>
        <v>135006</v>
      </c>
      <c r="M37" s="5">
        <f>ROUND(L37/产出与消耗!S17,4)</f>
        <v>8.9999999999999998E-4</v>
      </c>
      <c r="N37" s="9">
        <v>3</v>
      </c>
      <c r="O37" s="10">
        <f t="shared" si="24"/>
        <v>67503</v>
      </c>
      <c r="P37" s="5">
        <f>ROUND(O37/产出与消耗!S39,4)</f>
        <v>5.0000000000000001E-4</v>
      </c>
      <c r="Q37" s="9">
        <v>8</v>
      </c>
      <c r="R37" s="10">
        <f t="shared" si="25"/>
        <v>180008</v>
      </c>
      <c r="S37" s="5">
        <f>ROUND(R37/产出与消耗!S61,4)</f>
        <v>1.4E-3</v>
      </c>
      <c r="T37" s="8">
        <f t="shared" si="27"/>
        <v>2.8E-3</v>
      </c>
    </row>
    <row r="38" spans="1:20">
      <c r="B38">
        <v>16</v>
      </c>
      <c r="C38">
        <f>ROUND(C39-(C40-C39)/(产出与消耗!$K$20-产出与消耗!$K$19)*(产出与消耗!$K$19-产出与消耗!$K$18),0)</f>
        <v>25876</v>
      </c>
      <c r="D38" s="9">
        <v>2</v>
      </c>
      <c r="E38">
        <f>ROUND(D38*C38/3600/(建筑!G101*基本公式!$B$154),2)</f>
        <v>1.8</v>
      </c>
      <c r="F38" s="9">
        <v>10</v>
      </c>
      <c r="G38" s="10">
        <f t="shared" si="22"/>
        <v>258760</v>
      </c>
      <c r="K38" s="9">
        <v>6</v>
      </c>
      <c r="L38" s="10">
        <f t="shared" si="23"/>
        <v>155256</v>
      </c>
      <c r="M38" s="5">
        <f>ROUND(L38/产出与消耗!S18,4)</f>
        <v>5.9999999999999995E-4</v>
      </c>
      <c r="N38" s="9">
        <v>3</v>
      </c>
      <c r="O38" s="10">
        <f t="shared" si="24"/>
        <v>77628</v>
      </c>
      <c r="P38" s="5">
        <f>ROUND(O38/产出与消耗!S40,4)</f>
        <v>2.9999999999999997E-4</v>
      </c>
      <c r="Q38" s="9">
        <v>8</v>
      </c>
      <c r="R38" s="10">
        <f t="shared" si="25"/>
        <v>207008</v>
      </c>
      <c r="S38" s="5">
        <f>ROUND(R38/产出与消耗!S62,4)</f>
        <v>8.9999999999999998E-4</v>
      </c>
      <c r="T38" s="8">
        <f t="shared" si="27"/>
        <v>1.8E-3</v>
      </c>
    </row>
    <row r="39" spans="1:20">
      <c r="B39">
        <v>17</v>
      </c>
      <c r="C39">
        <f>ROUND(C40-(C41-C40)/(产出与消耗!$K$21-产出与消耗!$K$20)*(产出与消耗!$K$20-产出与消耗!$K$19),0)</f>
        <v>29588</v>
      </c>
      <c r="D39" s="9">
        <v>2</v>
      </c>
      <c r="E39">
        <f>ROUND(D39*C39/3600/(建筑!G102*基本公式!$B$154),2)</f>
        <v>2.0499999999999998</v>
      </c>
      <c r="F39" s="9">
        <v>10</v>
      </c>
      <c r="G39" s="10">
        <f t="shared" si="22"/>
        <v>295880</v>
      </c>
      <c r="K39" s="9">
        <v>6</v>
      </c>
      <c r="L39" s="10">
        <f t="shared" si="23"/>
        <v>177528</v>
      </c>
      <c r="M39" s="5">
        <f>ROUND(L39/产出与消耗!S19,4)</f>
        <v>4.0000000000000002E-4</v>
      </c>
      <c r="N39" s="9">
        <v>3</v>
      </c>
      <c r="O39" s="10">
        <f t="shared" si="24"/>
        <v>88764</v>
      </c>
      <c r="P39" s="5">
        <f>ROUND(O39/产出与消耗!S41,4)</f>
        <v>2.0000000000000001E-4</v>
      </c>
      <c r="Q39" s="9">
        <v>8</v>
      </c>
      <c r="R39" s="10">
        <f t="shared" si="25"/>
        <v>236704</v>
      </c>
      <c r="S39" s="5">
        <f>ROUND(R39/产出与消耗!S63,4)</f>
        <v>6.9999999999999999E-4</v>
      </c>
      <c r="T39" s="8">
        <f t="shared" si="27"/>
        <v>1.2999999999999999E-3</v>
      </c>
    </row>
    <row r="40" spans="1:20">
      <c r="B40">
        <v>18</v>
      </c>
      <c r="C40">
        <f>ROUND(C41-(C42-C41)/(产出与消耗!$K$22-产出与消耗!$K$21)*(产出与消耗!$K$21-产出与消耗!$K$20),0)</f>
        <v>33750</v>
      </c>
      <c r="D40" s="9">
        <v>2</v>
      </c>
      <c r="E40">
        <f>ROUND(D40*C40/3600/(建筑!G103*基本公式!$B$154),2)</f>
        <v>2.34</v>
      </c>
      <c r="F40" s="9">
        <v>10</v>
      </c>
      <c r="G40" s="10">
        <f t="shared" si="22"/>
        <v>337500</v>
      </c>
      <c r="K40" s="9">
        <v>6</v>
      </c>
      <c r="L40" s="10">
        <f t="shared" si="23"/>
        <v>202500</v>
      </c>
      <c r="M40" s="5">
        <f>ROUND(L40/产出与消耗!S20,4)</f>
        <v>2.9999999999999997E-4</v>
      </c>
      <c r="N40" s="9">
        <v>3</v>
      </c>
      <c r="O40" s="10">
        <f t="shared" si="24"/>
        <v>101250</v>
      </c>
      <c r="P40" s="5">
        <f>ROUND(O40/产出与消耗!S42,4)</f>
        <v>1E-4</v>
      </c>
      <c r="Q40" s="9">
        <v>8</v>
      </c>
      <c r="R40" s="10">
        <f t="shared" si="25"/>
        <v>270000</v>
      </c>
      <c r="S40" s="5">
        <f>ROUND(R40/产出与消耗!S64,4)</f>
        <v>5.0000000000000001E-4</v>
      </c>
      <c r="T40" s="8">
        <f t="shared" si="27"/>
        <v>8.9999999999999998E-4</v>
      </c>
    </row>
    <row r="41" spans="1:20">
      <c r="A41" s="18" t="s">
        <v>197</v>
      </c>
      <c r="B41">
        <v>19</v>
      </c>
      <c r="C41">
        <f>ROUND(产出与消耗!$K$21*C42/产出与消耗!$K$22,0)</f>
        <v>38250</v>
      </c>
      <c r="D41" s="9">
        <v>2</v>
      </c>
      <c r="E41">
        <f>ROUND(D41*C41/3600/(建筑!G104*基本公式!$B$154),2)</f>
        <v>2.66</v>
      </c>
      <c r="F41" s="9">
        <v>10</v>
      </c>
      <c r="G41" s="10">
        <f t="shared" si="22"/>
        <v>382500</v>
      </c>
      <c r="K41" s="9">
        <v>6</v>
      </c>
      <c r="L41" s="10">
        <f t="shared" si="23"/>
        <v>229500</v>
      </c>
      <c r="M41" s="5">
        <f>ROUND(L41/产出与消耗!S21,4)</f>
        <v>2.0000000000000001E-4</v>
      </c>
      <c r="N41" s="9">
        <v>3</v>
      </c>
      <c r="O41" s="10">
        <f t="shared" si="24"/>
        <v>114750</v>
      </c>
      <c r="P41" s="5">
        <f>ROUND(O41/产出与消耗!S43,4)</f>
        <v>1E-4</v>
      </c>
      <c r="Q41" s="9">
        <v>8</v>
      </c>
      <c r="R41" s="10">
        <f t="shared" si="25"/>
        <v>306000</v>
      </c>
      <c r="S41" s="5">
        <f>ROUND(R41/产出与消耗!S65,4)</f>
        <v>2.9999999999999997E-4</v>
      </c>
      <c r="T41" s="8">
        <f t="shared" si="27"/>
        <v>6.0000000000000006E-4</v>
      </c>
    </row>
    <row r="42" spans="1:20">
      <c r="B42">
        <v>20</v>
      </c>
      <c r="C42">
        <v>45000</v>
      </c>
      <c r="D42" s="9">
        <v>2</v>
      </c>
      <c r="E42">
        <f>ROUND(D42*C42/3600/(建筑!G105*基本公式!$B$154),2)</f>
        <v>2.5</v>
      </c>
      <c r="F42" s="9">
        <v>10</v>
      </c>
      <c r="G42" s="10">
        <f t="shared" si="22"/>
        <v>450000</v>
      </c>
      <c r="K42" s="9">
        <v>6</v>
      </c>
      <c r="L42" s="10">
        <f t="shared" si="23"/>
        <v>270000</v>
      </c>
      <c r="M42" s="5">
        <f>ROUND(L42/产出与消耗!S22,4)</f>
        <v>2.0000000000000001E-4</v>
      </c>
      <c r="N42" s="9">
        <v>3</v>
      </c>
      <c r="O42" s="10">
        <f t="shared" si="24"/>
        <v>135000</v>
      </c>
      <c r="P42" s="5">
        <f>ROUND(O42/产出与消耗!S44,4)</f>
        <v>1E-4</v>
      </c>
      <c r="Q42" s="9">
        <v>8</v>
      </c>
      <c r="R42" s="10">
        <f t="shared" si="25"/>
        <v>360000</v>
      </c>
      <c r="S42" s="5">
        <f>ROUND(R42/产出与消耗!S66,4)</f>
        <v>2.0000000000000001E-4</v>
      </c>
      <c r="T42" s="8">
        <f t="shared" si="27"/>
        <v>5.0000000000000001E-4</v>
      </c>
    </row>
    <row r="44" spans="1:20">
      <c r="A44" t="s">
        <v>175</v>
      </c>
      <c r="B44">
        <v>1</v>
      </c>
      <c r="C44">
        <f>ROUND(C45-(C46-C45)/(产出与消耗!$K$5-产出与消耗!$K$4)*(产出与消耗!$K$4-产出与消耗!$K$3),0)</f>
        <v>119</v>
      </c>
      <c r="D44" s="9">
        <v>1.4</v>
      </c>
      <c r="E44">
        <f>ROUND(D44*C44/3600/(建筑!G86*基本公式!$B$154),2)</f>
        <v>0.02</v>
      </c>
      <c r="F44" s="9">
        <v>12</v>
      </c>
      <c r="G44" s="10">
        <f t="shared" ref="G44" si="28">F44*C44</f>
        <v>1428</v>
      </c>
      <c r="K44" s="9">
        <v>10</v>
      </c>
      <c r="L44" s="10">
        <f t="shared" ref="L44" si="29">ROUND(K44*C44,0)</f>
        <v>1190</v>
      </c>
      <c r="M44" s="5">
        <f>ROUND(L44/产出与消耗!S3,4)</f>
        <v>0.16969999999999999</v>
      </c>
      <c r="N44" s="9">
        <v>8</v>
      </c>
      <c r="O44" s="10">
        <f t="shared" ref="O44" si="30">ROUND(N44*C44,0)</f>
        <v>952</v>
      </c>
      <c r="P44" s="5">
        <f>ROUND(O44/产出与消耗!S25,4)</f>
        <v>0.1188</v>
      </c>
      <c r="Q44" s="9">
        <v>2</v>
      </c>
      <c r="R44" s="10">
        <f t="shared" ref="R44" si="31">ROUND(Q44*C44,0)</f>
        <v>238</v>
      </c>
      <c r="S44" s="5">
        <f>ROUND(R44/产出与消耗!S47,4)</f>
        <v>3.39E-2</v>
      </c>
      <c r="T44" s="8">
        <f>M44+P44+S44</f>
        <v>0.32239999999999996</v>
      </c>
    </row>
    <row r="45" spans="1:20">
      <c r="B45">
        <v>2</v>
      </c>
      <c r="C45">
        <f>ROUND(C46-(C47-C46)/(产出与消耗!$K$6-产出与消耗!$K$5)*(产出与消耗!$K$5-产出与消耗!$K$4),0)</f>
        <v>231</v>
      </c>
      <c r="D45" s="9">
        <v>1.4</v>
      </c>
      <c r="E45">
        <f>ROUND(D45*C45/3600/(建筑!G87*基本公式!$B$154),2)</f>
        <v>0.04</v>
      </c>
      <c r="F45" s="9">
        <v>12</v>
      </c>
      <c r="G45" s="10">
        <f t="shared" ref="G45:G63" si="32">F45*C45</f>
        <v>2772</v>
      </c>
      <c r="K45" s="9">
        <v>10</v>
      </c>
      <c r="L45" s="10">
        <f t="shared" ref="L45:L63" si="33">ROUND(K45*C45,0)</f>
        <v>2310</v>
      </c>
      <c r="M45" s="5">
        <f>ROUND(L45/产出与消耗!S4,4)</f>
        <v>0.22770000000000001</v>
      </c>
      <c r="N45" s="9">
        <v>8</v>
      </c>
      <c r="O45" s="10">
        <f t="shared" ref="O45:O63" si="34">ROUND(N45*C45,0)</f>
        <v>1848</v>
      </c>
      <c r="P45" s="5">
        <f>ROUND(O45/产出与消耗!S26,4)</f>
        <v>0.1658</v>
      </c>
      <c r="Q45" s="9">
        <v>2</v>
      </c>
      <c r="R45" s="10">
        <f t="shared" ref="R45:R63" si="35">ROUND(Q45*C45,0)</f>
        <v>462</v>
      </c>
      <c r="S45" s="5">
        <f>ROUND(R45/产出与消耗!S48,4)</f>
        <v>4.5600000000000002E-2</v>
      </c>
      <c r="T45" s="8">
        <f t="shared" ref="T45" si="36">M45+P45+S45</f>
        <v>0.43910000000000005</v>
      </c>
    </row>
    <row r="46" spans="1:20">
      <c r="B46">
        <v>3</v>
      </c>
      <c r="C46">
        <f>ROUND(C47-(C48-C47)/(产出与消耗!$K$7-产出与消耗!$K$6)*(产出与消耗!$K$6-产出与消耗!$K$5),0)</f>
        <v>343</v>
      </c>
      <c r="D46" s="9">
        <v>1.4</v>
      </c>
      <c r="E46">
        <f>ROUND(D46*C46/3600/(建筑!G88*基本公式!$B$154),2)</f>
        <v>7.0000000000000007E-2</v>
      </c>
      <c r="F46" s="9">
        <v>12</v>
      </c>
      <c r="G46" s="10">
        <f t="shared" si="32"/>
        <v>4116</v>
      </c>
      <c r="K46" s="9">
        <v>10</v>
      </c>
      <c r="L46" s="10">
        <f t="shared" si="33"/>
        <v>3430</v>
      </c>
      <c r="M46" s="5">
        <f>ROUND(L46/产出与消耗!S5,4)</f>
        <v>0.246</v>
      </c>
      <c r="N46" s="9">
        <v>8</v>
      </c>
      <c r="O46" s="10">
        <f t="shared" si="34"/>
        <v>2744</v>
      </c>
      <c r="P46" s="5">
        <f>ROUND(O46/产出与消耗!S27,4)</f>
        <v>0.18360000000000001</v>
      </c>
      <c r="Q46" s="9">
        <v>2</v>
      </c>
      <c r="R46" s="10">
        <f t="shared" si="35"/>
        <v>686</v>
      </c>
      <c r="S46" s="5">
        <f>ROUND(R46/产出与消耗!S49,4)</f>
        <v>4.9700000000000001E-2</v>
      </c>
      <c r="T46" s="8">
        <f t="shared" ref="T46:T63" si="37">M46+P46+S46</f>
        <v>0.4793</v>
      </c>
    </row>
    <row r="47" spans="1:20">
      <c r="B47">
        <v>4</v>
      </c>
      <c r="C47">
        <f>ROUND(C48-(C49-C48)/(产出与消耗!$K$8-产出与消耗!$K$7)*(产出与消耗!$K$7-产出与消耗!$K$6),0)</f>
        <v>568</v>
      </c>
      <c r="D47" s="9">
        <v>1.4</v>
      </c>
      <c r="E47">
        <f>ROUND(D47*C47/3600/(建筑!G89*基本公式!$B$154),2)</f>
        <v>0.11</v>
      </c>
      <c r="F47" s="9">
        <v>12</v>
      </c>
      <c r="G47" s="10">
        <f t="shared" si="32"/>
        <v>6816</v>
      </c>
      <c r="K47" s="9">
        <v>10</v>
      </c>
      <c r="L47" s="10">
        <f t="shared" si="33"/>
        <v>5680</v>
      </c>
      <c r="M47" s="5">
        <f>ROUND(L47/产出与消耗!S6,4)</f>
        <v>0.30199999999999999</v>
      </c>
      <c r="N47" s="9">
        <v>8</v>
      </c>
      <c r="O47" s="10">
        <f t="shared" si="34"/>
        <v>4544</v>
      </c>
      <c r="P47" s="5">
        <f>ROUND(O47/产出与消耗!S28,4)</f>
        <v>0.22939999999999999</v>
      </c>
      <c r="Q47" s="9">
        <v>2</v>
      </c>
      <c r="R47" s="10">
        <f t="shared" si="35"/>
        <v>1136</v>
      </c>
      <c r="S47" s="5">
        <f>ROUND(R47/产出与消耗!S50,4)</f>
        <v>6.2199999999999998E-2</v>
      </c>
      <c r="T47" s="8">
        <f t="shared" si="37"/>
        <v>0.59360000000000002</v>
      </c>
    </row>
    <row r="48" spans="1:20">
      <c r="B48">
        <v>5</v>
      </c>
      <c r="C48">
        <f>ROUND(C49-(C50-C49)/(产出与消耗!$K$9-产出与消耗!$K$8)*(产出与消耗!$K$8-产出与消耗!$K$7),0)</f>
        <v>905</v>
      </c>
      <c r="D48" s="9">
        <v>1.4</v>
      </c>
      <c r="E48">
        <f>ROUND(D48*C48/3600/(建筑!G90*基本公式!$B$154),2)</f>
        <v>0.18</v>
      </c>
      <c r="F48" s="9">
        <v>12</v>
      </c>
      <c r="G48" s="10">
        <f t="shared" si="32"/>
        <v>10860</v>
      </c>
      <c r="K48" s="9">
        <v>10</v>
      </c>
      <c r="L48" s="10">
        <f t="shared" si="33"/>
        <v>9050</v>
      </c>
      <c r="M48" s="5">
        <f>ROUND(L48/产出与消耗!S7,4)</f>
        <v>0.33100000000000002</v>
      </c>
      <c r="N48" s="9">
        <v>8</v>
      </c>
      <c r="O48" s="10">
        <f t="shared" si="34"/>
        <v>7240</v>
      </c>
      <c r="P48" s="5">
        <f>ROUND(O48/产出与消耗!S29,4)</f>
        <v>0.26479999999999998</v>
      </c>
      <c r="Q48" s="9">
        <v>2</v>
      </c>
      <c r="R48" s="10">
        <f t="shared" si="35"/>
        <v>1810</v>
      </c>
      <c r="S48" s="5">
        <f>ROUND(R48/产出与消耗!S51,4)</f>
        <v>7.0800000000000002E-2</v>
      </c>
      <c r="T48" s="8">
        <f t="shared" si="37"/>
        <v>0.66659999999999997</v>
      </c>
    </row>
    <row r="49" spans="1:20">
      <c r="B49">
        <v>6</v>
      </c>
      <c r="C49">
        <f>ROUND(C50-(C51-C50)/(产出与消耗!$K$10-产出与消耗!$K$9)*(产出与消耗!$K$9-产出与消耗!$K$8),0)</f>
        <v>1467</v>
      </c>
      <c r="D49" s="9">
        <v>1.4</v>
      </c>
      <c r="E49">
        <f>ROUND(D49*C49/3600/(建筑!G91*基本公式!$B$154),2)</f>
        <v>0.28999999999999998</v>
      </c>
      <c r="F49" s="9">
        <v>12</v>
      </c>
      <c r="G49" s="10">
        <f t="shared" si="32"/>
        <v>17604</v>
      </c>
      <c r="K49" s="9">
        <v>10</v>
      </c>
      <c r="L49" s="10">
        <f t="shared" si="33"/>
        <v>14670</v>
      </c>
      <c r="M49" s="5">
        <f>ROUND(L49/产出与消耗!S8,4)</f>
        <v>0.23200000000000001</v>
      </c>
      <c r="N49" s="9">
        <v>8</v>
      </c>
      <c r="O49" s="10">
        <f t="shared" si="34"/>
        <v>11736</v>
      </c>
      <c r="P49" s="5">
        <f>ROUND(O49/产出与消耗!S30,4)</f>
        <v>0.18559999999999999</v>
      </c>
      <c r="Q49" s="9">
        <v>2</v>
      </c>
      <c r="R49" s="10">
        <f t="shared" si="35"/>
        <v>2934</v>
      </c>
      <c r="S49" s="5">
        <f>ROUND(R49/产出与消耗!S52,4)</f>
        <v>5.5199999999999999E-2</v>
      </c>
      <c r="T49" s="8">
        <f t="shared" si="37"/>
        <v>0.4728</v>
      </c>
    </row>
    <row r="50" spans="1:20">
      <c r="B50">
        <v>7</v>
      </c>
      <c r="C50">
        <f>ROUND(C51-(C52-C51)/(产出与消耗!$K$11-产出与消耗!$K$10)*(产出与消耗!$K$10-产出与消耗!$K$9),0)</f>
        <v>2367</v>
      </c>
      <c r="D50" s="9">
        <v>1.4</v>
      </c>
      <c r="E50">
        <f>ROUND(D50*C50/3600/(建筑!G92*基本公式!$B$154),2)</f>
        <v>0.23</v>
      </c>
      <c r="F50" s="9">
        <v>12</v>
      </c>
      <c r="G50" s="10">
        <f t="shared" si="32"/>
        <v>28404</v>
      </c>
      <c r="K50" s="9">
        <v>10</v>
      </c>
      <c r="L50" s="10">
        <f t="shared" si="33"/>
        <v>23670</v>
      </c>
      <c r="M50" s="5">
        <f>ROUND(L50/产出与消耗!S9,4)</f>
        <v>0.18590000000000001</v>
      </c>
      <c r="N50" s="9">
        <v>8</v>
      </c>
      <c r="O50" s="10">
        <f t="shared" si="34"/>
        <v>18936</v>
      </c>
      <c r="P50" s="5">
        <f>ROUND(O50/产出与消耗!S31,4)</f>
        <v>0.1487</v>
      </c>
      <c r="Q50" s="9">
        <v>2</v>
      </c>
      <c r="R50" s="10">
        <f t="shared" si="35"/>
        <v>4734</v>
      </c>
      <c r="S50" s="5">
        <f>ROUND(R50/产出与消耗!S53,4)</f>
        <v>4.3799999999999999E-2</v>
      </c>
      <c r="T50" s="8">
        <f t="shared" si="37"/>
        <v>0.37840000000000001</v>
      </c>
    </row>
    <row r="51" spans="1:20">
      <c r="A51" s="12"/>
      <c r="B51">
        <v>8</v>
      </c>
      <c r="C51">
        <f>ROUND(C52-(C53-C52)/(产出与消耗!$K$12-产出与消耗!$K$11)*(产出与消耗!$K$11-产出与消耗!$K$10),0)</f>
        <v>3829</v>
      </c>
      <c r="D51" s="9">
        <v>1.4</v>
      </c>
      <c r="E51">
        <f>ROUND(D51*C51/3600/(建筑!G93*基本公式!$B$154),2)</f>
        <v>0.37</v>
      </c>
      <c r="F51" s="9">
        <v>12</v>
      </c>
      <c r="G51" s="10">
        <f t="shared" si="32"/>
        <v>45948</v>
      </c>
      <c r="K51" s="9">
        <v>10</v>
      </c>
      <c r="L51" s="10">
        <f t="shared" si="33"/>
        <v>38290</v>
      </c>
      <c r="M51" s="5">
        <f>ROUND(L51/产出与消耗!S10,4)</f>
        <v>7.2300000000000003E-2</v>
      </c>
      <c r="N51" s="9">
        <v>8</v>
      </c>
      <c r="O51" s="10">
        <f t="shared" si="34"/>
        <v>30632</v>
      </c>
      <c r="P51" s="5">
        <f>ROUND(O51/产出与消耗!S32,4)</f>
        <v>5.79E-2</v>
      </c>
      <c r="Q51" s="9">
        <v>2</v>
      </c>
      <c r="R51" s="10">
        <f t="shared" si="35"/>
        <v>7658</v>
      </c>
      <c r="S51" s="5">
        <f>ROUND(R51/产出与消耗!S54,4)</f>
        <v>1.6899999999999998E-2</v>
      </c>
      <c r="T51" s="8">
        <f t="shared" si="37"/>
        <v>0.14710000000000001</v>
      </c>
    </row>
    <row r="52" spans="1:20">
      <c r="B52">
        <v>9</v>
      </c>
      <c r="C52">
        <f>ROUND(C53-(C54-C53)/(产出与消耗!$K$13-产出与消耗!$K$12)*(产出与消耗!$K$12-产出与消耗!$K$11),0)</f>
        <v>5291</v>
      </c>
      <c r="D52" s="9">
        <v>1.4</v>
      </c>
      <c r="E52">
        <f>ROUND(D52*C52/3600/(建筑!G94*基本公式!$B$154),2)</f>
        <v>0.51</v>
      </c>
      <c r="F52" s="9">
        <v>12</v>
      </c>
      <c r="G52" s="10">
        <f t="shared" si="32"/>
        <v>63492</v>
      </c>
      <c r="K52" s="9">
        <v>10</v>
      </c>
      <c r="L52" s="10">
        <f t="shared" si="33"/>
        <v>52910</v>
      </c>
      <c r="M52" s="5">
        <f>ROUND(L52/产出与消耗!S11,4)</f>
        <v>4.3400000000000001E-2</v>
      </c>
      <c r="N52" s="9">
        <v>8</v>
      </c>
      <c r="O52" s="10">
        <f t="shared" si="34"/>
        <v>42328</v>
      </c>
      <c r="P52" s="5">
        <f>ROUND(O52/产出与消耗!S33,4)</f>
        <v>3.4700000000000002E-2</v>
      </c>
      <c r="Q52" s="9">
        <v>2</v>
      </c>
      <c r="R52" s="10">
        <f t="shared" si="35"/>
        <v>10582</v>
      </c>
      <c r="S52" s="5">
        <f>ROUND(R52/产出与消耗!S55,4)</f>
        <v>1.01E-2</v>
      </c>
      <c r="T52" s="8">
        <f t="shared" si="37"/>
        <v>8.8200000000000001E-2</v>
      </c>
    </row>
    <row r="53" spans="1:20">
      <c r="A53" s="17" t="s">
        <v>195</v>
      </c>
      <c r="B53">
        <v>10</v>
      </c>
      <c r="C53">
        <f>ROUND(C54-(C55-C54)/(产出与消耗!$K$14-产出与消耗!$K$13)*(产出与消耗!$K$13-产出与消耗!$K$12),0)</f>
        <v>7653</v>
      </c>
      <c r="D53" s="9">
        <v>1.4</v>
      </c>
      <c r="E53">
        <f>ROUND(D53*C53/3600/(建筑!G95*基本公式!$B$154),2)</f>
        <v>0.74</v>
      </c>
      <c r="F53" s="9">
        <v>12</v>
      </c>
      <c r="G53" s="10">
        <f t="shared" si="32"/>
        <v>91836</v>
      </c>
      <c r="K53" s="9">
        <v>10</v>
      </c>
      <c r="L53" s="10">
        <f t="shared" si="33"/>
        <v>76530</v>
      </c>
      <c r="M53" s="5">
        <f>ROUND(L53/产出与消耗!S12,4)</f>
        <v>1.95E-2</v>
      </c>
      <c r="N53" s="9">
        <v>8</v>
      </c>
      <c r="O53" s="10">
        <f t="shared" si="34"/>
        <v>61224</v>
      </c>
      <c r="P53" s="5">
        <f>ROUND(O53/产出与消耗!S34,4)</f>
        <v>1.5599999999999999E-2</v>
      </c>
      <c r="Q53" s="9">
        <v>2</v>
      </c>
      <c r="R53" s="10">
        <f t="shared" si="35"/>
        <v>15306</v>
      </c>
      <c r="S53" s="5">
        <f>ROUND(R53/产出与消耗!S56,4)</f>
        <v>4.5999999999999999E-3</v>
      </c>
      <c r="T53" s="8">
        <f t="shared" si="37"/>
        <v>3.9699999999999999E-2</v>
      </c>
    </row>
    <row r="54" spans="1:20">
      <c r="B54">
        <v>11</v>
      </c>
      <c r="C54">
        <f>ROUND(C55-(C56-C55)/(产出与消耗!$K$15-产出与消耗!$K$14)*(产出与消耗!$K$14-产出与消耗!$K$13),0)</f>
        <v>9115</v>
      </c>
      <c r="D54" s="9">
        <v>1.4</v>
      </c>
      <c r="E54">
        <f>ROUND(D54*C54/3600/(建筑!G96*基本公式!$B$154),2)</f>
        <v>0.89</v>
      </c>
      <c r="F54" s="9">
        <v>12</v>
      </c>
      <c r="G54" s="10">
        <f t="shared" si="32"/>
        <v>109380</v>
      </c>
      <c r="K54" s="9">
        <v>10</v>
      </c>
      <c r="L54" s="10">
        <f t="shared" si="33"/>
        <v>91150</v>
      </c>
      <c r="M54" s="5">
        <f>ROUND(L54/产出与消耗!S13,4)</f>
        <v>1.14E-2</v>
      </c>
      <c r="N54" s="9">
        <v>8</v>
      </c>
      <c r="O54" s="10">
        <f t="shared" si="34"/>
        <v>72920</v>
      </c>
      <c r="P54" s="5">
        <f>ROUND(O54/产出与消耗!S35,4)</f>
        <v>9.1000000000000004E-3</v>
      </c>
      <c r="Q54" s="9">
        <v>2</v>
      </c>
      <c r="R54" s="10">
        <f t="shared" si="35"/>
        <v>18230</v>
      </c>
      <c r="S54" s="5">
        <f>ROUND(R54/产出与消耗!S57,4)</f>
        <v>2.7000000000000001E-3</v>
      </c>
      <c r="T54" s="8">
        <f t="shared" si="37"/>
        <v>2.3200000000000002E-2</v>
      </c>
    </row>
    <row r="55" spans="1:20">
      <c r="B55">
        <v>12</v>
      </c>
      <c r="C55">
        <f>ROUND(C56-(C57-C56)/(产出与消耗!$K$16-产出与消耗!$K$15)*(产出与消耗!$K$15-产出与消耗!$K$14),0)</f>
        <v>12939</v>
      </c>
      <c r="D55" s="9">
        <v>1.4</v>
      </c>
      <c r="E55">
        <f>ROUND(D55*C55/3600/(建筑!G97*基本公式!$B$154),2)</f>
        <v>0.84</v>
      </c>
      <c r="F55" s="9">
        <v>12</v>
      </c>
      <c r="G55" s="10">
        <f t="shared" si="32"/>
        <v>155268</v>
      </c>
      <c r="K55" s="9">
        <v>10</v>
      </c>
      <c r="L55" s="10">
        <f t="shared" si="33"/>
        <v>129390</v>
      </c>
      <c r="M55" s="5">
        <f>ROUND(L55/产出与消耗!S14,4)</f>
        <v>5.7000000000000002E-3</v>
      </c>
      <c r="N55" s="9">
        <v>8</v>
      </c>
      <c r="O55" s="10">
        <f t="shared" si="34"/>
        <v>103512</v>
      </c>
      <c r="P55" s="5">
        <f>ROUND(O55/产出与消耗!S36,4)</f>
        <v>4.5999999999999999E-3</v>
      </c>
      <c r="Q55" s="9">
        <v>2</v>
      </c>
      <c r="R55" s="10">
        <f t="shared" si="35"/>
        <v>25878</v>
      </c>
      <c r="S55" s="5">
        <f>ROUND(R55/产出与消耗!S58,4)</f>
        <v>1.2999999999999999E-3</v>
      </c>
      <c r="T55" s="8">
        <f t="shared" si="37"/>
        <v>1.1599999999999999E-2</v>
      </c>
    </row>
    <row r="56" spans="1:20">
      <c r="A56" s="12"/>
      <c r="B56">
        <v>13</v>
      </c>
      <c r="C56">
        <f>ROUND(C57-(C58-C57)/(产出与消耗!$K$17-产出与消耗!$K$16)*(产出与消耗!$K$16-产出与消耗!$K$15),0)</f>
        <v>16201</v>
      </c>
      <c r="D56" s="9">
        <v>1.4</v>
      </c>
      <c r="E56">
        <f>ROUND(D56*C56/3600/(建筑!G98*基本公式!$B$154),2)</f>
        <v>1.05</v>
      </c>
      <c r="F56" s="9">
        <v>12</v>
      </c>
      <c r="G56" s="10">
        <f t="shared" si="32"/>
        <v>194412</v>
      </c>
      <c r="K56" s="9">
        <v>10</v>
      </c>
      <c r="L56" s="10">
        <f t="shared" si="33"/>
        <v>162010</v>
      </c>
      <c r="M56" s="5">
        <f>ROUND(L56/产出与消耗!S15,4)</f>
        <v>3.7000000000000002E-3</v>
      </c>
      <c r="N56" s="9">
        <v>8</v>
      </c>
      <c r="O56" s="10">
        <f t="shared" si="34"/>
        <v>129608</v>
      </c>
      <c r="P56" s="5">
        <f>ROUND(O56/产出与消耗!S37,4)</f>
        <v>3.0000000000000001E-3</v>
      </c>
      <c r="Q56" s="9">
        <v>2</v>
      </c>
      <c r="R56" s="10">
        <f t="shared" si="35"/>
        <v>32402</v>
      </c>
      <c r="S56" s="5">
        <f>ROUND(R56/产出与消耗!S59,4)</f>
        <v>8.9999999999999998E-4</v>
      </c>
      <c r="T56" s="8">
        <f t="shared" si="37"/>
        <v>7.6E-3</v>
      </c>
    </row>
    <row r="57" spans="1:20">
      <c r="A57" s="17" t="s">
        <v>196</v>
      </c>
      <c r="B57">
        <v>14</v>
      </c>
      <c r="C57">
        <f>ROUND(C58-(C59-C58)/(产出与消耗!$K$18-产出与消耗!$K$17)*(产出与消耗!$K$17-产出与消耗!$K$16),0)</f>
        <v>19126</v>
      </c>
      <c r="D57" s="9">
        <v>1.4</v>
      </c>
      <c r="E57">
        <f>ROUND(D57*C57/3600/(建筑!G99*基本公式!$B$154),2)</f>
        <v>1.24</v>
      </c>
      <c r="F57" s="9">
        <v>12</v>
      </c>
      <c r="G57" s="10">
        <f t="shared" si="32"/>
        <v>229512</v>
      </c>
      <c r="K57" s="9">
        <v>10</v>
      </c>
      <c r="L57" s="10">
        <f t="shared" si="33"/>
        <v>191260</v>
      </c>
      <c r="M57" s="5">
        <f>ROUND(L57/产出与消耗!S16,4)</f>
        <v>2.0999999999999999E-3</v>
      </c>
      <c r="N57" s="9">
        <v>8</v>
      </c>
      <c r="O57" s="10">
        <f t="shared" si="34"/>
        <v>153008</v>
      </c>
      <c r="P57" s="5">
        <f>ROUND(O57/产出与消耗!S38,4)</f>
        <v>1.6999999999999999E-3</v>
      </c>
      <c r="Q57" s="9">
        <v>2</v>
      </c>
      <c r="R57" s="10">
        <f t="shared" si="35"/>
        <v>38252</v>
      </c>
      <c r="S57" s="5">
        <f>ROUND(R57/产出与消耗!S60,4)</f>
        <v>5.0000000000000001E-4</v>
      </c>
      <c r="T57" s="8">
        <f t="shared" si="37"/>
        <v>4.3E-3</v>
      </c>
    </row>
    <row r="58" spans="1:20">
      <c r="B58">
        <v>15</v>
      </c>
      <c r="C58">
        <f>ROUND(C59-(C60-C59)/(产出与消耗!$K$19-产出与消耗!$K$18)*(产出与消耗!$K$18-产出与消耗!$K$17),0)</f>
        <v>22501</v>
      </c>
      <c r="D58" s="9">
        <v>1.4</v>
      </c>
      <c r="E58">
        <f>ROUND(D58*C58/3600/(建筑!G100*基本公式!$B$154),2)</f>
        <v>1.46</v>
      </c>
      <c r="F58" s="9">
        <v>12</v>
      </c>
      <c r="G58" s="10">
        <f t="shared" si="32"/>
        <v>270012</v>
      </c>
      <c r="K58" s="9">
        <v>10</v>
      </c>
      <c r="L58" s="10">
        <f t="shared" si="33"/>
        <v>225010</v>
      </c>
      <c r="M58" s="5">
        <f>ROUND(L58/产出与消耗!S17,4)</f>
        <v>1.5E-3</v>
      </c>
      <c r="N58" s="9">
        <v>8</v>
      </c>
      <c r="O58" s="10">
        <f t="shared" si="34"/>
        <v>180008</v>
      </c>
      <c r="P58" s="5">
        <f>ROUND(O58/产出与消耗!S39,4)</f>
        <v>1.1999999999999999E-3</v>
      </c>
      <c r="Q58" s="9">
        <v>2</v>
      </c>
      <c r="R58" s="10">
        <f t="shared" si="35"/>
        <v>45002</v>
      </c>
      <c r="S58" s="5">
        <f>ROUND(R58/产出与消耗!S61,4)</f>
        <v>4.0000000000000002E-4</v>
      </c>
      <c r="T58" s="8">
        <f t="shared" si="37"/>
        <v>3.1000000000000003E-3</v>
      </c>
    </row>
    <row r="59" spans="1:20">
      <c r="B59">
        <v>16</v>
      </c>
      <c r="C59">
        <f>ROUND(C60-(C61-C60)/(产出与消耗!$K$20-产出与消耗!$K$19)*(产出与消耗!$K$19-产出与消耗!$K$18),0)</f>
        <v>25876</v>
      </c>
      <c r="D59" s="9">
        <v>1.4</v>
      </c>
      <c r="E59">
        <f>ROUND(D59*C59/3600/(建筑!G101*基本公式!$B$154),2)</f>
        <v>1.26</v>
      </c>
      <c r="F59" s="9">
        <v>12</v>
      </c>
      <c r="G59" s="10">
        <f t="shared" si="32"/>
        <v>310512</v>
      </c>
      <c r="K59" s="9">
        <v>10</v>
      </c>
      <c r="L59" s="10">
        <f t="shared" si="33"/>
        <v>258760</v>
      </c>
      <c r="M59" s="5">
        <f>ROUND(L59/产出与消耗!S18,4)</f>
        <v>1E-3</v>
      </c>
      <c r="N59" s="9">
        <v>8</v>
      </c>
      <c r="O59" s="10">
        <f t="shared" si="34"/>
        <v>207008</v>
      </c>
      <c r="P59" s="5">
        <f>ROUND(O59/产出与消耗!S40,4)</f>
        <v>8.0000000000000004E-4</v>
      </c>
      <c r="Q59" s="9">
        <v>2</v>
      </c>
      <c r="R59" s="10">
        <f t="shared" si="35"/>
        <v>51752</v>
      </c>
      <c r="S59" s="5">
        <f>ROUND(R59/产出与消耗!S62,4)</f>
        <v>2.0000000000000001E-4</v>
      </c>
      <c r="T59" s="8">
        <f t="shared" si="37"/>
        <v>2E-3</v>
      </c>
    </row>
    <row r="60" spans="1:20">
      <c r="B60">
        <v>17</v>
      </c>
      <c r="C60">
        <f>ROUND(C61-(C62-C61)/(产出与消耗!$K$21-产出与消耗!$K$20)*(产出与消耗!$K$20-产出与消耗!$K$19),0)</f>
        <v>29588</v>
      </c>
      <c r="D60" s="9">
        <v>1.4</v>
      </c>
      <c r="E60">
        <f>ROUND(D60*C60/3600/(建筑!G102*基本公式!$B$154),2)</f>
        <v>1.44</v>
      </c>
      <c r="F60" s="9">
        <v>12</v>
      </c>
      <c r="G60" s="10">
        <f t="shared" si="32"/>
        <v>355056</v>
      </c>
      <c r="K60" s="9">
        <v>10</v>
      </c>
      <c r="L60" s="10">
        <f t="shared" si="33"/>
        <v>295880</v>
      </c>
      <c r="M60" s="5">
        <f>ROUND(L60/产出与消耗!S19,4)</f>
        <v>6.9999999999999999E-4</v>
      </c>
      <c r="N60" s="9">
        <v>8</v>
      </c>
      <c r="O60" s="10">
        <f t="shared" si="34"/>
        <v>236704</v>
      </c>
      <c r="P60" s="5">
        <f>ROUND(O60/产出与消耗!S41,4)</f>
        <v>5.9999999999999995E-4</v>
      </c>
      <c r="Q60" s="9">
        <v>2</v>
      </c>
      <c r="R60" s="10">
        <f t="shared" si="35"/>
        <v>59176</v>
      </c>
      <c r="S60" s="5">
        <f>ROUND(R60/产出与消耗!S63,4)</f>
        <v>2.0000000000000001E-4</v>
      </c>
      <c r="T60" s="8">
        <f t="shared" si="37"/>
        <v>1.5E-3</v>
      </c>
    </row>
    <row r="61" spans="1:20">
      <c r="B61">
        <v>18</v>
      </c>
      <c r="C61">
        <f>ROUND(C62-(C63-C62)/(产出与消耗!$K$22-产出与消耗!$K$21)*(产出与消耗!$K$21-产出与消耗!$K$20),0)</f>
        <v>33750</v>
      </c>
      <c r="D61" s="9">
        <v>1.4</v>
      </c>
      <c r="E61">
        <f>ROUND(D61*C61/3600/(建筑!G103*基本公式!$B$154),2)</f>
        <v>1.64</v>
      </c>
      <c r="F61" s="9">
        <v>12</v>
      </c>
      <c r="G61" s="10">
        <f t="shared" si="32"/>
        <v>405000</v>
      </c>
      <c r="K61" s="9">
        <v>10</v>
      </c>
      <c r="L61" s="10">
        <f t="shared" si="33"/>
        <v>337500</v>
      </c>
      <c r="M61" s="5">
        <f>ROUND(L61/产出与消耗!S20,4)</f>
        <v>5.0000000000000001E-4</v>
      </c>
      <c r="N61" s="9">
        <v>8</v>
      </c>
      <c r="O61" s="10">
        <f t="shared" si="34"/>
        <v>270000</v>
      </c>
      <c r="P61" s="5">
        <f>ROUND(O61/产出与消耗!S42,4)</f>
        <v>4.0000000000000002E-4</v>
      </c>
      <c r="Q61" s="9">
        <v>2</v>
      </c>
      <c r="R61" s="10">
        <f t="shared" si="35"/>
        <v>67500</v>
      </c>
      <c r="S61" s="5">
        <f>ROUND(R61/产出与消耗!S64,4)</f>
        <v>1E-4</v>
      </c>
      <c r="T61" s="8">
        <f t="shared" si="37"/>
        <v>1E-3</v>
      </c>
    </row>
    <row r="62" spans="1:20">
      <c r="A62" s="18" t="s">
        <v>197</v>
      </c>
      <c r="B62">
        <v>19</v>
      </c>
      <c r="C62">
        <f>ROUND(产出与消耗!$K$21*C63/产出与消耗!$K$22,0)</f>
        <v>38250</v>
      </c>
      <c r="D62" s="9">
        <v>1.4</v>
      </c>
      <c r="E62">
        <f>ROUND(D62*C62/3600/(建筑!G104*基本公式!$B$154),2)</f>
        <v>1.86</v>
      </c>
      <c r="F62" s="9">
        <v>12</v>
      </c>
      <c r="G62" s="10">
        <f t="shared" si="32"/>
        <v>459000</v>
      </c>
      <c r="K62" s="9">
        <v>10</v>
      </c>
      <c r="L62" s="10">
        <f t="shared" si="33"/>
        <v>382500</v>
      </c>
      <c r="M62" s="5">
        <f>ROUND(L62/产出与消耗!S21,4)</f>
        <v>4.0000000000000002E-4</v>
      </c>
      <c r="N62" s="9">
        <v>8</v>
      </c>
      <c r="O62" s="10">
        <f t="shared" si="34"/>
        <v>306000</v>
      </c>
      <c r="P62" s="5">
        <f>ROUND(O62/产出与消耗!S43,4)</f>
        <v>2.9999999999999997E-4</v>
      </c>
      <c r="Q62" s="9">
        <v>2</v>
      </c>
      <c r="R62" s="10">
        <f t="shared" si="35"/>
        <v>76500</v>
      </c>
      <c r="S62" s="5">
        <f>ROUND(R62/产出与消耗!S65,4)</f>
        <v>1E-4</v>
      </c>
      <c r="T62" s="8">
        <f t="shared" si="37"/>
        <v>8.0000000000000004E-4</v>
      </c>
    </row>
    <row r="63" spans="1:20">
      <c r="B63">
        <v>20</v>
      </c>
      <c r="C63">
        <v>45000</v>
      </c>
      <c r="D63" s="9">
        <v>1.4</v>
      </c>
      <c r="E63">
        <f>ROUND(D63*C63/3600/(建筑!G105*基本公式!$B$154),2)</f>
        <v>1.75</v>
      </c>
      <c r="F63" s="9">
        <v>12</v>
      </c>
      <c r="G63" s="10">
        <f t="shared" si="32"/>
        <v>540000</v>
      </c>
      <c r="K63" s="9">
        <v>10</v>
      </c>
      <c r="L63" s="10">
        <f t="shared" si="33"/>
        <v>450000</v>
      </c>
      <c r="M63" s="5">
        <f>ROUND(L63/产出与消耗!S22,4)</f>
        <v>2.9999999999999997E-4</v>
      </c>
      <c r="N63" s="9">
        <v>8</v>
      </c>
      <c r="O63" s="10">
        <f t="shared" si="34"/>
        <v>360000</v>
      </c>
      <c r="P63" s="5">
        <f>ROUND(O63/产出与消耗!S44,4)</f>
        <v>2.0000000000000001E-4</v>
      </c>
      <c r="Q63" s="9">
        <v>2</v>
      </c>
      <c r="R63" s="10">
        <f t="shared" si="35"/>
        <v>90000</v>
      </c>
      <c r="S63" s="5">
        <f>ROUND(R63/产出与消耗!S66,4)</f>
        <v>1E-4</v>
      </c>
      <c r="T63" s="8">
        <f t="shared" si="37"/>
        <v>6.0000000000000006E-4</v>
      </c>
    </row>
    <row r="65" spans="1:20">
      <c r="A65" t="s">
        <v>181</v>
      </c>
      <c r="B65">
        <v>1</v>
      </c>
      <c r="C65">
        <f>ROUND(C66-(C67-C66)/(产出与消耗!$K$5-产出与消耗!$K$4)*(产出与消耗!$K$4-产出与消耗!$K$3),0)</f>
        <v>119</v>
      </c>
      <c r="D65" s="9">
        <v>3</v>
      </c>
      <c r="E65">
        <f>ROUND(D65*C65/3600/建筑!I128,2)</f>
        <v>0.1</v>
      </c>
      <c r="F65" s="9">
        <v>5</v>
      </c>
      <c r="G65" s="10">
        <f t="shared" ref="G65" si="38">F65*C65</f>
        <v>595</v>
      </c>
      <c r="K65" s="9">
        <v>4</v>
      </c>
      <c r="L65" s="10">
        <f t="shared" ref="L65" si="39">ROUND(K65*C65,0)</f>
        <v>476</v>
      </c>
      <c r="M65" s="5">
        <f>ROUND(L65/产出与消耗!S3,4)</f>
        <v>6.7900000000000002E-2</v>
      </c>
      <c r="N65" s="9">
        <v>8</v>
      </c>
      <c r="O65" s="10">
        <f t="shared" ref="O65" si="40">ROUND(N65*C65,0)</f>
        <v>952</v>
      </c>
      <c r="P65" s="5">
        <f>ROUND(O65/产出与消耗!S25,4)</f>
        <v>0.1188</v>
      </c>
      <c r="Q65" s="9">
        <v>6</v>
      </c>
      <c r="R65" s="10">
        <f t="shared" ref="R65" si="41">ROUND(Q65*C65,0)</f>
        <v>714</v>
      </c>
      <c r="S65" s="5">
        <f>ROUND(R65/产出与消耗!S47,4)</f>
        <v>0.1018</v>
      </c>
      <c r="T65" s="8">
        <f>M65+P65+S65</f>
        <v>0.28849999999999998</v>
      </c>
    </row>
    <row r="66" spans="1:20">
      <c r="B66">
        <v>2</v>
      </c>
      <c r="C66">
        <f>ROUND(C67-(C68-C67)/(产出与消耗!$K$6-产出与消耗!$K$5)*(产出与消耗!$K$5-产出与消耗!$K$4),0)</f>
        <v>231</v>
      </c>
      <c r="D66" s="9">
        <v>3</v>
      </c>
      <c r="E66">
        <f>ROUND(D66*C66/3600/建筑!I129,2)</f>
        <v>0.19</v>
      </c>
      <c r="F66" s="9">
        <v>5</v>
      </c>
      <c r="G66" s="10">
        <f t="shared" ref="G66:G84" si="42">F66*C66</f>
        <v>1155</v>
      </c>
      <c r="K66" s="9">
        <v>4</v>
      </c>
      <c r="L66" s="10">
        <f t="shared" ref="L66:L84" si="43">ROUND(K66*C66,0)</f>
        <v>924</v>
      </c>
      <c r="M66" s="5">
        <f>ROUND(L66/产出与消耗!S4,4)</f>
        <v>9.11E-2</v>
      </c>
      <c r="N66" s="9">
        <v>8</v>
      </c>
      <c r="O66" s="10">
        <f t="shared" ref="O66:O84" si="44">ROUND(N66*C66,0)</f>
        <v>1848</v>
      </c>
      <c r="P66" s="5">
        <f>ROUND(O66/产出与消耗!S26,4)</f>
        <v>0.1658</v>
      </c>
      <c r="Q66" s="9">
        <v>6</v>
      </c>
      <c r="R66" s="10">
        <f t="shared" ref="R66:R84" si="45">ROUND(Q66*C66,0)</f>
        <v>1386</v>
      </c>
      <c r="S66" s="5">
        <f>ROUND(R66/产出与消耗!S48,4)</f>
        <v>0.13689999999999999</v>
      </c>
      <c r="T66" s="8">
        <f t="shared" ref="T66" si="46">M66+P66+S66</f>
        <v>0.39380000000000004</v>
      </c>
    </row>
    <row r="67" spans="1:20">
      <c r="B67">
        <v>3</v>
      </c>
      <c r="C67">
        <f>ROUND(C68-(C69-C68)/(产出与消耗!$K$7-产出与消耗!$K$6)*(产出与消耗!$K$6-产出与消耗!$K$5),0)</f>
        <v>343</v>
      </c>
      <c r="D67" s="9">
        <v>3</v>
      </c>
      <c r="E67">
        <f>ROUND(D67*C67/3600/建筑!I130,2)</f>
        <v>0.28999999999999998</v>
      </c>
      <c r="F67" s="9">
        <v>5</v>
      </c>
      <c r="G67" s="10">
        <f t="shared" si="42"/>
        <v>1715</v>
      </c>
      <c r="K67" s="9">
        <v>4</v>
      </c>
      <c r="L67" s="10">
        <f t="shared" si="43"/>
        <v>1372</v>
      </c>
      <c r="M67" s="5">
        <f>ROUND(L67/产出与消耗!S5,4)</f>
        <v>9.8400000000000001E-2</v>
      </c>
      <c r="N67" s="9">
        <v>8</v>
      </c>
      <c r="O67" s="10">
        <f t="shared" si="44"/>
        <v>2744</v>
      </c>
      <c r="P67" s="5">
        <f>ROUND(O67/产出与消耗!S27,4)</f>
        <v>0.18360000000000001</v>
      </c>
      <c r="Q67" s="9">
        <v>6</v>
      </c>
      <c r="R67" s="10">
        <f t="shared" si="45"/>
        <v>2058</v>
      </c>
      <c r="S67" s="5">
        <f>ROUND(R67/产出与消耗!S49,4)</f>
        <v>0.14899999999999999</v>
      </c>
      <c r="T67" s="8">
        <f t="shared" ref="T67:T84" si="47">M67+P67+S67</f>
        <v>0.43100000000000005</v>
      </c>
    </row>
    <row r="68" spans="1:20">
      <c r="B68">
        <v>4</v>
      </c>
      <c r="C68">
        <f>ROUND(C69-(C70-C69)/(产出与消耗!$K$8-产出与消耗!$K$7)*(产出与消耗!$K$7-产出与消耗!$K$6),0)</f>
        <v>568</v>
      </c>
      <c r="D68" s="9">
        <v>3</v>
      </c>
      <c r="E68">
        <f>ROUND(D68*C68/3600/建筑!I131,2)</f>
        <v>0.47</v>
      </c>
      <c r="F68" s="9">
        <v>5</v>
      </c>
      <c r="G68" s="10">
        <f t="shared" si="42"/>
        <v>2840</v>
      </c>
      <c r="K68" s="9">
        <v>4</v>
      </c>
      <c r="L68" s="10">
        <f t="shared" si="43"/>
        <v>2272</v>
      </c>
      <c r="M68" s="5">
        <f>ROUND(L68/产出与消耗!S6,4)</f>
        <v>0.1208</v>
      </c>
      <c r="N68" s="9">
        <v>8</v>
      </c>
      <c r="O68" s="10">
        <f t="shared" si="44"/>
        <v>4544</v>
      </c>
      <c r="P68" s="5">
        <f>ROUND(O68/产出与消耗!S28,4)</f>
        <v>0.22939999999999999</v>
      </c>
      <c r="Q68" s="9">
        <v>6</v>
      </c>
      <c r="R68" s="10">
        <f t="shared" si="45"/>
        <v>3408</v>
      </c>
      <c r="S68" s="5">
        <f>ROUND(R68/产出与消耗!S50,4)</f>
        <v>0.18659999999999999</v>
      </c>
      <c r="T68" s="8">
        <f t="shared" si="47"/>
        <v>0.53679999999999994</v>
      </c>
    </row>
    <row r="69" spans="1:20">
      <c r="B69">
        <v>5</v>
      </c>
      <c r="C69">
        <f>ROUND(C70-(C71-C70)/(产出与消耗!$K$9-产出与消耗!$K$8)*(产出与消耗!$K$8-产出与消耗!$K$7),0)</f>
        <v>905</v>
      </c>
      <c r="D69" s="9">
        <v>3</v>
      </c>
      <c r="E69">
        <f>ROUND(D69*C69/3600/建筑!I132,2)</f>
        <v>0.75</v>
      </c>
      <c r="F69" s="9">
        <v>5</v>
      </c>
      <c r="G69" s="10">
        <f t="shared" si="42"/>
        <v>4525</v>
      </c>
      <c r="K69" s="9">
        <v>4</v>
      </c>
      <c r="L69" s="10">
        <f t="shared" si="43"/>
        <v>3620</v>
      </c>
      <c r="M69" s="5">
        <f>ROUND(L69/产出与消耗!S7,4)</f>
        <v>0.13239999999999999</v>
      </c>
      <c r="N69" s="9">
        <v>8</v>
      </c>
      <c r="O69" s="10">
        <f t="shared" si="44"/>
        <v>7240</v>
      </c>
      <c r="P69" s="5">
        <f>ROUND(O69/产出与消耗!S29,4)</f>
        <v>0.26479999999999998</v>
      </c>
      <c r="Q69" s="9">
        <v>6</v>
      </c>
      <c r="R69" s="10">
        <f t="shared" si="45"/>
        <v>5430</v>
      </c>
      <c r="S69" s="5">
        <f>ROUND(R69/产出与消耗!S51,4)</f>
        <v>0.21229999999999999</v>
      </c>
      <c r="T69" s="8">
        <f t="shared" si="47"/>
        <v>0.60949999999999993</v>
      </c>
    </row>
    <row r="70" spans="1:20">
      <c r="B70">
        <v>6</v>
      </c>
      <c r="C70">
        <f>ROUND(C71-(C72-C71)/(产出与消耗!$K$10-产出与消耗!$K$9)*(产出与消耗!$K$9-产出与消耗!$K$8),0)</f>
        <v>1467</v>
      </c>
      <c r="D70" s="9">
        <v>3</v>
      </c>
      <c r="E70">
        <f>ROUND(D70*C70/3600/建筑!I133,2)</f>
        <v>1.22</v>
      </c>
      <c r="F70" s="9">
        <v>5</v>
      </c>
      <c r="G70" s="10">
        <f t="shared" si="42"/>
        <v>7335</v>
      </c>
      <c r="K70" s="9">
        <v>4</v>
      </c>
      <c r="L70" s="10">
        <f t="shared" si="43"/>
        <v>5868</v>
      </c>
      <c r="M70" s="5">
        <f>ROUND(L70/产出与消耗!S8,4)</f>
        <v>9.2799999999999994E-2</v>
      </c>
      <c r="N70" s="9">
        <v>8</v>
      </c>
      <c r="O70" s="10">
        <f t="shared" si="44"/>
        <v>11736</v>
      </c>
      <c r="P70" s="5">
        <f>ROUND(O70/产出与消耗!S30,4)</f>
        <v>0.18559999999999999</v>
      </c>
      <c r="Q70" s="9">
        <v>6</v>
      </c>
      <c r="R70" s="10">
        <f t="shared" si="45"/>
        <v>8802</v>
      </c>
      <c r="S70" s="5">
        <f>ROUND(R70/产出与消耗!S52,4)</f>
        <v>0.16550000000000001</v>
      </c>
      <c r="T70" s="8">
        <f t="shared" si="47"/>
        <v>0.44389999999999996</v>
      </c>
    </row>
    <row r="71" spans="1:20">
      <c r="B71">
        <v>7</v>
      </c>
      <c r="C71">
        <f>ROUND(C72-(C73-C72)/(产出与消耗!$K$11-产出与消耗!$K$10)*(产出与消耗!$K$10-产出与消耗!$K$9),0)</f>
        <v>2367</v>
      </c>
      <c r="D71" s="9">
        <v>3</v>
      </c>
      <c r="E71">
        <f>ROUND(D71*C71/3600/建筑!I134,2)</f>
        <v>0.99</v>
      </c>
      <c r="F71" s="9">
        <v>5</v>
      </c>
      <c r="G71" s="10">
        <f t="shared" si="42"/>
        <v>11835</v>
      </c>
      <c r="K71" s="9">
        <v>4</v>
      </c>
      <c r="L71" s="10">
        <f t="shared" si="43"/>
        <v>9468</v>
      </c>
      <c r="M71" s="5">
        <f>ROUND(L71/产出与消耗!S9,4)</f>
        <v>7.4399999999999994E-2</v>
      </c>
      <c r="N71" s="9">
        <v>8</v>
      </c>
      <c r="O71" s="10">
        <f t="shared" si="44"/>
        <v>18936</v>
      </c>
      <c r="P71" s="5">
        <f>ROUND(O71/产出与消耗!S31,4)</f>
        <v>0.1487</v>
      </c>
      <c r="Q71" s="9">
        <v>6</v>
      </c>
      <c r="R71" s="10">
        <f t="shared" si="45"/>
        <v>14202</v>
      </c>
      <c r="S71" s="5">
        <f>ROUND(R71/产出与消耗!S53,4)</f>
        <v>0.1313</v>
      </c>
      <c r="T71" s="8">
        <f t="shared" si="47"/>
        <v>0.35439999999999999</v>
      </c>
    </row>
    <row r="72" spans="1:20">
      <c r="A72" s="12"/>
      <c r="B72">
        <v>8</v>
      </c>
      <c r="C72">
        <f>ROUND(C73-(C74-C73)/(产出与消耗!$K$12-产出与消耗!$K$11)*(产出与消耗!$K$11-产出与消耗!$K$10),0)</f>
        <v>3829</v>
      </c>
      <c r="D72" s="9">
        <v>3</v>
      </c>
      <c r="E72">
        <f>ROUND(D72*C72/3600/建筑!I135,2)</f>
        <v>1.6</v>
      </c>
      <c r="F72" s="9">
        <v>5</v>
      </c>
      <c r="G72" s="10">
        <f t="shared" si="42"/>
        <v>19145</v>
      </c>
      <c r="K72" s="9">
        <v>4</v>
      </c>
      <c r="L72" s="10">
        <f t="shared" si="43"/>
        <v>15316</v>
      </c>
      <c r="M72" s="5">
        <f>ROUND(L72/产出与消耗!S10,4)</f>
        <v>2.8899999999999999E-2</v>
      </c>
      <c r="N72" s="9">
        <v>8</v>
      </c>
      <c r="O72" s="10">
        <f t="shared" si="44"/>
        <v>30632</v>
      </c>
      <c r="P72" s="5">
        <f>ROUND(O72/产出与消耗!S32,4)</f>
        <v>5.79E-2</v>
      </c>
      <c r="Q72" s="9">
        <v>6</v>
      </c>
      <c r="R72" s="10">
        <f t="shared" si="45"/>
        <v>22974</v>
      </c>
      <c r="S72" s="5">
        <f>ROUND(R72/产出与消耗!S54,4)</f>
        <v>5.0799999999999998E-2</v>
      </c>
      <c r="T72" s="8">
        <f t="shared" si="47"/>
        <v>0.1376</v>
      </c>
    </row>
    <row r="73" spans="1:20">
      <c r="B73">
        <v>9</v>
      </c>
      <c r="C73">
        <f>ROUND(C74-(C75-C74)/(产出与消耗!$K$13-产出与消耗!$K$12)*(产出与消耗!$K$12-产出与消耗!$K$11),0)</f>
        <v>5291</v>
      </c>
      <c r="D73" s="9">
        <v>3</v>
      </c>
      <c r="E73">
        <f>ROUND(D73*C73/3600/建筑!I136,2)</f>
        <v>2.2000000000000002</v>
      </c>
      <c r="F73" s="9">
        <v>5</v>
      </c>
      <c r="G73" s="10">
        <f t="shared" si="42"/>
        <v>26455</v>
      </c>
      <c r="K73" s="9">
        <v>4</v>
      </c>
      <c r="L73" s="10">
        <f t="shared" si="43"/>
        <v>21164</v>
      </c>
      <c r="M73" s="5">
        <f>ROUND(L73/产出与消耗!S11,4)</f>
        <v>1.7399999999999999E-2</v>
      </c>
      <c r="N73" s="9">
        <v>8</v>
      </c>
      <c r="O73" s="10">
        <f t="shared" si="44"/>
        <v>42328</v>
      </c>
      <c r="P73" s="5">
        <f>ROUND(O73/产出与消耗!S33,4)</f>
        <v>3.4700000000000002E-2</v>
      </c>
      <c r="Q73" s="9">
        <v>6</v>
      </c>
      <c r="R73" s="10">
        <f t="shared" si="45"/>
        <v>31746</v>
      </c>
      <c r="S73" s="5">
        <f>ROUND(R73/产出与消耗!S55,4)</f>
        <v>3.04E-2</v>
      </c>
      <c r="T73" s="8">
        <f t="shared" si="47"/>
        <v>8.2500000000000004E-2</v>
      </c>
    </row>
    <row r="74" spans="1:20">
      <c r="A74" s="17" t="s">
        <v>195</v>
      </c>
      <c r="B74">
        <v>10</v>
      </c>
      <c r="C74">
        <f>ROUND(C75-(C76-C75)/(产出与消耗!$K$14-产出与消耗!$K$13)*(产出与消耗!$K$13-产出与消耗!$K$12),0)</f>
        <v>7653</v>
      </c>
      <c r="D74" s="9">
        <v>3</v>
      </c>
      <c r="E74">
        <f>ROUND(D74*C74/3600/建筑!I137,2)</f>
        <v>3.19</v>
      </c>
      <c r="F74" s="9">
        <v>5</v>
      </c>
      <c r="G74" s="10">
        <f t="shared" si="42"/>
        <v>38265</v>
      </c>
      <c r="K74" s="9">
        <v>4</v>
      </c>
      <c r="L74" s="10">
        <f t="shared" si="43"/>
        <v>30612</v>
      </c>
      <c r="M74" s="5">
        <f>ROUND(L74/产出与消耗!S12,4)</f>
        <v>7.7999999999999996E-3</v>
      </c>
      <c r="N74" s="9">
        <v>8</v>
      </c>
      <c r="O74" s="10">
        <f t="shared" si="44"/>
        <v>61224</v>
      </c>
      <c r="P74" s="5">
        <f>ROUND(O74/产出与消耗!S34,4)</f>
        <v>1.5599999999999999E-2</v>
      </c>
      <c r="Q74" s="9">
        <v>6</v>
      </c>
      <c r="R74" s="10">
        <f t="shared" si="45"/>
        <v>45918</v>
      </c>
      <c r="S74" s="5">
        <f>ROUND(R74/产出与消耗!S56,4)</f>
        <v>1.37E-2</v>
      </c>
      <c r="T74" s="8">
        <f t="shared" si="47"/>
        <v>3.7099999999999994E-2</v>
      </c>
    </row>
    <row r="75" spans="1:20">
      <c r="B75">
        <v>11</v>
      </c>
      <c r="C75">
        <f>ROUND(C76-(C77-C76)/(产出与消耗!$K$15-产出与消耗!$K$14)*(产出与消耗!$K$14-产出与消耗!$K$13),0)</f>
        <v>9115</v>
      </c>
      <c r="D75" s="9">
        <v>3</v>
      </c>
      <c r="E75">
        <f>ROUND(D75*C75/3600/建筑!I138,2)</f>
        <v>3.8</v>
      </c>
      <c r="F75" s="9">
        <v>5</v>
      </c>
      <c r="G75" s="10">
        <f t="shared" si="42"/>
        <v>45575</v>
      </c>
      <c r="K75" s="9">
        <v>4</v>
      </c>
      <c r="L75" s="10">
        <f t="shared" si="43"/>
        <v>36460</v>
      </c>
      <c r="M75" s="5">
        <f>ROUND(L75/产出与消耗!S13,4)</f>
        <v>4.5999999999999999E-3</v>
      </c>
      <c r="N75" s="9">
        <v>8</v>
      </c>
      <c r="O75" s="10">
        <f t="shared" si="44"/>
        <v>72920</v>
      </c>
      <c r="P75" s="5">
        <f>ROUND(O75/产出与消耗!S35,4)</f>
        <v>9.1000000000000004E-3</v>
      </c>
      <c r="Q75" s="9">
        <v>6</v>
      </c>
      <c r="R75" s="10">
        <f t="shared" si="45"/>
        <v>54690</v>
      </c>
      <c r="S75" s="5">
        <f>ROUND(R75/产出与消耗!S57,4)</f>
        <v>8.0000000000000002E-3</v>
      </c>
      <c r="T75" s="8">
        <f t="shared" si="47"/>
        <v>2.1700000000000001E-2</v>
      </c>
    </row>
    <row r="76" spans="1:20">
      <c r="B76">
        <v>12</v>
      </c>
      <c r="C76">
        <f>ROUND(C77-(C78-C77)/(产出与消耗!$K$16-产出与消耗!$K$15)*(产出与消耗!$K$15-产出与消耗!$K$14),0)</f>
        <v>12939</v>
      </c>
      <c r="D76" s="9">
        <v>3</v>
      </c>
      <c r="E76">
        <f>ROUND(D76*C76/3600/建筑!I139,2)</f>
        <v>3.59</v>
      </c>
      <c r="F76" s="9">
        <v>5</v>
      </c>
      <c r="G76" s="10">
        <f t="shared" si="42"/>
        <v>64695</v>
      </c>
      <c r="K76" s="9">
        <v>4</v>
      </c>
      <c r="L76" s="10">
        <f t="shared" si="43"/>
        <v>51756</v>
      </c>
      <c r="M76" s="5">
        <f>ROUND(L76/产出与消耗!S14,4)</f>
        <v>2.3E-3</v>
      </c>
      <c r="N76" s="9">
        <v>8</v>
      </c>
      <c r="O76" s="10">
        <f t="shared" si="44"/>
        <v>103512</v>
      </c>
      <c r="P76" s="5">
        <f>ROUND(O76/产出与消耗!S36,4)</f>
        <v>4.5999999999999999E-3</v>
      </c>
      <c r="Q76" s="9">
        <v>6</v>
      </c>
      <c r="R76" s="10">
        <f t="shared" si="45"/>
        <v>77634</v>
      </c>
      <c r="S76" s="5">
        <f>ROUND(R76/产出与消耗!S58,4)</f>
        <v>4.0000000000000001E-3</v>
      </c>
      <c r="T76" s="8">
        <f t="shared" si="47"/>
        <v>1.09E-2</v>
      </c>
    </row>
    <row r="77" spans="1:20">
      <c r="A77" s="12"/>
      <c r="B77">
        <v>13</v>
      </c>
      <c r="C77">
        <f>ROUND(C78-(C79-C78)/(产出与消耗!$K$17-产出与消耗!$K$16)*(产出与消耗!$K$16-产出与消耗!$K$15),0)</f>
        <v>16201</v>
      </c>
      <c r="D77" s="9">
        <v>3</v>
      </c>
      <c r="E77">
        <f>ROUND(D77*C77/3600/建筑!I140,2)</f>
        <v>4.5</v>
      </c>
      <c r="F77" s="9">
        <v>5</v>
      </c>
      <c r="G77" s="10">
        <f t="shared" si="42"/>
        <v>81005</v>
      </c>
      <c r="K77" s="9">
        <v>4</v>
      </c>
      <c r="L77" s="10">
        <f t="shared" si="43"/>
        <v>64804</v>
      </c>
      <c r="M77" s="5">
        <f>ROUND(L77/产出与消耗!S15,4)</f>
        <v>1.5E-3</v>
      </c>
      <c r="N77" s="9">
        <v>8</v>
      </c>
      <c r="O77" s="10">
        <f t="shared" si="44"/>
        <v>129608</v>
      </c>
      <c r="P77" s="5">
        <f>ROUND(O77/产出与消耗!S37,4)</f>
        <v>3.0000000000000001E-3</v>
      </c>
      <c r="Q77" s="9">
        <v>6</v>
      </c>
      <c r="R77" s="10">
        <f t="shared" si="45"/>
        <v>97206</v>
      </c>
      <c r="S77" s="5">
        <f>ROUND(R77/产出与消耗!S59,4)</f>
        <v>2.5999999999999999E-3</v>
      </c>
      <c r="T77" s="8">
        <f t="shared" si="47"/>
        <v>7.1000000000000004E-3</v>
      </c>
    </row>
    <row r="78" spans="1:20">
      <c r="A78" s="17" t="s">
        <v>196</v>
      </c>
      <c r="B78">
        <v>14</v>
      </c>
      <c r="C78">
        <f>ROUND(C79-(C80-C79)/(产出与消耗!$K$18-产出与消耗!$K$17)*(产出与消耗!$K$17-产出与消耗!$K$16),0)</f>
        <v>19126</v>
      </c>
      <c r="D78" s="9">
        <v>3</v>
      </c>
      <c r="E78">
        <f>ROUND(D78*C78/3600/建筑!I141,2)</f>
        <v>5.31</v>
      </c>
      <c r="F78" s="9">
        <v>5</v>
      </c>
      <c r="G78" s="10">
        <f t="shared" si="42"/>
        <v>95630</v>
      </c>
      <c r="K78" s="9">
        <v>4</v>
      </c>
      <c r="L78" s="10">
        <f t="shared" si="43"/>
        <v>76504</v>
      </c>
      <c r="M78" s="5">
        <f>ROUND(L78/产出与消耗!S16,4)</f>
        <v>8.0000000000000004E-4</v>
      </c>
      <c r="N78" s="9">
        <v>8</v>
      </c>
      <c r="O78" s="10">
        <f t="shared" si="44"/>
        <v>153008</v>
      </c>
      <c r="P78" s="5">
        <f>ROUND(O78/产出与消耗!S38,4)</f>
        <v>1.6999999999999999E-3</v>
      </c>
      <c r="Q78" s="9">
        <v>6</v>
      </c>
      <c r="R78" s="10">
        <f t="shared" si="45"/>
        <v>114756</v>
      </c>
      <c r="S78" s="5">
        <f>ROUND(R78/产出与消耗!S60,4)</f>
        <v>1.5E-3</v>
      </c>
      <c r="T78" s="8">
        <f t="shared" si="47"/>
        <v>4.0000000000000001E-3</v>
      </c>
    </row>
    <row r="79" spans="1:20">
      <c r="B79">
        <v>15</v>
      </c>
      <c r="C79">
        <f>ROUND(C80-(C81-C80)/(产出与消耗!$K$19-产出与消耗!$K$18)*(产出与消耗!$K$18-产出与消耗!$K$17),0)</f>
        <v>22501</v>
      </c>
      <c r="D79" s="9">
        <v>3</v>
      </c>
      <c r="E79">
        <f>ROUND(D79*C79/3600/建筑!I142,2)</f>
        <v>6.25</v>
      </c>
      <c r="F79" s="9">
        <v>5</v>
      </c>
      <c r="G79" s="10">
        <f t="shared" si="42"/>
        <v>112505</v>
      </c>
      <c r="K79" s="9">
        <v>4</v>
      </c>
      <c r="L79" s="10">
        <f t="shared" si="43"/>
        <v>90004</v>
      </c>
      <c r="M79" s="5">
        <f>ROUND(L79/产出与消耗!S17,4)</f>
        <v>5.9999999999999995E-4</v>
      </c>
      <c r="N79" s="9">
        <v>8</v>
      </c>
      <c r="O79" s="10">
        <f t="shared" si="44"/>
        <v>180008</v>
      </c>
      <c r="P79" s="5">
        <f>ROUND(O79/产出与消耗!S39,4)</f>
        <v>1.1999999999999999E-3</v>
      </c>
      <c r="Q79" s="9">
        <v>6</v>
      </c>
      <c r="R79" s="10">
        <f t="shared" si="45"/>
        <v>135006</v>
      </c>
      <c r="S79" s="5">
        <f>ROUND(R79/产出与消耗!S61,4)</f>
        <v>1.1000000000000001E-3</v>
      </c>
      <c r="T79" s="8">
        <f t="shared" si="47"/>
        <v>2.8999999999999998E-3</v>
      </c>
    </row>
    <row r="80" spans="1:20">
      <c r="B80">
        <v>16</v>
      </c>
      <c r="C80">
        <f>ROUND(C81-(C82-C81)/(产出与消耗!$K$20-产出与消耗!$K$19)*(产出与消耗!$K$19-产出与消耗!$K$18),0)</f>
        <v>25876</v>
      </c>
      <c r="D80" s="9">
        <v>3</v>
      </c>
      <c r="E80">
        <f>ROUND(D80*C80/3600/建筑!I143,2)</f>
        <v>5.39</v>
      </c>
      <c r="F80" s="9">
        <v>5</v>
      </c>
      <c r="G80" s="10">
        <f t="shared" si="42"/>
        <v>129380</v>
      </c>
      <c r="K80" s="9">
        <v>4</v>
      </c>
      <c r="L80" s="10">
        <f t="shared" si="43"/>
        <v>103504</v>
      </c>
      <c r="M80" s="5">
        <f>ROUND(L80/产出与消耗!S18,4)</f>
        <v>4.0000000000000002E-4</v>
      </c>
      <c r="N80" s="9">
        <v>8</v>
      </c>
      <c r="O80" s="10">
        <f t="shared" si="44"/>
        <v>207008</v>
      </c>
      <c r="P80" s="5">
        <f>ROUND(O80/产出与消耗!S40,4)</f>
        <v>8.0000000000000004E-4</v>
      </c>
      <c r="Q80" s="9">
        <v>6</v>
      </c>
      <c r="R80" s="10">
        <f t="shared" si="45"/>
        <v>155256</v>
      </c>
      <c r="S80" s="5">
        <f>ROUND(R80/产出与消耗!S62,4)</f>
        <v>6.9999999999999999E-4</v>
      </c>
      <c r="T80" s="8">
        <f t="shared" si="47"/>
        <v>1.9000000000000002E-3</v>
      </c>
    </row>
    <row r="81" spans="1:20">
      <c r="B81">
        <v>17</v>
      </c>
      <c r="C81">
        <f>ROUND(C82-(C83-C82)/(产出与消耗!$K$21-产出与消耗!$K$20)*(产出与消耗!$K$20-产出与消耗!$K$19),0)</f>
        <v>29588</v>
      </c>
      <c r="D81" s="9">
        <v>3</v>
      </c>
      <c r="E81">
        <f>ROUND(D81*C81/3600/建筑!I144,2)</f>
        <v>6.16</v>
      </c>
      <c r="F81" s="9">
        <v>5</v>
      </c>
      <c r="G81" s="10">
        <f t="shared" si="42"/>
        <v>147940</v>
      </c>
      <c r="K81" s="9">
        <v>4</v>
      </c>
      <c r="L81" s="10">
        <f t="shared" si="43"/>
        <v>118352</v>
      </c>
      <c r="M81" s="5">
        <f>ROUND(L81/产出与消耗!S19,4)</f>
        <v>2.9999999999999997E-4</v>
      </c>
      <c r="N81" s="9">
        <v>8</v>
      </c>
      <c r="O81" s="10">
        <f t="shared" si="44"/>
        <v>236704</v>
      </c>
      <c r="P81" s="5">
        <f>ROUND(O81/产出与消耗!S41,4)</f>
        <v>5.9999999999999995E-4</v>
      </c>
      <c r="Q81" s="9">
        <v>6</v>
      </c>
      <c r="R81" s="10">
        <f t="shared" si="45"/>
        <v>177528</v>
      </c>
      <c r="S81" s="5">
        <f>ROUND(R81/产出与消耗!S63,4)</f>
        <v>5.0000000000000001E-4</v>
      </c>
      <c r="T81" s="8">
        <f t="shared" si="47"/>
        <v>1.4E-3</v>
      </c>
    </row>
    <row r="82" spans="1:20">
      <c r="B82">
        <v>18</v>
      </c>
      <c r="C82">
        <f>ROUND(C83-(C84-C83)/(产出与消耗!$K$22-产出与消耗!$K$21)*(产出与消耗!$K$21-产出与消耗!$K$20),0)</f>
        <v>33750</v>
      </c>
      <c r="D82" s="9">
        <v>3</v>
      </c>
      <c r="E82">
        <f>ROUND(D82*C82/3600/建筑!I145,2)</f>
        <v>7.03</v>
      </c>
      <c r="F82" s="9">
        <v>5</v>
      </c>
      <c r="G82" s="10">
        <f t="shared" si="42"/>
        <v>168750</v>
      </c>
      <c r="K82" s="9">
        <v>4</v>
      </c>
      <c r="L82" s="10">
        <f t="shared" si="43"/>
        <v>135000</v>
      </c>
      <c r="M82" s="5">
        <f>ROUND(L82/产出与消耗!S20,4)</f>
        <v>2.0000000000000001E-4</v>
      </c>
      <c r="N82" s="9">
        <v>8</v>
      </c>
      <c r="O82" s="10">
        <f t="shared" si="44"/>
        <v>270000</v>
      </c>
      <c r="P82" s="5">
        <f>ROUND(O82/产出与消耗!S42,4)</f>
        <v>4.0000000000000002E-4</v>
      </c>
      <c r="Q82" s="9">
        <v>6</v>
      </c>
      <c r="R82" s="10">
        <f t="shared" si="45"/>
        <v>202500</v>
      </c>
      <c r="S82" s="5">
        <f>ROUND(R82/产出与消耗!S64,4)</f>
        <v>2.9999999999999997E-4</v>
      </c>
      <c r="T82" s="8">
        <f t="shared" si="47"/>
        <v>8.9999999999999998E-4</v>
      </c>
    </row>
    <row r="83" spans="1:20">
      <c r="A83" s="18" t="s">
        <v>197</v>
      </c>
      <c r="B83">
        <v>19</v>
      </c>
      <c r="C83">
        <f>ROUND(产出与消耗!$K$21*C84/产出与消耗!$K$22,0)</f>
        <v>38250</v>
      </c>
      <c r="D83" s="9">
        <v>3</v>
      </c>
      <c r="E83">
        <f>ROUND(D83*C83/3600/建筑!I146,2)</f>
        <v>7.97</v>
      </c>
      <c r="F83" s="9">
        <v>5</v>
      </c>
      <c r="G83" s="10">
        <f t="shared" si="42"/>
        <v>191250</v>
      </c>
      <c r="K83" s="9">
        <v>4</v>
      </c>
      <c r="L83" s="10">
        <f t="shared" si="43"/>
        <v>153000</v>
      </c>
      <c r="M83" s="5">
        <f>ROUND(L83/产出与消耗!S21,4)</f>
        <v>1E-4</v>
      </c>
      <c r="N83" s="9">
        <v>8</v>
      </c>
      <c r="O83" s="10">
        <f t="shared" si="44"/>
        <v>306000</v>
      </c>
      <c r="P83" s="5">
        <f>ROUND(O83/产出与消耗!S43,4)</f>
        <v>2.9999999999999997E-4</v>
      </c>
      <c r="Q83" s="9">
        <v>6</v>
      </c>
      <c r="R83" s="10">
        <f t="shared" si="45"/>
        <v>229500</v>
      </c>
      <c r="S83" s="5">
        <f>ROUND(R83/产出与消耗!S65,4)</f>
        <v>2.0000000000000001E-4</v>
      </c>
      <c r="T83" s="8">
        <f t="shared" si="47"/>
        <v>5.9999999999999995E-4</v>
      </c>
    </row>
    <row r="84" spans="1:20">
      <c r="B84">
        <v>20</v>
      </c>
      <c r="C84">
        <v>45000</v>
      </c>
      <c r="D84" s="9">
        <v>3</v>
      </c>
      <c r="E84">
        <f>ROUND(D84*C84/3600/建筑!I147,2)</f>
        <v>7.5</v>
      </c>
      <c r="F84" s="9">
        <v>5</v>
      </c>
      <c r="G84" s="10">
        <f t="shared" si="42"/>
        <v>225000</v>
      </c>
      <c r="K84" s="9">
        <v>4</v>
      </c>
      <c r="L84" s="10">
        <f t="shared" si="43"/>
        <v>180000</v>
      </c>
      <c r="M84" s="5">
        <f>ROUND(L84/产出与消耗!S22,4)</f>
        <v>1E-4</v>
      </c>
      <c r="N84" s="9">
        <v>8</v>
      </c>
      <c r="O84" s="10">
        <f t="shared" si="44"/>
        <v>360000</v>
      </c>
      <c r="P84" s="5">
        <f>ROUND(O84/产出与消耗!S44,4)</f>
        <v>2.0000000000000001E-4</v>
      </c>
      <c r="Q84" s="9">
        <v>6</v>
      </c>
      <c r="R84" s="10">
        <f t="shared" si="45"/>
        <v>270000</v>
      </c>
      <c r="S84" s="5">
        <f>ROUND(R84/产出与消耗!S66,4)</f>
        <v>2.0000000000000001E-4</v>
      </c>
      <c r="T84" s="8">
        <f t="shared" si="47"/>
        <v>5.0000000000000001E-4</v>
      </c>
    </row>
    <row r="86" spans="1:20">
      <c r="A86" t="s">
        <v>165</v>
      </c>
      <c r="B86">
        <v>1</v>
      </c>
      <c r="C86">
        <f>MAX(ROUND(C87-(C88-C87)/(产出与消耗!$K$5-产出与消耗!$K$4)*(产出与消耗!$K$4-产出与消耗!$K$3)*1.004,0),0)</f>
        <v>0</v>
      </c>
      <c r="D86" s="9">
        <v>5</v>
      </c>
      <c r="E86">
        <f>ROUND(D86*C86/3600/(建筑!G86*基本公式!$B$154),2)</f>
        <v>0</v>
      </c>
      <c r="F86" s="9">
        <f>F2*1.4</f>
        <v>14</v>
      </c>
      <c r="G86" s="10">
        <f t="shared" ref="G86" si="48">F86*C86</f>
        <v>0</v>
      </c>
      <c r="K86" s="9">
        <v>13</v>
      </c>
      <c r="L86" s="10">
        <f t="shared" ref="L86" si="49">ROUND(K86*C86,0)</f>
        <v>0</v>
      </c>
      <c r="M86" s="5">
        <f>ROUND(L86/产出与消耗!S3,4)</f>
        <v>0</v>
      </c>
      <c r="N86" s="9">
        <v>37</v>
      </c>
      <c r="O86" s="10">
        <f t="shared" ref="O86" si="50">ROUND(N86*C86,0)</f>
        <v>0</v>
      </c>
      <c r="P86" s="5">
        <f>ROUND(O86/产出与消耗!S25,4)</f>
        <v>0</v>
      </c>
      <c r="Q86" s="9">
        <v>8</v>
      </c>
      <c r="R86" s="10">
        <f t="shared" ref="R86" si="51">ROUND(Q86*C86,0)</f>
        <v>0</v>
      </c>
      <c r="S86" s="5">
        <f>ROUND(R86/产出与消耗!S47,4)</f>
        <v>0</v>
      </c>
      <c r="T86" s="8">
        <f t="shared" ref="T86" si="52">M86+P86+S86</f>
        <v>0</v>
      </c>
    </row>
    <row r="87" spans="1:20">
      <c r="B87">
        <v>2</v>
      </c>
      <c r="C87">
        <f>MAX(ROUND(C88-(C89-C88)/(产出与消耗!$K$6-产出与消耗!$K$5)*(产出与消耗!$K$5-产出与消耗!$K$4)*1.004,0),0)</f>
        <v>0</v>
      </c>
      <c r="D87" s="9">
        <v>5</v>
      </c>
      <c r="E87">
        <f>ROUND(D87*C87/3600/(建筑!G87*基本公式!$B$154),2)</f>
        <v>0</v>
      </c>
      <c r="F87" s="9">
        <f t="shared" ref="F87" si="53">F3*1.4</f>
        <v>14</v>
      </c>
      <c r="G87" s="10">
        <f t="shared" ref="G87:G105" si="54">F87*C87</f>
        <v>0</v>
      </c>
      <c r="K87" s="9">
        <v>13</v>
      </c>
      <c r="L87" s="10">
        <f t="shared" ref="L87:L105" si="55">ROUND(K87*C87,0)</f>
        <v>0</v>
      </c>
      <c r="M87" s="5">
        <f>ROUND(L87/产出与消耗!S4,4)</f>
        <v>0</v>
      </c>
      <c r="N87" s="9">
        <v>37</v>
      </c>
      <c r="O87" s="10">
        <f t="shared" ref="O87:O105" si="56">ROUND(N87*C87,0)</f>
        <v>0</v>
      </c>
      <c r="P87" s="5">
        <f>ROUND(O87/产出与消耗!S26,4)</f>
        <v>0</v>
      </c>
      <c r="Q87" s="9">
        <v>8</v>
      </c>
      <c r="R87" s="10">
        <f t="shared" ref="R87:R105" si="57">ROUND(Q87*C87,0)</f>
        <v>0</v>
      </c>
      <c r="S87" s="5">
        <f>ROUND(R87/产出与消耗!S48,4)</f>
        <v>0</v>
      </c>
      <c r="T87" s="8">
        <f t="shared" ref="T87:T105" si="58">M87+P87+S87</f>
        <v>0</v>
      </c>
    </row>
    <row r="88" spans="1:20">
      <c r="B88">
        <v>3</v>
      </c>
      <c r="C88">
        <f>MAX(ROUND(C89-(C90-C89)/(产出与消耗!$K$7-产出与消耗!$K$6)*(产出与消耗!$K$6-产出与消耗!$K$5)*1.004,0),0)</f>
        <v>0</v>
      </c>
      <c r="D88" s="9">
        <v>5</v>
      </c>
      <c r="E88">
        <f>ROUND(D88*C88/3600/(建筑!G88*基本公式!$B$154),2)</f>
        <v>0</v>
      </c>
      <c r="F88" s="9">
        <f t="shared" ref="F88:F105" si="59">F4*1.4</f>
        <v>14</v>
      </c>
      <c r="G88" s="10">
        <f t="shared" si="54"/>
        <v>0</v>
      </c>
      <c r="K88" s="9">
        <v>13</v>
      </c>
      <c r="L88" s="10">
        <f t="shared" si="55"/>
        <v>0</v>
      </c>
      <c r="M88" s="5">
        <f>ROUND(L88/产出与消耗!S5,4)</f>
        <v>0</v>
      </c>
      <c r="N88" s="9">
        <v>37</v>
      </c>
      <c r="O88" s="10">
        <f t="shared" si="56"/>
        <v>0</v>
      </c>
      <c r="P88" s="5">
        <f>ROUND(O88/产出与消耗!S27,4)</f>
        <v>0</v>
      </c>
      <c r="Q88" s="9">
        <v>8</v>
      </c>
      <c r="R88" s="10">
        <f t="shared" si="57"/>
        <v>0</v>
      </c>
      <c r="S88" s="5">
        <f>ROUND(R88/产出与消耗!S49,4)</f>
        <v>0</v>
      </c>
      <c r="T88" s="8">
        <f t="shared" si="58"/>
        <v>0</v>
      </c>
    </row>
    <row r="89" spans="1:20">
      <c r="B89">
        <v>4</v>
      </c>
      <c r="C89">
        <f>MAX(ROUND(C90-(C91-C90)/(产出与消耗!$K$8-产出与消耗!$K$7)*(产出与消耗!$K$7-产出与消耗!$K$6)*1.004,0),0)</f>
        <v>0</v>
      </c>
      <c r="D89" s="9">
        <v>5</v>
      </c>
      <c r="E89">
        <f>ROUND(D89*C89/3600/(建筑!G89*基本公式!$B$154),2)</f>
        <v>0</v>
      </c>
      <c r="F89" s="9">
        <f t="shared" si="59"/>
        <v>14</v>
      </c>
      <c r="G89" s="10">
        <f t="shared" si="54"/>
        <v>0</v>
      </c>
      <c r="K89" s="9">
        <v>13</v>
      </c>
      <c r="L89" s="10">
        <f t="shared" si="55"/>
        <v>0</v>
      </c>
      <c r="M89" s="5">
        <f>ROUND(L89/产出与消耗!S6,4)</f>
        <v>0</v>
      </c>
      <c r="N89" s="9">
        <v>37</v>
      </c>
      <c r="O89" s="10">
        <f t="shared" si="56"/>
        <v>0</v>
      </c>
      <c r="P89" s="5">
        <f>ROUND(O89/产出与消耗!S28,4)</f>
        <v>0</v>
      </c>
      <c r="Q89" s="9">
        <v>8</v>
      </c>
      <c r="R89" s="10">
        <f t="shared" si="57"/>
        <v>0</v>
      </c>
      <c r="S89" s="5">
        <f>ROUND(R89/产出与消耗!S50,4)</f>
        <v>0</v>
      </c>
      <c r="T89" s="8">
        <f t="shared" si="58"/>
        <v>0</v>
      </c>
    </row>
    <row r="90" spans="1:20">
      <c r="B90">
        <v>5</v>
      </c>
      <c r="C90">
        <f>MAX(ROUND(C91-(C92-C91)/(产出与消耗!$K$9-产出与消耗!$K$8)*(产出与消耗!$K$8-产出与消耗!$K$7)*1.004,0),0)</f>
        <v>27</v>
      </c>
      <c r="D90" s="9">
        <v>5</v>
      </c>
      <c r="E90">
        <f>ROUND(D90*C90/3600/(建筑!G90*基本公式!$B$154),2)</f>
        <v>0.02</v>
      </c>
      <c r="F90" s="9">
        <f t="shared" si="59"/>
        <v>14</v>
      </c>
      <c r="G90" s="10">
        <f t="shared" si="54"/>
        <v>378</v>
      </c>
      <c r="K90" s="9">
        <v>13</v>
      </c>
      <c r="L90" s="10">
        <f t="shared" si="55"/>
        <v>351</v>
      </c>
      <c r="M90" s="5">
        <f>ROUND(L90/产出与消耗!S7,4)</f>
        <v>1.2800000000000001E-2</v>
      </c>
      <c r="N90" s="9">
        <v>37</v>
      </c>
      <c r="O90" s="10">
        <f t="shared" si="56"/>
        <v>999</v>
      </c>
      <c r="P90" s="5">
        <f>ROUND(O90/产出与消耗!S29,4)</f>
        <v>3.6499999999999998E-2</v>
      </c>
      <c r="Q90" s="9">
        <v>8</v>
      </c>
      <c r="R90" s="10">
        <f t="shared" si="57"/>
        <v>216</v>
      </c>
      <c r="S90" s="5">
        <f>ROUND(R90/产出与消耗!S51,4)</f>
        <v>8.3999999999999995E-3</v>
      </c>
      <c r="T90" s="8">
        <f t="shared" si="58"/>
        <v>5.7699999999999994E-2</v>
      </c>
    </row>
    <row r="91" spans="1:20">
      <c r="B91">
        <v>6</v>
      </c>
      <c r="C91">
        <f>MAX(ROUND(C92-(C93-C92)/(产出与消耗!$K$10-产出与消耗!$K$9)*(产出与消耗!$K$9-产出与消耗!$K$8)*1.004,0),0)</f>
        <v>622</v>
      </c>
      <c r="D91" s="9">
        <v>5</v>
      </c>
      <c r="E91">
        <f>ROUND(D91*C91/3600/(建筑!G91*基本公式!$B$154),2)</f>
        <v>0.43</v>
      </c>
      <c r="F91" s="9">
        <f t="shared" si="59"/>
        <v>14</v>
      </c>
      <c r="G91" s="10">
        <f t="shared" si="54"/>
        <v>8708</v>
      </c>
      <c r="K91" s="9">
        <v>13</v>
      </c>
      <c r="L91" s="10">
        <f t="shared" si="55"/>
        <v>8086</v>
      </c>
      <c r="M91" s="5">
        <f>ROUND(L91/产出与消耗!S8,4)</f>
        <v>0.12790000000000001</v>
      </c>
      <c r="N91" s="9">
        <v>37</v>
      </c>
      <c r="O91" s="10">
        <f t="shared" si="56"/>
        <v>23014</v>
      </c>
      <c r="P91" s="5">
        <f>ROUND(O91/产出与消耗!S30,4)</f>
        <v>0.36399999999999999</v>
      </c>
      <c r="Q91" s="9">
        <v>8</v>
      </c>
      <c r="R91" s="10">
        <f t="shared" si="57"/>
        <v>4976</v>
      </c>
      <c r="S91" s="5">
        <f>ROUND(R91/产出与消耗!S52,4)</f>
        <v>9.35E-2</v>
      </c>
      <c r="T91" s="8">
        <f t="shared" si="58"/>
        <v>0.58540000000000003</v>
      </c>
    </row>
    <row r="92" spans="1:20">
      <c r="B92">
        <v>7</v>
      </c>
      <c r="C92">
        <f>MAX(ROUND(C93-(C94-C93)/(产出与消耗!$K$11-产出与消耗!$K$10)*(产出与消耗!$K$10-产出与消耗!$K$9)*1.004,0),0)</f>
        <v>1570</v>
      </c>
      <c r="D92" s="9">
        <v>5</v>
      </c>
      <c r="E92">
        <f>ROUND(D92*C92/3600/(建筑!G92*基本公式!$B$154),2)</f>
        <v>0.55000000000000004</v>
      </c>
      <c r="F92" s="9">
        <f t="shared" si="59"/>
        <v>14</v>
      </c>
      <c r="G92" s="10">
        <f t="shared" si="54"/>
        <v>21980</v>
      </c>
      <c r="K92" s="9">
        <v>13</v>
      </c>
      <c r="L92" s="10">
        <f t="shared" si="55"/>
        <v>20410</v>
      </c>
      <c r="M92" s="5">
        <f>ROUND(L92/产出与消耗!S9,4)</f>
        <v>0.1603</v>
      </c>
      <c r="N92" s="9">
        <v>37</v>
      </c>
      <c r="O92" s="10">
        <f t="shared" si="56"/>
        <v>58090</v>
      </c>
      <c r="P92" s="5">
        <f>ROUND(O92/产出与消耗!S31,4)</f>
        <v>0.45629999999999998</v>
      </c>
      <c r="Q92" s="9">
        <v>8</v>
      </c>
      <c r="R92" s="10">
        <f t="shared" si="57"/>
        <v>12560</v>
      </c>
      <c r="S92" s="5">
        <f>ROUND(R92/产出与消耗!S53,4)</f>
        <v>0.1162</v>
      </c>
      <c r="T92" s="8">
        <f t="shared" si="58"/>
        <v>0.73280000000000001</v>
      </c>
    </row>
    <row r="93" spans="1:20">
      <c r="A93" s="12"/>
      <c r="B93">
        <v>8</v>
      </c>
      <c r="C93">
        <f>MAX(ROUND(C94-(C95-C94)/(产出与消耗!$K$12-产出与消耗!$K$11)*(产出与消耗!$K$11-产出与消耗!$K$10)*1.004,0),0)</f>
        <v>3104</v>
      </c>
      <c r="D93" s="9">
        <v>5</v>
      </c>
      <c r="E93">
        <f>ROUND(D93*C93/3600/(建筑!G93*基本公式!$B$154),2)</f>
        <v>1.08</v>
      </c>
      <c r="F93" s="9">
        <f t="shared" si="59"/>
        <v>14</v>
      </c>
      <c r="G93" s="10">
        <f t="shared" si="54"/>
        <v>43456</v>
      </c>
      <c r="K93" s="9">
        <v>13</v>
      </c>
      <c r="L93" s="10">
        <f t="shared" si="55"/>
        <v>40352</v>
      </c>
      <c r="M93" s="5">
        <f>ROUND(L93/产出与消耗!S10,4)</f>
        <v>7.6200000000000004E-2</v>
      </c>
      <c r="N93" s="9">
        <v>37</v>
      </c>
      <c r="O93" s="10">
        <f t="shared" si="56"/>
        <v>114848</v>
      </c>
      <c r="P93" s="5">
        <f>ROUND(O93/产出与消耗!S32,4)</f>
        <v>0.217</v>
      </c>
      <c r="Q93" s="9">
        <v>8</v>
      </c>
      <c r="R93" s="10">
        <f t="shared" si="57"/>
        <v>24832</v>
      </c>
      <c r="S93" s="5">
        <f>ROUND(R93/产出与消耗!S54,4)</f>
        <v>5.4899999999999997E-2</v>
      </c>
      <c r="T93" s="8">
        <f t="shared" si="58"/>
        <v>0.34810000000000002</v>
      </c>
    </row>
    <row r="94" spans="1:20">
      <c r="B94">
        <v>9</v>
      </c>
      <c r="C94">
        <f>MAX(ROUND(C95-(C96-C95)/(产出与消耗!$K$13-产出与消耗!$K$12)*(产出与消耗!$K$12-产出与消耗!$K$11)*1.004,0),0)</f>
        <v>4632</v>
      </c>
      <c r="D94" s="9">
        <v>5</v>
      </c>
      <c r="E94">
        <f>ROUND(D94*C94/3600/(建筑!G94*基本公式!$B$154),2)</f>
        <v>1.61</v>
      </c>
      <c r="F94" s="9">
        <f t="shared" si="59"/>
        <v>14</v>
      </c>
      <c r="G94" s="10">
        <f t="shared" si="54"/>
        <v>64848</v>
      </c>
      <c r="K94" s="9">
        <v>13</v>
      </c>
      <c r="L94" s="10">
        <f t="shared" si="55"/>
        <v>60216</v>
      </c>
      <c r="M94" s="5">
        <f>ROUND(L94/产出与消耗!S11,4)</f>
        <v>4.9399999999999999E-2</v>
      </c>
      <c r="N94" s="9">
        <v>37</v>
      </c>
      <c r="O94" s="10">
        <f t="shared" si="56"/>
        <v>171384</v>
      </c>
      <c r="P94" s="5">
        <f>ROUND(O94/产出与消耗!S33,4)</f>
        <v>0.1406</v>
      </c>
      <c r="Q94" s="9">
        <v>8</v>
      </c>
      <c r="R94" s="10">
        <f t="shared" si="57"/>
        <v>37056</v>
      </c>
      <c r="S94" s="5">
        <f>ROUND(R94/产出与消耗!S55,4)</f>
        <v>3.5499999999999997E-2</v>
      </c>
      <c r="T94" s="8">
        <f t="shared" si="58"/>
        <v>0.22550000000000001</v>
      </c>
    </row>
    <row r="95" spans="1:20">
      <c r="A95" s="17" t="s">
        <v>195</v>
      </c>
      <c r="B95">
        <v>10</v>
      </c>
      <c r="C95">
        <f>MAX(ROUND(C96-(C97-C96)/(产出与消耗!$K$14-产出与消耗!$K$13)*(产出与消耗!$K$13-产出与消耗!$K$12)*1.004,0),0)</f>
        <v>7091</v>
      </c>
      <c r="D95" s="9">
        <v>5</v>
      </c>
      <c r="E95">
        <f>ROUND(D95*C95/3600/(建筑!G95*基本公式!$B$154),2)</f>
        <v>2.46</v>
      </c>
      <c r="F95" s="9">
        <f t="shared" si="59"/>
        <v>14</v>
      </c>
      <c r="G95" s="10">
        <f t="shared" si="54"/>
        <v>99274</v>
      </c>
      <c r="K95" s="9">
        <v>13</v>
      </c>
      <c r="L95" s="10">
        <f t="shared" si="55"/>
        <v>92183</v>
      </c>
      <c r="M95" s="5">
        <f>ROUND(L95/产出与消耗!S12,4)</f>
        <v>2.35E-2</v>
      </c>
      <c r="N95" s="9">
        <v>37</v>
      </c>
      <c r="O95" s="10">
        <f t="shared" si="56"/>
        <v>262367</v>
      </c>
      <c r="P95" s="5">
        <f>ROUND(O95/产出与消耗!S34,4)</f>
        <v>6.7000000000000004E-2</v>
      </c>
      <c r="Q95" s="9">
        <v>8</v>
      </c>
      <c r="R95" s="10">
        <f t="shared" si="57"/>
        <v>56728</v>
      </c>
      <c r="S95" s="5">
        <f>ROUND(R95/产出与消耗!S56,4)</f>
        <v>1.6899999999999998E-2</v>
      </c>
      <c r="T95" s="8">
        <f t="shared" si="58"/>
        <v>0.1074</v>
      </c>
    </row>
    <row r="96" spans="1:20">
      <c r="B96">
        <v>11</v>
      </c>
      <c r="C96">
        <f>MAX(ROUND(C97-(C98-C97)/(产出与消耗!$K$15-产出与消耗!$K$14)*(产出与消耗!$K$14-产出与消耗!$K$13)*1.004,0),0)</f>
        <v>8607</v>
      </c>
      <c r="D96" s="9">
        <v>5</v>
      </c>
      <c r="E96">
        <f>ROUND(D96*C96/3600/(建筑!G96*基本公式!$B$154),2)</f>
        <v>2.99</v>
      </c>
      <c r="F96" s="9">
        <f t="shared" si="59"/>
        <v>14</v>
      </c>
      <c r="G96" s="10">
        <f t="shared" si="54"/>
        <v>120498</v>
      </c>
      <c r="K96" s="9">
        <v>13</v>
      </c>
      <c r="L96" s="10">
        <f t="shared" si="55"/>
        <v>111891</v>
      </c>
      <c r="M96" s="5">
        <f>ROUND(L96/产出与消耗!S13,4)</f>
        <v>1.4E-2</v>
      </c>
      <c r="N96" s="9">
        <v>37</v>
      </c>
      <c r="O96" s="10">
        <f t="shared" si="56"/>
        <v>318459</v>
      </c>
      <c r="P96" s="5">
        <f>ROUND(O96/产出与消耗!S35,4)</f>
        <v>3.9899999999999998E-2</v>
      </c>
      <c r="Q96" s="9">
        <v>8</v>
      </c>
      <c r="R96" s="10">
        <f t="shared" si="57"/>
        <v>68856</v>
      </c>
      <c r="S96" s="5">
        <f>ROUND(R96/产出与消耗!S57,4)</f>
        <v>1.01E-2</v>
      </c>
      <c r="T96" s="8">
        <f t="shared" si="58"/>
        <v>6.4000000000000001E-2</v>
      </c>
    </row>
    <row r="97" spans="1:20">
      <c r="B97">
        <v>12</v>
      </c>
      <c r="C97">
        <f>MAX(ROUND(C98-(C99-C98)/(产出与消耗!$K$16-产出与消耗!$K$15)*(产出与消耗!$K$15-产出与消耗!$K$14)*1.004,0),0)</f>
        <v>12556</v>
      </c>
      <c r="D97" s="9">
        <v>5</v>
      </c>
      <c r="E97">
        <f>ROUND(D97*C97/3600/(建筑!G97*基本公式!$B$154),2)</f>
        <v>2.91</v>
      </c>
      <c r="F97" s="9">
        <f t="shared" si="59"/>
        <v>14</v>
      </c>
      <c r="G97" s="10">
        <f t="shared" si="54"/>
        <v>175784</v>
      </c>
      <c r="K97" s="9">
        <v>13</v>
      </c>
      <c r="L97" s="10">
        <f t="shared" si="55"/>
        <v>163228</v>
      </c>
      <c r="M97" s="5">
        <f>ROUND(L97/产出与消耗!S14,4)</f>
        <v>7.1999999999999998E-3</v>
      </c>
      <c r="N97" s="9">
        <v>37</v>
      </c>
      <c r="O97" s="10">
        <f t="shared" si="56"/>
        <v>464572</v>
      </c>
      <c r="P97" s="5">
        <f>ROUND(O97/产出与消耗!S36,4)</f>
        <v>2.06E-2</v>
      </c>
      <c r="Q97" s="9">
        <v>8</v>
      </c>
      <c r="R97" s="10">
        <f t="shared" si="57"/>
        <v>100448</v>
      </c>
      <c r="S97" s="5">
        <f>ROUND(R97/产出与消耗!S58,4)</f>
        <v>5.1999999999999998E-3</v>
      </c>
      <c r="T97" s="8">
        <f t="shared" si="58"/>
        <v>3.3000000000000002E-2</v>
      </c>
    </row>
    <row r="98" spans="1:20">
      <c r="A98" s="12"/>
      <c r="B98">
        <v>13</v>
      </c>
      <c r="C98">
        <f>MAX(ROUND(C99-(C100-C99)/(产出与消耗!$K$17-产出与消耗!$K$16)*(产出与消耗!$K$16-产出与消耗!$K$15)*1.004,0),0)</f>
        <v>15911</v>
      </c>
      <c r="D98" s="9">
        <v>5</v>
      </c>
      <c r="E98">
        <f>ROUND(D98*C98/3600/(建筑!G98*基本公式!$B$154),2)</f>
        <v>3.68</v>
      </c>
      <c r="F98" s="9">
        <f t="shared" si="59"/>
        <v>14</v>
      </c>
      <c r="G98" s="10">
        <f t="shared" si="54"/>
        <v>222754</v>
      </c>
      <c r="K98" s="9">
        <v>13</v>
      </c>
      <c r="L98" s="10">
        <f t="shared" si="55"/>
        <v>206843</v>
      </c>
      <c r="M98" s="5">
        <f>ROUND(L98/产出与消耗!S15,4)</f>
        <v>4.7000000000000002E-3</v>
      </c>
      <c r="N98" s="9">
        <v>37</v>
      </c>
      <c r="O98" s="10">
        <f t="shared" si="56"/>
        <v>588707</v>
      </c>
      <c r="P98" s="5">
        <f>ROUND(O98/产出与消耗!S37,4)</f>
        <v>1.35E-2</v>
      </c>
      <c r="Q98" s="9">
        <v>8</v>
      </c>
      <c r="R98" s="10">
        <f t="shared" si="57"/>
        <v>127288</v>
      </c>
      <c r="S98" s="5">
        <f>ROUND(R98/产出与消耗!S59,4)</f>
        <v>3.3999999999999998E-3</v>
      </c>
      <c r="T98" s="8">
        <f t="shared" si="58"/>
        <v>2.1600000000000001E-2</v>
      </c>
    </row>
    <row r="99" spans="1:20">
      <c r="A99" s="17" t="s">
        <v>196</v>
      </c>
      <c r="B99">
        <v>14</v>
      </c>
      <c r="C99">
        <f>MAX(ROUND(C100-(C101-C100)/(产出与消耗!$K$18-产出与消耗!$K$17)*(产出与消耗!$K$17-产出与消耗!$K$16)*1.004,0),0)</f>
        <v>18907</v>
      </c>
      <c r="D99" s="9">
        <v>5</v>
      </c>
      <c r="E99">
        <f>ROUND(D99*C99/3600/(建筑!G99*基本公式!$B$154),2)</f>
        <v>4.38</v>
      </c>
      <c r="F99" s="9">
        <f t="shared" si="59"/>
        <v>14</v>
      </c>
      <c r="G99" s="10">
        <f t="shared" si="54"/>
        <v>264698</v>
      </c>
      <c r="K99" s="9">
        <v>13</v>
      </c>
      <c r="L99" s="10">
        <f t="shared" si="55"/>
        <v>245791</v>
      </c>
      <c r="M99" s="5">
        <f>ROUND(L99/产出与消耗!S16,4)</f>
        <v>2.7000000000000001E-3</v>
      </c>
      <c r="N99" s="9">
        <v>37</v>
      </c>
      <c r="O99" s="10">
        <f t="shared" si="56"/>
        <v>699559</v>
      </c>
      <c r="P99" s="5">
        <f>ROUND(O99/产出与消耗!S38,4)</f>
        <v>7.7000000000000002E-3</v>
      </c>
      <c r="Q99" s="9">
        <v>8</v>
      </c>
      <c r="R99" s="10">
        <f t="shared" si="57"/>
        <v>151256</v>
      </c>
      <c r="S99" s="5">
        <f>ROUND(R99/产出与消耗!S60,4)</f>
        <v>1.9E-3</v>
      </c>
      <c r="T99" s="8">
        <f t="shared" si="58"/>
        <v>1.23E-2</v>
      </c>
    </row>
    <row r="100" spans="1:20">
      <c r="B100">
        <v>15</v>
      </c>
      <c r="C100">
        <f>MAX(ROUND(C101-(C102-C101)/(产出与消耗!$K$19-产出与消耗!$K$18)*(产出与消耗!$K$18-产出与消耗!$K$17)*1.004,0),0)</f>
        <v>22350</v>
      </c>
      <c r="D100" s="9">
        <v>5</v>
      </c>
      <c r="E100">
        <f>ROUND(D100*C100/3600/(建筑!G100*基本公式!$B$154),2)</f>
        <v>5.17</v>
      </c>
      <c r="F100" s="9">
        <f t="shared" si="59"/>
        <v>14</v>
      </c>
      <c r="G100" s="10">
        <f t="shared" si="54"/>
        <v>312900</v>
      </c>
      <c r="K100" s="9">
        <v>13</v>
      </c>
      <c r="L100" s="10">
        <f t="shared" si="55"/>
        <v>290550</v>
      </c>
      <c r="M100" s="5">
        <f>ROUND(L100/产出与消耗!S17,4)</f>
        <v>1.9E-3</v>
      </c>
      <c r="N100" s="9">
        <v>37</v>
      </c>
      <c r="O100" s="10">
        <f t="shared" si="56"/>
        <v>826950</v>
      </c>
      <c r="P100" s="5">
        <f>ROUND(O100/产出与消耗!S39,4)</f>
        <v>5.4999999999999997E-3</v>
      </c>
      <c r="Q100" s="9">
        <v>8</v>
      </c>
      <c r="R100" s="10">
        <f t="shared" si="57"/>
        <v>178800</v>
      </c>
      <c r="S100" s="5">
        <f>ROUND(R100/产出与消耗!S61,4)</f>
        <v>1.4E-3</v>
      </c>
      <c r="T100" s="8">
        <f t="shared" si="58"/>
        <v>8.7999999999999988E-3</v>
      </c>
    </row>
    <row r="101" spans="1:20">
      <c r="B101">
        <v>16</v>
      </c>
      <c r="C101">
        <f>MAX(ROUND(C102-(C103-C102)/(产出与消耗!$K$20-产出与消耗!$K$19)*(产出与消耗!$K$19-产出与消耗!$K$18)*1.004,0),0)</f>
        <v>25779</v>
      </c>
      <c r="D101" s="9">
        <v>5</v>
      </c>
      <c r="E101">
        <f>ROUND(D101*C101/3600/(建筑!G101*基本公式!$B$154),2)</f>
        <v>4.4800000000000004</v>
      </c>
      <c r="F101" s="9">
        <f t="shared" si="59"/>
        <v>14</v>
      </c>
      <c r="G101" s="10">
        <f t="shared" si="54"/>
        <v>360906</v>
      </c>
      <c r="K101" s="9">
        <v>13</v>
      </c>
      <c r="L101" s="10">
        <f t="shared" si="55"/>
        <v>335127</v>
      </c>
      <c r="M101" s="5">
        <f>ROUND(L101/产出与消耗!S18,4)</f>
        <v>1.1999999999999999E-3</v>
      </c>
      <c r="N101" s="9">
        <v>37</v>
      </c>
      <c r="O101" s="10">
        <f t="shared" si="56"/>
        <v>953823</v>
      </c>
      <c r="P101" s="5">
        <f>ROUND(O101/产出与消耗!S40,4)</f>
        <v>3.5000000000000001E-3</v>
      </c>
      <c r="Q101" s="9">
        <v>8</v>
      </c>
      <c r="R101" s="10">
        <f t="shared" si="57"/>
        <v>206232</v>
      </c>
      <c r="S101" s="5">
        <f>ROUND(R101/产出与消耗!S62,4)</f>
        <v>8.9999999999999998E-4</v>
      </c>
      <c r="T101" s="8">
        <f t="shared" si="58"/>
        <v>5.5999999999999999E-3</v>
      </c>
    </row>
    <row r="102" spans="1:20">
      <c r="B102">
        <v>17</v>
      </c>
      <c r="C102">
        <f>MAX(ROUND(C103-(C104-C103)/(产出与消耗!$K$21-产出与消耗!$K$20)*(产出与消耗!$K$20-产出与消耗!$K$19)*1.004,0),0)</f>
        <v>29536</v>
      </c>
      <c r="D102" s="9">
        <v>5</v>
      </c>
      <c r="E102">
        <f>ROUND(D102*C102/3600/(建筑!G102*基本公式!$B$154),2)</f>
        <v>5.13</v>
      </c>
      <c r="F102" s="9">
        <f t="shared" si="59"/>
        <v>14</v>
      </c>
      <c r="G102" s="10">
        <f t="shared" si="54"/>
        <v>413504</v>
      </c>
      <c r="K102" s="9">
        <v>13</v>
      </c>
      <c r="L102" s="10">
        <f t="shared" si="55"/>
        <v>383968</v>
      </c>
      <c r="M102" s="5">
        <f>ROUND(L102/产出与消耗!S19,4)</f>
        <v>8.9999999999999998E-4</v>
      </c>
      <c r="N102" s="9">
        <v>37</v>
      </c>
      <c r="O102" s="10">
        <f t="shared" si="56"/>
        <v>1092832</v>
      </c>
      <c r="P102" s="5">
        <f>ROUND(O102/产出与消耗!S41,4)</f>
        <v>2.7000000000000001E-3</v>
      </c>
      <c r="Q102" s="9">
        <v>8</v>
      </c>
      <c r="R102" s="10">
        <f t="shared" si="57"/>
        <v>236288</v>
      </c>
      <c r="S102" s="5">
        <f>ROUND(R102/产出与消耗!S63,4)</f>
        <v>6.9999999999999999E-4</v>
      </c>
      <c r="T102" s="8">
        <f t="shared" si="58"/>
        <v>4.3E-3</v>
      </c>
    </row>
    <row r="103" spans="1:20">
      <c r="B103">
        <v>18</v>
      </c>
      <c r="C103">
        <f>MAX(ROUND(C104-(C105-C104)/(产出与消耗!$K$22-产出与消耗!$K$21)*(产出与消耗!$K$21-产出与消耗!$K$20)*1.004,0),0)</f>
        <v>33732</v>
      </c>
      <c r="D103" s="9">
        <v>5</v>
      </c>
      <c r="E103">
        <f>ROUND(D103*C103/3600/(建筑!G103*基本公式!$B$154),2)</f>
        <v>5.86</v>
      </c>
      <c r="F103" s="9">
        <f t="shared" si="59"/>
        <v>14</v>
      </c>
      <c r="G103" s="10">
        <f t="shared" si="54"/>
        <v>472248</v>
      </c>
      <c r="K103" s="9">
        <v>13</v>
      </c>
      <c r="L103" s="10">
        <f t="shared" si="55"/>
        <v>438516</v>
      </c>
      <c r="M103" s="5">
        <f>ROUND(L103/产出与消耗!S20,4)</f>
        <v>5.9999999999999995E-4</v>
      </c>
      <c r="N103" s="9">
        <v>37</v>
      </c>
      <c r="O103" s="10">
        <f t="shared" si="56"/>
        <v>1248084</v>
      </c>
      <c r="P103" s="5">
        <f>ROUND(O103/产出与消耗!S42,4)</f>
        <v>1.8E-3</v>
      </c>
      <c r="Q103" s="9">
        <v>8</v>
      </c>
      <c r="R103" s="10">
        <f t="shared" si="57"/>
        <v>269856</v>
      </c>
      <c r="S103" s="5">
        <f>ROUND(R103/产出与消耗!S64,4)</f>
        <v>5.0000000000000001E-4</v>
      </c>
      <c r="T103" s="8">
        <f t="shared" si="58"/>
        <v>2.8999999999999998E-3</v>
      </c>
    </row>
    <row r="104" spans="1:20">
      <c r="A104" s="18" t="s">
        <v>197</v>
      </c>
      <c r="B104">
        <v>19</v>
      </c>
      <c r="C104">
        <f>ROUND(产出与消耗!$K$21*C105/产出与消耗!$K$22,0)</f>
        <v>38250</v>
      </c>
      <c r="D104" s="9">
        <v>5</v>
      </c>
      <c r="E104">
        <f>ROUND(D104*C104/3600/(建筑!G104*基本公式!$B$154),2)</f>
        <v>6.64</v>
      </c>
      <c r="F104" s="9">
        <f t="shared" si="59"/>
        <v>14</v>
      </c>
      <c r="G104" s="10">
        <f t="shared" si="54"/>
        <v>535500</v>
      </c>
      <c r="K104" s="9">
        <v>13</v>
      </c>
      <c r="L104" s="10">
        <f t="shared" si="55"/>
        <v>497250</v>
      </c>
      <c r="M104" s="5">
        <f>ROUND(L104/产出与消耗!S21,4)</f>
        <v>5.0000000000000001E-4</v>
      </c>
      <c r="N104" s="9">
        <v>37</v>
      </c>
      <c r="O104" s="10">
        <f t="shared" si="56"/>
        <v>1415250</v>
      </c>
      <c r="P104" s="5">
        <f>ROUND(O104/产出与消耗!S43,4)</f>
        <v>1.2999999999999999E-3</v>
      </c>
      <c r="Q104" s="9">
        <v>8</v>
      </c>
      <c r="R104" s="10">
        <f t="shared" si="57"/>
        <v>306000</v>
      </c>
      <c r="S104" s="5">
        <f>ROUND(R104/产出与消耗!S65,4)</f>
        <v>2.9999999999999997E-4</v>
      </c>
      <c r="T104" s="8">
        <f t="shared" si="58"/>
        <v>2.0999999999999999E-3</v>
      </c>
    </row>
    <row r="105" spans="1:20">
      <c r="B105">
        <v>20</v>
      </c>
      <c r="C105">
        <v>45000</v>
      </c>
      <c r="D105" s="9">
        <v>5</v>
      </c>
      <c r="E105">
        <f>ROUND(D105*C105/3600/(建筑!G105*基本公式!$B$154),2)</f>
        <v>6.25</v>
      </c>
      <c r="F105" s="9">
        <f t="shared" si="59"/>
        <v>14</v>
      </c>
      <c r="G105" s="10">
        <f t="shared" si="54"/>
        <v>630000</v>
      </c>
      <c r="K105" s="9">
        <v>13</v>
      </c>
      <c r="L105" s="10">
        <f t="shared" si="55"/>
        <v>585000</v>
      </c>
      <c r="M105" s="5">
        <f>ROUND(L105/产出与消耗!S22,4)</f>
        <v>2.9999999999999997E-4</v>
      </c>
      <c r="N105" s="9">
        <v>37</v>
      </c>
      <c r="O105" s="10">
        <f t="shared" si="56"/>
        <v>1665000</v>
      </c>
      <c r="P105" s="5">
        <f>ROUND(O105/产出与消耗!S44,4)</f>
        <v>1E-3</v>
      </c>
      <c r="Q105" s="9">
        <v>8</v>
      </c>
      <c r="R105" s="10">
        <f t="shared" si="57"/>
        <v>360000</v>
      </c>
      <c r="S105" s="5">
        <f>ROUND(R105/产出与消耗!S66,4)</f>
        <v>2.0000000000000001E-4</v>
      </c>
      <c r="T105" s="8">
        <f t="shared" si="58"/>
        <v>1.5E-3</v>
      </c>
    </row>
    <row r="107" spans="1:20">
      <c r="A107" t="s">
        <v>171</v>
      </c>
      <c r="B107">
        <v>1</v>
      </c>
      <c r="C107">
        <f>MAX(ROUND(C108-(C109-C108)/(产出与消耗!$K$5-产出与消耗!$K$4)*(产出与消耗!$K$4-产出与消耗!$K$3)*1.004,0),0)</f>
        <v>0</v>
      </c>
      <c r="D107" s="9">
        <v>4</v>
      </c>
      <c r="E107">
        <f>ROUND(D107*C107/3600/(建筑!G86*基本公式!$B$154),2)</f>
        <v>0</v>
      </c>
      <c r="F107" s="9">
        <f>F23*1.5</f>
        <v>15</v>
      </c>
      <c r="G107" s="10">
        <f t="shared" ref="G107" si="60">F107*C107</f>
        <v>0</v>
      </c>
      <c r="K107" s="9">
        <v>10</v>
      </c>
      <c r="L107" s="10">
        <f t="shared" ref="L107" si="61">ROUND(K107*C107,0)</f>
        <v>0</v>
      </c>
      <c r="M107" s="5">
        <f>ROUND(L107/产出与消耗!S3,4)</f>
        <v>0</v>
      </c>
      <c r="N107" s="9">
        <v>10</v>
      </c>
      <c r="O107" s="10">
        <f t="shared" ref="O107" si="62">ROUND(N107*C107,0)</f>
        <v>0</v>
      </c>
      <c r="P107" s="5">
        <f>ROUND(O107/产出与消耗!S25,4)</f>
        <v>0</v>
      </c>
      <c r="Q107" s="9">
        <v>28</v>
      </c>
      <c r="R107" s="10">
        <f t="shared" ref="R107" si="63">ROUND(Q107*C107,0)</f>
        <v>0</v>
      </c>
      <c r="S107" s="5">
        <f>ROUND(R107/产出与消耗!S47,4)</f>
        <v>0</v>
      </c>
      <c r="T107" s="8">
        <f t="shared" ref="T107:T126" si="64">M107+P107+S107</f>
        <v>0</v>
      </c>
    </row>
    <row r="108" spans="1:20">
      <c r="B108">
        <v>2</v>
      </c>
      <c r="C108">
        <f>MAX(ROUND(C109-(C110-C109)/(产出与消耗!$K$6-产出与消耗!$K$5)*(产出与消耗!$K$5-产出与消耗!$K$4)*1.004,0),0)</f>
        <v>0</v>
      </c>
      <c r="D108" s="9">
        <v>4</v>
      </c>
      <c r="E108">
        <f>ROUND(D108*C108/3600/(建筑!G87*基本公式!$B$154),2)</f>
        <v>0</v>
      </c>
      <c r="F108" s="9">
        <f t="shared" ref="F108" si="65">F24*1.5</f>
        <v>15</v>
      </c>
      <c r="G108" s="10">
        <f t="shared" ref="G108:G126" si="66">F108*C108</f>
        <v>0</v>
      </c>
      <c r="K108" s="9">
        <v>10</v>
      </c>
      <c r="L108" s="10">
        <f t="shared" ref="L108:L126" si="67">ROUND(K108*C108,0)</f>
        <v>0</v>
      </c>
      <c r="M108" s="5">
        <f>ROUND(L108/产出与消耗!S4,4)</f>
        <v>0</v>
      </c>
      <c r="N108" s="9">
        <v>10</v>
      </c>
      <c r="O108" s="10">
        <f t="shared" ref="O108:O126" si="68">ROUND(N108*C108,0)</f>
        <v>0</v>
      </c>
      <c r="P108" s="5">
        <f>ROUND(O108/产出与消耗!S26,4)</f>
        <v>0</v>
      </c>
      <c r="Q108" s="9">
        <v>28</v>
      </c>
      <c r="R108" s="10">
        <f t="shared" ref="R108:R126" si="69">ROUND(Q108*C108,0)</f>
        <v>0</v>
      </c>
      <c r="S108" s="5">
        <f>ROUND(R108/产出与消耗!S48,4)</f>
        <v>0</v>
      </c>
      <c r="T108" s="8">
        <f t="shared" si="64"/>
        <v>0</v>
      </c>
    </row>
    <row r="109" spans="1:20">
      <c r="B109">
        <v>3</v>
      </c>
      <c r="C109">
        <f>MAX(ROUND(C110-(C111-C110)/(产出与消耗!$K$7-产出与消耗!$K$6)*(产出与消耗!$K$6-产出与消耗!$K$5)*1.004,0),0)</f>
        <v>0</v>
      </c>
      <c r="D109" s="9">
        <v>4</v>
      </c>
      <c r="E109">
        <f>ROUND(D109*C109/3600/(建筑!G88*基本公式!$B$154),2)</f>
        <v>0</v>
      </c>
      <c r="F109" s="9">
        <f t="shared" ref="F109:F126" si="70">F25*1.5</f>
        <v>15</v>
      </c>
      <c r="G109" s="10">
        <f t="shared" si="66"/>
        <v>0</v>
      </c>
      <c r="K109" s="9">
        <v>10</v>
      </c>
      <c r="L109" s="10">
        <f t="shared" si="67"/>
        <v>0</v>
      </c>
      <c r="M109" s="5">
        <f>ROUND(L109/产出与消耗!S5,4)</f>
        <v>0</v>
      </c>
      <c r="N109" s="9">
        <v>10</v>
      </c>
      <c r="O109" s="10">
        <f t="shared" si="68"/>
        <v>0</v>
      </c>
      <c r="P109" s="5">
        <f>ROUND(O109/产出与消耗!S27,4)</f>
        <v>0</v>
      </c>
      <c r="Q109" s="9">
        <v>28</v>
      </c>
      <c r="R109" s="10">
        <f t="shared" si="69"/>
        <v>0</v>
      </c>
      <c r="S109" s="5">
        <f>ROUND(R109/产出与消耗!S49,4)</f>
        <v>0</v>
      </c>
      <c r="T109" s="8">
        <f t="shared" si="64"/>
        <v>0</v>
      </c>
    </row>
    <row r="110" spans="1:20">
      <c r="B110">
        <v>4</v>
      </c>
      <c r="C110">
        <f>MAX(ROUND(C111-(C112-C111)/(产出与消耗!$K$8-产出与消耗!$K$7)*(产出与消耗!$K$7-产出与消耗!$K$6)*1.004,0),0)</f>
        <v>0</v>
      </c>
      <c r="D110" s="9">
        <v>4</v>
      </c>
      <c r="E110">
        <f>ROUND(D110*C110/3600/(建筑!G89*基本公式!$B$154),2)</f>
        <v>0</v>
      </c>
      <c r="F110" s="9">
        <f t="shared" si="70"/>
        <v>15</v>
      </c>
      <c r="G110" s="10">
        <f t="shared" si="66"/>
        <v>0</v>
      </c>
      <c r="K110" s="9">
        <v>10</v>
      </c>
      <c r="L110" s="10">
        <f t="shared" si="67"/>
        <v>0</v>
      </c>
      <c r="M110" s="5">
        <f>ROUND(L110/产出与消耗!S6,4)</f>
        <v>0</v>
      </c>
      <c r="N110" s="9">
        <v>10</v>
      </c>
      <c r="O110" s="10">
        <f t="shared" si="68"/>
        <v>0</v>
      </c>
      <c r="P110" s="5">
        <f>ROUND(O110/产出与消耗!S28,4)</f>
        <v>0</v>
      </c>
      <c r="Q110" s="9">
        <v>28</v>
      </c>
      <c r="R110" s="10">
        <f t="shared" si="69"/>
        <v>0</v>
      </c>
      <c r="S110" s="5">
        <f>ROUND(R110/产出与消耗!S50,4)</f>
        <v>0</v>
      </c>
      <c r="T110" s="8">
        <f t="shared" si="64"/>
        <v>0</v>
      </c>
    </row>
    <row r="111" spans="1:20">
      <c r="B111">
        <v>5</v>
      </c>
      <c r="C111">
        <f>MAX(ROUND(C112-(C113-C112)/(产出与消耗!$K$9-产出与消耗!$K$8)*(产出与消耗!$K$8-产出与消耗!$K$7)*1.004,0),0)</f>
        <v>27</v>
      </c>
      <c r="D111" s="9">
        <v>4</v>
      </c>
      <c r="E111">
        <f>ROUND(D111*C111/3600/(建筑!G90*基本公式!$B$154),2)</f>
        <v>0.02</v>
      </c>
      <c r="F111" s="9">
        <f t="shared" si="70"/>
        <v>15</v>
      </c>
      <c r="G111" s="10">
        <f t="shared" si="66"/>
        <v>405</v>
      </c>
      <c r="K111" s="9">
        <v>10</v>
      </c>
      <c r="L111" s="10">
        <f t="shared" si="67"/>
        <v>270</v>
      </c>
      <c r="M111" s="5">
        <f>ROUND(L111/产出与消耗!S7,4)</f>
        <v>9.9000000000000008E-3</v>
      </c>
      <c r="N111" s="9">
        <v>10</v>
      </c>
      <c r="O111" s="10">
        <f t="shared" si="68"/>
        <v>270</v>
      </c>
      <c r="P111" s="5">
        <f>ROUND(O111/产出与消耗!S29,4)</f>
        <v>9.9000000000000008E-3</v>
      </c>
      <c r="Q111" s="9">
        <v>28</v>
      </c>
      <c r="R111" s="10">
        <f t="shared" si="69"/>
        <v>756</v>
      </c>
      <c r="S111" s="5">
        <f>ROUND(R111/产出与消耗!S51,4)</f>
        <v>2.9600000000000001E-2</v>
      </c>
      <c r="T111" s="8">
        <f t="shared" si="64"/>
        <v>4.9399999999999999E-2</v>
      </c>
    </row>
    <row r="112" spans="1:20">
      <c r="B112">
        <v>6</v>
      </c>
      <c r="C112">
        <f>MAX(ROUND(C113-(C114-C113)/(产出与消耗!$K$10-产出与消耗!$K$9)*(产出与消耗!$K$9-产出与消耗!$K$8)*1.004,0),0)</f>
        <v>622</v>
      </c>
      <c r="D112" s="9">
        <v>4</v>
      </c>
      <c r="E112">
        <f>ROUND(D112*C112/3600/(建筑!G91*基本公式!$B$154),2)</f>
        <v>0.35</v>
      </c>
      <c r="F112" s="9">
        <f t="shared" si="70"/>
        <v>15</v>
      </c>
      <c r="G112" s="10">
        <f t="shared" si="66"/>
        <v>9330</v>
      </c>
      <c r="K112" s="9">
        <v>10</v>
      </c>
      <c r="L112" s="10">
        <f t="shared" si="67"/>
        <v>6220</v>
      </c>
      <c r="M112" s="5">
        <f>ROUND(L112/产出与消耗!S8,4)</f>
        <v>9.8400000000000001E-2</v>
      </c>
      <c r="N112" s="9">
        <v>10</v>
      </c>
      <c r="O112" s="10">
        <f t="shared" si="68"/>
        <v>6220</v>
      </c>
      <c r="P112" s="5">
        <f>ROUND(O112/产出与消耗!S30,4)</f>
        <v>9.8400000000000001E-2</v>
      </c>
      <c r="Q112" s="9">
        <v>28</v>
      </c>
      <c r="R112" s="10">
        <f t="shared" si="69"/>
        <v>17416</v>
      </c>
      <c r="S112" s="5">
        <f>ROUND(R112/产出与消耗!S52,4)</f>
        <v>0.32740000000000002</v>
      </c>
      <c r="T112" s="8">
        <f t="shared" si="64"/>
        <v>0.5242</v>
      </c>
    </row>
    <row r="113" spans="1:20">
      <c r="B113">
        <v>7</v>
      </c>
      <c r="C113">
        <f>MAX(ROUND(C114-(C115-C114)/(产出与消耗!$K$11-产出与消耗!$K$10)*(产出与消耗!$K$10-产出与消耗!$K$9)*1.004,0),0)</f>
        <v>1570</v>
      </c>
      <c r="D113" s="9">
        <v>4</v>
      </c>
      <c r="E113">
        <f>ROUND(D113*C113/3600/(建筑!G92*基本公式!$B$154),2)</f>
        <v>0.44</v>
      </c>
      <c r="F113" s="9">
        <f t="shared" si="70"/>
        <v>15</v>
      </c>
      <c r="G113" s="10">
        <f t="shared" si="66"/>
        <v>23550</v>
      </c>
      <c r="K113" s="9">
        <v>10</v>
      </c>
      <c r="L113" s="10">
        <f t="shared" si="67"/>
        <v>15700</v>
      </c>
      <c r="M113" s="5">
        <f>ROUND(L113/产出与消耗!S9,4)</f>
        <v>0.12330000000000001</v>
      </c>
      <c r="N113" s="9">
        <v>10</v>
      </c>
      <c r="O113" s="10">
        <f t="shared" si="68"/>
        <v>15700</v>
      </c>
      <c r="P113" s="5">
        <f>ROUND(O113/产出与消耗!S31,4)</f>
        <v>0.12330000000000001</v>
      </c>
      <c r="Q113" s="9">
        <v>28</v>
      </c>
      <c r="R113" s="10">
        <f t="shared" si="69"/>
        <v>43960</v>
      </c>
      <c r="S113" s="5">
        <f>ROUND(R113/产出与消耗!S53,4)</f>
        <v>0.40649999999999997</v>
      </c>
      <c r="T113" s="8">
        <f t="shared" si="64"/>
        <v>0.65310000000000001</v>
      </c>
    </row>
    <row r="114" spans="1:20">
      <c r="A114" s="12"/>
      <c r="B114">
        <v>8</v>
      </c>
      <c r="C114">
        <f>MAX(ROUND(C115-(C116-C115)/(产出与消耗!$K$12-产出与消耗!$K$11)*(产出与消耗!$K$11-产出与消耗!$K$10)*1.004,0),0)</f>
        <v>3104</v>
      </c>
      <c r="D114" s="9">
        <v>4</v>
      </c>
      <c r="E114">
        <f>ROUND(D114*C114/3600/(建筑!G93*基本公式!$B$154),2)</f>
        <v>0.86</v>
      </c>
      <c r="F114" s="9">
        <f t="shared" si="70"/>
        <v>15</v>
      </c>
      <c r="G114" s="10">
        <f t="shared" si="66"/>
        <v>46560</v>
      </c>
      <c r="K114" s="9">
        <v>10</v>
      </c>
      <c r="L114" s="10">
        <f t="shared" si="67"/>
        <v>31040</v>
      </c>
      <c r="M114" s="5">
        <f>ROUND(L114/产出与消耗!S10,4)</f>
        <v>5.8599999999999999E-2</v>
      </c>
      <c r="N114" s="9">
        <v>10</v>
      </c>
      <c r="O114" s="10">
        <f t="shared" si="68"/>
        <v>31040</v>
      </c>
      <c r="P114" s="5">
        <f>ROUND(O114/产出与消耗!S32,4)</f>
        <v>5.8599999999999999E-2</v>
      </c>
      <c r="Q114" s="9">
        <v>28</v>
      </c>
      <c r="R114" s="10">
        <f t="shared" si="69"/>
        <v>86912</v>
      </c>
      <c r="S114" s="5">
        <f>ROUND(R114/产出与消耗!S54,4)</f>
        <v>0.192</v>
      </c>
      <c r="T114" s="8">
        <f t="shared" si="64"/>
        <v>0.30920000000000003</v>
      </c>
    </row>
    <row r="115" spans="1:20">
      <c r="B115">
        <v>9</v>
      </c>
      <c r="C115">
        <f>MAX(ROUND(C116-(C117-C116)/(产出与消耗!$K$13-产出与消耗!$K$12)*(产出与消耗!$K$12-产出与消耗!$K$11)*1.004,0),0)</f>
        <v>4632</v>
      </c>
      <c r="D115" s="9">
        <v>4</v>
      </c>
      <c r="E115">
        <f>ROUND(D115*C115/3600/(建筑!G94*基本公式!$B$154),2)</f>
        <v>1.29</v>
      </c>
      <c r="F115" s="9">
        <f t="shared" si="70"/>
        <v>15</v>
      </c>
      <c r="G115" s="10">
        <f t="shared" si="66"/>
        <v>69480</v>
      </c>
      <c r="K115" s="9">
        <v>10</v>
      </c>
      <c r="L115" s="10">
        <f t="shared" si="67"/>
        <v>46320</v>
      </c>
      <c r="M115" s="5">
        <f>ROUND(L115/产出与消耗!S11,4)</f>
        <v>3.7999999999999999E-2</v>
      </c>
      <c r="N115" s="9">
        <v>10</v>
      </c>
      <c r="O115" s="10">
        <f t="shared" si="68"/>
        <v>46320</v>
      </c>
      <c r="P115" s="5">
        <f>ROUND(O115/产出与消耗!S33,4)</f>
        <v>3.7999999999999999E-2</v>
      </c>
      <c r="Q115" s="9">
        <v>28</v>
      </c>
      <c r="R115" s="10">
        <f t="shared" si="69"/>
        <v>129696</v>
      </c>
      <c r="S115" s="5">
        <f>ROUND(R115/产出与消耗!S55,4)</f>
        <v>0.12429999999999999</v>
      </c>
      <c r="T115" s="8">
        <f t="shared" si="64"/>
        <v>0.20029999999999998</v>
      </c>
    </row>
    <row r="116" spans="1:20">
      <c r="A116" s="17" t="s">
        <v>195</v>
      </c>
      <c r="B116">
        <v>10</v>
      </c>
      <c r="C116">
        <f>MAX(ROUND(C117-(C118-C117)/(产出与消耗!$K$14-产出与消耗!$K$13)*(产出与消耗!$K$13-产出与消耗!$K$12)*1.004,0),0)</f>
        <v>7091</v>
      </c>
      <c r="D116" s="9">
        <v>4</v>
      </c>
      <c r="E116">
        <f>ROUND(D116*C116/3600/(建筑!G95*基本公式!$B$154),2)</f>
        <v>1.97</v>
      </c>
      <c r="F116" s="9">
        <f t="shared" si="70"/>
        <v>15</v>
      </c>
      <c r="G116" s="10">
        <f t="shared" si="66"/>
        <v>106365</v>
      </c>
      <c r="K116" s="9">
        <v>10</v>
      </c>
      <c r="L116" s="10">
        <f t="shared" si="67"/>
        <v>70910</v>
      </c>
      <c r="M116" s="5">
        <f>ROUND(L116/产出与消耗!S12,4)</f>
        <v>1.8100000000000002E-2</v>
      </c>
      <c r="N116" s="9">
        <v>10</v>
      </c>
      <c r="O116" s="10">
        <f t="shared" si="68"/>
        <v>70910</v>
      </c>
      <c r="P116" s="5">
        <f>ROUND(O116/产出与消耗!S34,4)</f>
        <v>1.8100000000000002E-2</v>
      </c>
      <c r="Q116" s="9">
        <v>28</v>
      </c>
      <c r="R116" s="10">
        <f t="shared" si="69"/>
        <v>198548</v>
      </c>
      <c r="S116" s="5">
        <f>ROUND(R116/产出与消耗!S56,4)</f>
        <v>5.91E-2</v>
      </c>
      <c r="T116" s="8">
        <f t="shared" si="64"/>
        <v>9.5299999999999996E-2</v>
      </c>
    </row>
    <row r="117" spans="1:20">
      <c r="B117">
        <v>11</v>
      </c>
      <c r="C117">
        <f>MAX(ROUND(C118-(C119-C118)/(产出与消耗!$K$15-产出与消耗!$K$14)*(产出与消耗!$K$14-产出与消耗!$K$13)*1.004,0),0)</f>
        <v>8607</v>
      </c>
      <c r="D117" s="9">
        <v>4</v>
      </c>
      <c r="E117">
        <f>ROUND(D117*C117/3600/(建筑!G96*基本公式!$B$154),2)</f>
        <v>2.39</v>
      </c>
      <c r="F117" s="9">
        <f t="shared" si="70"/>
        <v>15</v>
      </c>
      <c r="G117" s="10">
        <f t="shared" si="66"/>
        <v>129105</v>
      </c>
      <c r="K117" s="9">
        <v>10</v>
      </c>
      <c r="L117" s="10">
        <f t="shared" si="67"/>
        <v>86070</v>
      </c>
      <c r="M117" s="5">
        <f>ROUND(L117/产出与消耗!S13,4)</f>
        <v>1.0800000000000001E-2</v>
      </c>
      <c r="N117" s="9">
        <v>10</v>
      </c>
      <c r="O117" s="10">
        <f t="shared" si="68"/>
        <v>86070</v>
      </c>
      <c r="P117" s="5">
        <f>ROUND(O117/产出与消耗!S35,4)</f>
        <v>1.0800000000000001E-2</v>
      </c>
      <c r="Q117" s="9">
        <v>28</v>
      </c>
      <c r="R117" s="10">
        <f t="shared" si="69"/>
        <v>240996</v>
      </c>
      <c r="S117" s="5">
        <f>ROUND(R117/产出与消耗!S57,4)</f>
        <v>3.5200000000000002E-2</v>
      </c>
      <c r="T117" s="8">
        <f t="shared" si="64"/>
        <v>5.6800000000000003E-2</v>
      </c>
    </row>
    <row r="118" spans="1:20">
      <c r="B118">
        <v>12</v>
      </c>
      <c r="C118">
        <f>MAX(ROUND(C119-(C120-C119)/(产出与消耗!$K$16-产出与消耗!$K$15)*(产出与消耗!$K$15-产出与消耗!$K$14)*1.004,0),0)</f>
        <v>12556</v>
      </c>
      <c r="D118" s="9">
        <v>4</v>
      </c>
      <c r="E118">
        <f>ROUND(D118*C118/3600/(建筑!G97*基本公式!$B$154),2)</f>
        <v>2.33</v>
      </c>
      <c r="F118" s="9">
        <f t="shared" si="70"/>
        <v>15</v>
      </c>
      <c r="G118" s="10">
        <f t="shared" si="66"/>
        <v>188340</v>
      </c>
      <c r="K118" s="9">
        <v>10</v>
      </c>
      <c r="L118" s="10">
        <f t="shared" si="67"/>
        <v>125560</v>
      </c>
      <c r="M118" s="5">
        <f>ROUND(L118/产出与消耗!S14,4)</f>
        <v>5.5999999999999999E-3</v>
      </c>
      <c r="N118" s="9">
        <v>10</v>
      </c>
      <c r="O118" s="10">
        <f t="shared" si="68"/>
        <v>125560</v>
      </c>
      <c r="P118" s="5">
        <f>ROUND(O118/产出与消耗!S36,4)</f>
        <v>5.5999999999999999E-3</v>
      </c>
      <c r="Q118" s="9">
        <v>28</v>
      </c>
      <c r="R118" s="10">
        <f t="shared" si="69"/>
        <v>351568</v>
      </c>
      <c r="S118" s="5">
        <f>ROUND(R118/产出与消耗!S58,4)</f>
        <v>1.8200000000000001E-2</v>
      </c>
      <c r="T118" s="8">
        <f t="shared" si="64"/>
        <v>2.9400000000000003E-2</v>
      </c>
    </row>
    <row r="119" spans="1:20">
      <c r="A119" s="12"/>
      <c r="B119">
        <v>13</v>
      </c>
      <c r="C119">
        <f>MAX(ROUND(C120-(C121-C120)/(产出与消耗!$K$17-产出与消耗!$K$16)*(产出与消耗!$K$16-产出与消耗!$K$15)*1.004,0),0)</f>
        <v>15911</v>
      </c>
      <c r="D119" s="9">
        <v>4</v>
      </c>
      <c r="E119">
        <f>ROUND(D119*C119/3600/(建筑!G98*基本公式!$B$154),2)</f>
        <v>2.95</v>
      </c>
      <c r="F119" s="9">
        <f t="shared" si="70"/>
        <v>15</v>
      </c>
      <c r="G119" s="10">
        <f t="shared" si="66"/>
        <v>238665</v>
      </c>
      <c r="K119" s="9">
        <v>10</v>
      </c>
      <c r="L119" s="10">
        <f t="shared" si="67"/>
        <v>159110</v>
      </c>
      <c r="M119" s="5">
        <f>ROUND(L119/产出与消耗!S15,4)</f>
        <v>3.5999999999999999E-3</v>
      </c>
      <c r="N119" s="9">
        <v>10</v>
      </c>
      <c r="O119" s="10">
        <f t="shared" si="68"/>
        <v>159110</v>
      </c>
      <c r="P119" s="5">
        <f>ROUND(O119/产出与消耗!S37,4)</f>
        <v>3.5999999999999999E-3</v>
      </c>
      <c r="Q119" s="9">
        <v>28</v>
      </c>
      <c r="R119" s="10">
        <f t="shared" si="69"/>
        <v>445508</v>
      </c>
      <c r="S119" s="5">
        <f>ROUND(R119/产出与消耗!S59,4)</f>
        <v>1.1900000000000001E-2</v>
      </c>
      <c r="T119" s="8">
        <f t="shared" si="64"/>
        <v>1.9099999999999999E-2</v>
      </c>
    </row>
    <row r="120" spans="1:20">
      <c r="A120" s="17" t="s">
        <v>196</v>
      </c>
      <c r="B120">
        <v>14</v>
      </c>
      <c r="C120">
        <f>MAX(ROUND(C121-(C122-C121)/(产出与消耗!$K$18-产出与消耗!$K$17)*(产出与消耗!$K$17-产出与消耗!$K$16)*1.004,0),0)</f>
        <v>18907</v>
      </c>
      <c r="D120" s="9">
        <v>4</v>
      </c>
      <c r="E120">
        <f>ROUND(D120*C120/3600/(建筑!G99*基本公式!$B$154),2)</f>
        <v>3.5</v>
      </c>
      <c r="F120" s="9">
        <f t="shared" si="70"/>
        <v>15</v>
      </c>
      <c r="G120" s="10">
        <f t="shared" si="66"/>
        <v>283605</v>
      </c>
      <c r="K120" s="9">
        <v>10</v>
      </c>
      <c r="L120" s="10">
        <f t="shared" si="67"/>
        <v>189070</v>
      </c>
      <c r="M120" s="5">
        <f>ROUND(L120/产出与消耗!S16,4)</f>
        <v>2.0999999999999999E-3</v>
      </c>
      <c r="N120" s="9">
        <v>10</v>
      </c>
      <c r="O120" s="10">
        <f t="shared" si="68"/>
        <v>189070</v>
      </c>
      <c r="P120" s="5">
        <f>ROUND(O120/产出与消耗!S38,4)</f>
        <v>2.0999999999999999E-3</v>
      </c>
      <c r="Q120" s="9">
        <v>28</v>
      </c>
      <c r="R120" s="10">
        <f t="shared" si="69"/>
        <v>529396</v>
      </c>
      <c r="S120" s="5">
        <f>ROUND(R120/产出与消耗!S60,4)</f>
        <v>6.7999999999999996E-3</v>
      </c>
      <c r="T120" s="8">
        <f t="shared" si="64"/>
        <v>1.0999999999999999E-2</v>
      </c>
    </row>
    <row r="121" spans="1:20">
      <c r="B121">
        <v>15</v>
      </c>
      <c r="C121">
        <f>MAX(ROUND(C122-(C123-C122)/(产出与消耗!$K$19-产出与消耗!$K$18)*(产出与消耗!$K$18-产出与消耗!$K$17)*1.004,0),0)</f>
        <v>22350</v>
      </c>
      <c r="D121" s="9">
        <v>4</v>
      </c>
      <c r="E121">
        <f>ROUND(D121*C121/3600/(建筑!G100*基本公式!$B$154),2)</f>
        <v>4.1399999999999997</v>
      </c>
      <c r="F121" s="9">
        <f t="shared" si="70"/>
        <v>15</v>
      </c>
      <c r="G121" s="10">
        <f t="shared" si="66"/>
        <v>335250</v>
      </c>
      <c r="K121" s="9">
        <v>10</v>
      </c>
      <c r="L121" s="10">
        <f t="shared" si="67"/>
        <v>223500</v>
      </c>
      <c r="M121" s="5">
        <f>ROUND(L121/产出与消耗!S17,4)</f>
        <v>1.5E-3</v>
      </c>
      <c r="N121" s="9">
        <v>10</v>
      </c>
      <c r="O121" s="10">
        <f t="shared" si="68"/>
        <v>223500</v>
      </c>
      <c r="P121" s="5">
        <f>ROUND(O121/产出与消耗!S39,4)</f>
        <v>1.5E-3</v>
      </c>
      <c r="Q121" s="9">
        <v>28</v>
      </c>
      <c r="R121" s="10">
        <f t="shared" si="69"/>
        <v>625800</v>
      </c>
      <c r="S121" s="5">
        <f>ROUND(R121/产出与消耗!S61,4)</f>
        <v>4.8999999999999998E-3</v>
      </c>
      <c r="T121" s="8">
        <f t="shared" si="64"/>
        <v>7.9000000000000008E-3</v>
      </c>
    </row>
    <row r="122" spans="1:20">
      <c r="B122">
        <v>16</v>
      </c>
      <c r="C122">
        <f>MAX(ROUND(C123-(C124-C123)/(产出与消耗!$K$20-产出与消耗!$K$19)*(产出与消耗!$K$19-产出与消耗!$K$18)*1.004,0),0)</f>
        <v>25779</v>
      </c>
      <c r="D122" s="9">
        <v>4</v>
      </c>
      <c r="E122">
        <f>ROUND(D122*C122/3600/(建筑!G101*基本公式!$B$154),2)</f>
        <v>3.58</v>
      </c>
      <c r="F122" s="9">
        <f t="shared" si="70"/>
        <v>15</v>
      </c>
      <c r="G122" s="10">
        <f t="shared" si="66"/>
        <v>386685</v>
      </c>
      <c r="K122" s="9">
        <v>10</v>
      </c>
      <c r="L122" s="10">
        <f t="shared" si="67"/>
        <v>257790</v>
      </c>
      <c r="M122" s="5">
        <f>ROUND(L122/产出与消耗!S18,4)</f>
        <v>8.9999999999999998E-4</v>
      </c>
      <c r="N122" s="9">
        <v>10</v>
      </c>
      <c r="O122" s="10">
        <f t="shared" si="68"/>
        <v>257790</v>
      </c>
      <c r="P122" s="5">
        <f>ROUND(O122/产出与消耗!S40,4)</f>
        <v>8.9999999999999998E-4</v>
      </c>
      <c r="Q122" s="9">
        <v>28</v>
      </c>
      <c r="R122" s="10">
        <f t="shared" si="69"/>
        <v>721812</v>
      </c>
      <c r="S122" s="5">
        <f>ROUND(R122/产出与消耗!S62,4)</f>
        <v>3.0999999999999999E-3</v>
      </c>
      <c r="T122" s="8">
        <f t="shared" si="64"/>
        <v>4.8999999999999998E-3</v>
      </c>
    </row>
    <row r="123" spans="1:20">
      <c r="B123">
        <v>17</v>
      </c>
      <c r="C123">
        <f>MAX(ROUND(C124-(C125-C124)/(产出与消耗!$K$21-产出与消耗!$K$20)*(产出与消耗!$K$20-产出与消耗!$K$19)*1.004,0),0)</f>
        <v>29536</v>
      </c>
      <c r="D123" s="9">
        <v>4</v>
      </c>
      <c r="E123">
        <f>ROUND(D123*C123/3600/(建筑!G102*基本公式!$B$154),2)</f>
        <v>4.0999999999999996</v>
      </c>
      <c r="F123" s="9">
        <f t="shared" si="70"/>
        <v>15</v>
      </c>
      <c r="G123" s="10">
        <f t="shared" si="66"/>
        <v>443040</v>
      </c>
      <c r="K123" s="9">
        <v>10</v>
      </c>
      <c r="L123" s="10">
        <f t="shared" si="67"/>
        <v>295360</v>
      </c>
      <c r="M123" s="5">
        <f>ROUND(L123/产出与消耗!S19,4)</f>
        <v>6.9999999999999999E-4</v>
      </c>
      <c r="N123" s="9">
        <v>10</v>
      </c>
      <c r="O123" s="10">
        <f t="shared" si="68"/>
        <v>295360</v>
      </c>
      <c r="P123" s="5">
        <f>ROUND(O123/产出与消耗!S41,4)</f>
        <v>6.9999999999999999E-4</v>
      </c>
      <c r="Q123" s="9">
        <v>28</v>
      </c>
      <c r="R123" s="10">
        <f t="shared" si="69"/>
        <v>827008</v>
      </c>
      <c r="S123" s="5">
        <f>ROUND(R123/产出与消耗!S63,4)</f>
        <v>2.3999999999999998E-3</v>
      </c>
      <c r="T123" s="8">
        <f t="shared" si="64"/>
        <v>3.7999999999999996E-3</v>
      </c>
    </row>
    <row r="124" spans="1:20">
      <c r="B124">
        <v>18</v>
      </c>
      <c r="C124">
        <f>MAX(ROUND(C125-(C126-C125)/(产出与消耗!$K$22-产出与消耗!$K$21)*(产出与消耗!$K$21-产出与消耗!$K$20)*1.004,0),0)</f>
        <v>33732</v>
      </c>
      <c r="D124" s="9">
        <v>4</v>
      </c>
      <c r="E124">
        <f>ROUND(D124*C124/3600/(建筑!G103*基本公式!$B$154),2)</f>
        <v>4.6900000000000004</v>
      </c>
      <c r="F124" s="9">
        <f t="shared" si="70"/>
        <v>15</v>
      </c>
      <c r="G124" s="10">
        <f t="shared" si="66"/>
        <v>505980</v>
      </c>
      <c r="K124" s="9">
        <v>10</v>
      </c>
      <c r="L124" s="10">
        <f t="shared" si="67"/>
        <v>337320</v>
      </c>
      <c r="M124" s="5">
        <f>ROUND(L124/产出与消耗!S20,4)</f>
        <v>5.0000000000000001E-4</v>
      </c>
      <c r="N124" s="9">
        <v>10</v>
      </c>
      <c r="O124" s="10">
        <f t="shared" si="68"/>
        <v>337320</v>
      </c>
      <c r="P124" s="5">
        <f>ROUND(O124/产出与消耗!S42,4)</f>
        <v>5.0000000000000001E-4</v>
      </c>
      <c r="Q124" s="9">
        <v>28</v>
      </c>
      <c r="R124" s="10">
        <f t="shared" si="69"/>
        <v>944496</v>
      </c>
      <c r="S124" s="5">
        <f>ROUND(R124/产出与消耗!S64,4)</f>
        <v>1.6000000000000001E-3</v>
      </c>
      <c r="T124" s="8">
        <f t="shared" si="64"/>
        <v>2.5999999999999999E-3</v>
      </c>
    </row>
    <row r="125" spans="1:20">
      <c r="A125" s="18" t="s">
        <v>197</v>
      </c>
      <c r="B125">
        <v>19</v>
      </c>
      <c r="C125">
        <f>ROUND(产出与消耗!$K$21*C126/产出与消耗!$K$22,0)</f>
        <v>38250</v>
      </c>
      <c r="D125" s="9">
        <v>4</v>
      </c>
      <c r="E125">
        <f>ROUND(D125*C125/3600/(建筑!G104*基本公式!$B$154),2)</f>
        <v>5.31</v>
      </c>
      <c r="F125" s="9">
        <f t="shared" si="70"/>
        <v>15</v>
      </c>
      <c r="G125" s="10">
        <f t="shared" si="66"/>
        <v>573750</v>
      </c>
      <c r="K125" s="9">
        <v>10</v>
      </c>
      <c r="L125" s="10">
        <f t="shared" si="67"/>
        <v>382500</v>
      </c>
      <c r="M125" s="5">
        <f>ROUND(L125/产出与消耗!S21,4)</f>
        <v>4.0000000000000002E-4</v>
      </c>
      <c r="N125" s="9">
        <v>10</v>
      </c>
      <c r="O125" s="10">
        <f t="shared" si="68"/>
        <v>382500</v>
      </c>
      <c r="P125" s="5">
        <f>ROUND(O125/产出与消耗!S43,4)</f>
        <v>4.0000000000000002E-4</v>
      </c>
      <c r="Q125" s="9">
        <v>28</v>
      </c>
      <c r="R125" s="10">
        <f t="shared" si="69"/>
        <v>1071000</v>
      </c>
      <c r="S125" s="5">
        <f>ROUND(R125/产出与消耗!S65,4)</f>
        <v>1.1999999999999999E-3</v>
      </c>
      <c r="T125" s="8">
        <f t="shared" si="64"/>
        <v>2E-3</v>
      </c>
    </row>
    <row r="126" spans="1:20">
      <c r="B126">
        <v>20</v>
      </c>
      <c r="C126">
        <v>45000</v>
      </c>
      <c r="D126" s="9">
        <v>4</v>
      </c>
      <c r="E126">
        <f>ROUND(D126*C126/3600/(建筑!G105*基本公式!$B$154),2)</f>
        <v>5</v>
      </c>
      <c r="F126" s="9">
        <f t="shared" si="70"/>
        <v>15</v>
      </c>
      <c r="G126" s="10">
        <f t="shared" si="66"/>
        <v>675000</v>
      </c>
      <c r="K126" s="9">
        <v>10</v>
      </c>
      <c r="L126" s="10">
        <f t="shared" si="67"/>
        <v>450000</v>
      </c>
      <c r="M126" s="5">
        <f>ROUND(L126/产出与消耗!S22,4)</f>
        <v>2.9999999999999997E-4</v>
      </c>
      <c r="N126" s="9">
        <v>10</v>
      </c>
      <c r="O126" s="10">
        <f t="shared" si="68"/>
        <v>450000</v>
      </c>
      <c r="P126" s="5">
        <f>ROUND(O126/产出与消耗!S44,4)</f>
        <v>2.9999999999999997E-4</v>
      </c>
      <c r="Q126" s="9">
        <v>28</v>
      </c>
      <c r="R126" s="10">
        <f t="shared" si="69"/>
        <v>1260000</v>
      </c>
      <c r="S126" s="5">
        <f>ROUND(R126/产出与消耗!S66,4)</f>
        <v>8.0000000000000004E-4</v>
      </c>
      <c r="T126" s="8">
        <f t="shared" si="64"/>
        <v>1.4E-3</v>
      </c>
    </row>
    <row r="128" spans="1:20">
      <c r="A128" t="s">
        <v>177</v>
      </c>
      <c r="B128">
        <v>1</v>
      </c>
      <c r="C128">
        <f>MAX(ROUND(C129-(C130-C129)/(产出与消耗!$K$5-产出与消耗!$K$4)*(产出与消耗!$K$4-产出与消耗!$K$3)*1.004,0),0)</f>
        <v>0</v>
      </c>
      <c r="D128" s="9">
        <v>2</v>
      </c>
      <c r="E128">
        <f>ROUND(D128*C128/3600/(建筑!G86*基本公式!$B$154),2)</f>
        <v>0</v>
      </c>
      <c r="F128" s="9">
        <f>F44*1.5</f>
        <v>18</v>
      </c>
      <c r="G128" s="10">
        <f t="shared" ref="G128" si="71">F128*C128</f>
        <v>0</v>
      </c>
      <c r="K128" s="9">
        <v>35</v>
      </c>
      <c r="L128" s="10">
        <f t="shared" ref="L128" si="72">ROUND(K128*C128,0)</f>
        <v>0</v>
      </c>
      <c r="M128" s="5">
        <f>ROUND(L128/产出与消耗!S3,4)</f>
        <v>0</v>
      </c>
      <c r="N128" s="9">
        <v>6</v>
      </c>
      <c r="O128" s="10">
        <f t="shared" ref="O128" si="73">ROUND(N128*C128,0)</f>
        <v>0</v>
      </c>
      <c r="P128" s="5">
        <f>ROUND(O128/产出与消耗!S25,4)</f>
        <v>0</v>
      </c>
      <c r="Q128" s="9">
        <v>14</v>
      </c>
      <c r="R128" s="10">
        <f t="shared" ref="R128" si="74">ROUND(Q128*C128,0)</f>
        <v>0</v>
      </c>
      <c r="S128" s="5">
        <f>ROUND(R128/产出与消耗!S47,4)</f>
        <v>0</v>
      </c>
      <c r="T128" s="8">
        <f t="shared" ref="T128:T147" si="75">M128+P128+S128</f>
        <v>0</v>
      </c>
    </row>
    <row r="129" spans="1:20">
      <c r="B129">
        <v>2</v>
      </c>
      <c r="C129">
        <f>MAX(ROUND(C130-(C131-C130)/(产出与消耗!$K$6-产出与消耗!$K$5)*(产出与消耗!$K$5-产出与消耗!$K$4)*1.004,0),0)</f>
        <v>0</v>
      </c>
      <c r="D129" s="9">
        <v>2</v>
      </c>
      <c r="E129">
        <f>ROUND(D129*C129/3600/(建筑!G87*基本公式!$B$154),2)</f>
        <v>0</v>
      </c>
      <c r="F129" s="9">
        <f t="shared" ref="F129" si="76">F45*1.5</f>
        <v>18</v>
      </c>
      <c r="G129" s="10">
        <f t="shared" ref="G129:G147" si="77">F129*C129</f>
        <v>0</v>
      </c>
      <c r="K129" s="9">
        <v>35</v>
      </c>
      <c r="L129" s="10">
        <f t="shared" ref="L129:L147" si="78">ROUND(K129*C129,0)</f>
        <v>0</v>
      </c>
      <c r="M129" s="5">
        <f>ROUND(L129/产出与消耗!S4,4)</f>
        <v>0</v>
      </c>
      <c r="N129" s="9">
        <v>6</v>
      </c>
      <c r="O129" s="10">
        <f t="shared" ref="O129:O147" si="79">ROUND(N129*C129,0)</f>
        <v>0</v>
      </c>
      <c r="P129" s="5">
        <f>ROUND(O129/产出与消耗!S26,4)</f>
        <v>0</v>
      </c>
      <c r="Q129" s="9">
        <v>14</v>
      </c>
      <c r="R129" s="10">
        <f t="shared" ref="R129:R147" si="80">ROUND(Q129*C129,0)</f>
        <v>0</v>
      </c>
      <c r="S129" s="5">
        <f>ROUND(R129/产出与消耗!S48,4)</f>
        <v>0</v>
      </c>
      <c r="T129" s="8">
        <f t="shared" si="75"/>
        <v>0</v>
      </c>
    </row>
    <row r="130" spans="1:20">
      <c r="B130">
        <v>3</v>
      </c>
      <c r="C130">
        <f>MAX(ROUND(C131-(C132-C131)/(产出与消耗!$K$7-产出与消耗!$K$6)*(产出与消耗!$K$6-产出与消耗!$K$5)*1.004,0),0)</f>
        <v>0</v>
      </c>
      <c r="D130" s="9">
        <v>2</v>
      </c>
      <c r="E130">
        <f>ROUND(D130*C130/3600/(建筑!G88*基本公式!$B$154),2)</f>
        <v>0</v>
      </c>
      <c r="F130" s="9">
        <f t="shared" ref="F130:F147" si="81">F46*1.5</f>
        <v>18</v>
      </c>
      <c r="G130" s="10">
        <f t="shared" si="77"/>
        <v>0</v>
      </c>
      <c r="K130" s="9">
        <v>35</v>
      </c>
      <c r="L130" s="10">
        <f t="shared" si="78"/>
        <v>0</v>
      </c>
      <c r="M130" s="5">
        <f>ROUND(L130/产出与消耗!S5,4)</f>
        <v>0</v>
      </c>
      <c r="N130" s="9">
        <v>6</v>
      </c>
      <c r="O130" s="10">
        <f t="shared" si="79"/>
        <v>0</v>
      </c>
      <c r="P130" s="5">
        <f>ROUND(O130/产出与消耗!S27,4)</f>
        <v>0</v>
      </c>
      <c r="Q130" s="9">
        <v>14</v>
      </c>
      <c r="R130" s="10">
        <f t="shared" si="80"/>
        <v>0</v>
      </c>
      <c r="S130" s="5">
        <f>ROUND(R130/产出与消耗!S49,4)</f>
        <v>0</v>
      </c>
      <c r="T130" s="8">
        <f t="shared" si="75"/>
        <v>0</v>
      </c>
    </row>
    <row r="131" spans="1:20">
      <c r="B131">
        <v>4</v>
      </c>
      <c r="C131">
        <f>MAX(ROUND(C132-(C133-C132)/(产出与消耗!$K$8-产出与消耗!$K$7)*(产出与消耗!$K$7-产出与消耗!$K$6)*1.004,0),0)</f>
        <v>0</v>
      </c>
      <c r="D131" s="9">
        <v>2</v>
      </c>
      <c r="E131">
        <f>ROUND(D131*C131/3600/(建筑!G89*基本公式!$B$154),2)</f>
        <v>0</v>
      </c>
      <c r="F131" s="9">
        <f t="shared" si="81"/>
        <v>18</v>
      </c>
      <c r="G131" s="10">
        <f t="shared" si="77"/>
        <v>0</v>
      </c>
      <c r="K131" s="9">
        <v>35</v>
      </c>
      <c r="L131" s="10">
        <f t="shared" si="78"/>
        <v>0</v>
      </c>
      <c r="M131" s="5">
        <f>ROUND(L131/产出与消耗!S6,4)</f>
        <v>0</v>
      </c>
      <c r="N131" s="9">
        <v>6</v>
      </c>
      <c r="O131" s="10">
        <f t="shared" si="79"/>
        <v>0</v>
      </c>
      <c r="P131" s="5">
        <f>ROUND(O131/产出与消耗!S28,4)</f>
        <v>0</v>
      </c>
      <c r="Q131" s="9">
        <v>14</v>
      </c>
      <c r="R131" s="10">
        <f t="shared" si="80"/>
        <v>0</v>
      </c>
      <c r="S131" s="5">
        <f>ROUND(R131/产出与消耗!S50,4)</f>
        <v>0</v>
      </c>
      <c r="T131" s="8">
        <f t="shared" si="75"/>
        <v>0</v>
      </c>
    </row>
    <row r="132" spans="1:20">
      <c r="B132">
        <v>5</v>
      </c>
      <c r="C132">
        <f>MAX(ROUND(C133-(C134-C133)/(产出与消耗!$K$9-产出与消耗!$K$8)*(产出与消耗!$K$8-产出与消耗!$K$7)*1.004,0),0)</f>
        <v>27</v>
      </c>
      <c r="D132" s="9">
        <v>2</v>
      </c>
      <c r="E132">
        <f>ROUND(D132*C132/3600/(建筑!G90*基本公式!$B$154),2)</f>
        <v>0.01</v>
      </c>
      <c r="F132" s="9">
        <f t="shared" si="81"/>
        <v>18</v>
      </c>
      <c r="G132" s="10">
        <f t="shared" si="77"/>
        <v>486</v>
      </c>
      <c r="K132" s="9">
        <v>35</v>
      </c>
      <c r="L132" s="10">
        <f t="shared" si="78"/>
        <v>945</v>
      </c>
      <c r="M132" s="5">
        <f>ROUND(L132/产出与消耗!S7,4)</f>
        <v>3.4599999999999999E-2</v>
      </c>
      <c r="N132" s="9">
        <v>6</v>
      </c>
      <c r="O132" s="10">
        <f t="shared" si="79"/>
        <v>162</v>
      </c>
      <c r="P132" s="5">
        <f>ROUND(O132/产出与消耗!S29,4)</f>
        <v>5.8999999999999999E-3</v>
      </c>
      <c r="Q132" s="9">
        <v>14</v>
      </c>
      <c r="R132" s="10">
        <f t="shared" si="80"/>
        <v>378</v>
      </c>
      <c r="S132" s="5">
        <f>ROUND(R132/产出与消耗!S51,4)</f>
        <v>1.4800000000000001E-2</v>
      </c>
      <c r="T132" s="8">
        <f t="shared" si="75"/>
        <v>5.5300000000000002E-2</v>
      </c>
    </row>
    <row r="133" spans="1:20">
      <c r="B133">
        <v>6</v>
      </c>
      <c r="C133">
        <f>MAX(ROUND(C134-(C135-C134)/(产出与消耗!$K$10-产出与消耗!$K$9)*(产出与消耗!$K$9-产出与消耗!$K$8)*1.004,0),0)</f>
        <v>622</v>
      </c>
      <c r="D133" s="9">
        <v>2</v>
      </c>
      <c r="E133">
        <f>ROUND(D133*C133/3600/(建筑!G91*基本公式!$B$154),2)</f>
        <v>0.17</v>
      </c>
      <c r="F133" s="9">
        <f t="shared" si="81"/>
        <v>18</v>
      </c>
      <c r="G133" s="10">
        <f t="shared" si="77"/>
        <v>11196</v>
      </c>
      <c r="K133" s="9">
        <v>35</v>
      </c>
      <c r="L133" s="10">
        <f t="shared" si="78"/>
        <v>21770</v>
      </c>
      <c r="M133" s="5">
        <f>ROUND(L133/产出与消耗!S8,4)</f>
        <v>0.34429999999999999</v>
      </c>
      <c r="N133" s="9">
        <v>6</v>
      </c>
      <c r="O133" s="10">
        <f t="shared" si="79"/>
        <v>3732</v>
      </c>
      <c r="P133" s="5">
        <f>ROUND(O133/产出与消耗!S30,4)</f>
        <v>5.8999999999999997E-2</v>
      </c>
      <c r="Q133" s="9">
        <v>14</v>
      </c>
      <c r="R133" s="10">
        <f t="shared" si="80"/>
        <v>8708</v>
      </c>
      <c r="S133" s="5">
        <f>ROUND(R133/产出与消耗!S52,4)</f>
        <v>0.16370000000000001</v>
      </c>
      <c r="T133" s="8">
        <f t="shared" si="75"/>
        <v>0.56699999999999995</v>
      </c>
    </row>
    <row r="134" spans="1:20">
      <c r="B134">
        <v>7</v>
      </c>
      <c r="C134">
        <f>MAX(ROUND(C135-(C136-C135)/(产出与消耗!$K$11-产出与消耗!$K$10)*(产出与消耗!$K$10-产出与消耗!$K$9)*1.004,0),0)</f>
        <v>1570</v>
      </c>
      <c r="D134" s="9">
        <v>2</v>
      </c>
      <c r="E134">
        <f>ROUND(D134*C134/3600/(建筑!G92*基本公式!$B$154),2)</f>
        <v>0.22</v>
      </c>
      <c r="F134" s="9">
        <f t="shared" si="81"/>
        <v>18</v>
      </c>
      <c r="G134" s="10">
        <f t="shared" si="77"/>
        <v>28260</v>
      </c>
      <c r="K134" s="9">
        <v>35</v>
      </c>
      <c r="L134" s="10">
        <f t="shared" si="78"/>
        <v>54950</v>
      </c>
      <c r="M134" s="5">
        <f>ROUND(L134/产出与消耗!S9,4)</f>
        <v>0.43159999999999998</v>
      </c>
      <c r="N134" s="9">
        <v>6</v>
      </c>
      <c r="O134" s="10">
        <f t="shared" si="79"/>
        <v>9420</v>
      </c>
      <c r="P134" s="5">
        <f>ROUND(O134/产出与消耗!S31,4)</f>
        <v>7.3999999999999996E-2</v>
      </c>
      <c r="Q134" s="9">
        <v>14</v>
      </c>
      <c r="R134" s="10">
        <f t="shared" si="80"/>
        <v>21980</v>
      </c>
      <c r="S134" s="5">
        <f>ROUND(R134/产出与消耗!S53,4)</f>
        <v>0.20330000000000001</v>
      </c>
      <c r="T134" s="8">
        <f t="shared" si="75"/>
        <v>0.70889999999999997</v>
      </c>
    </row>
    <row r="135" spans="1:20">
      <c r="A135" s="12"/>
      <c r="B135">
        <v>8</v>
      </c>
      <c r="C135">
        <f>MAX(ROUND(C136-(C137-C136)/(产出与消耗!$K$12-产出与消耗!$K$11)*(产出与消耗!$K$11-产出与消耗!$K$10)*1.004,0),0)</f>
        <v>3104</v>
      </c>
      <c r="D135" s="9">
        <v>2</v>
      </c>
      <c r="E135">
        <f>ROUND(D135*C135/3600/(建筑!G93*基本公式!$B$154),2)</f>
        <v>0.43</v>
      </c>
      <c r="F135" s="9">
        <f t="shared" si="81"/>
        <v>18</v>
      </c>
      <c r="G135" s="10">
        <f t="shared" si="77"/>
        <v>55872</v>
      </c>
      <c r="K135" s="9">
        <v>35</v>
      </c>
      <c r="L135" s="10">
        <f t="shared" si="78"/>
        <v>108640</v>
      </c>
      <c r="M135" s="5">
        <f>ROUND(L135/产出与消耗!S10,4)</f>
        <v>0.20530000000000001</v>
      </c>
      <c r="N135" s="9">
        <v>6</v>
      </c>
      <c r="O135" s="10">
        <f t="shared" si="79"/>
        <v>18624</v>
      </c>
      <c r="P135" s="5">
        <f>ROUND(O135/产出与消耗!S32,4)</f>
        <v>3.5200000000000002E-2</v>
      </c>
      <c r="Q135" s="9">
        <v>14</v>
      </c>
      <c r="R135" s="10">
        <f t="shared" si="80"/>
        <v>43456</v>
      </c>
      <c r="S135" s="5">
        <f>ROUND(R135/产出与消耗!S54,4)</f>
        <v>9.6000000000000002E-2</v>
      </c>
      <c r="T135" s="8">
        <f t="shared" si="75"/>
        <v>0.33650000000000002</v>
      </c>
    </row>
    <row r="136" spans="1:20">
      <c r="B136">
        <v>9</v>
      </c>
      <c r="C136">
        <f>MAX(ROUND(C137-(C138-C137)/(产出与消耗!$K$13-产出与消耗!$K$12)*(产出与消耗!$K$12-产出与消耗!$K$11)*1.004,0),0)</f>
        <v>4632</v>
      </c>
      <c r="D136" s="9">
        <v>2</v>
      </c>
      <c r="E136">
        <f>ROUND(D136*C136/3600/(建筑!G94*基本公式!$B$154),2)</f>
        <v>0.64</v>
      </c>
      <c r="F136" s="9">
        <f t="shared" si="81"/>
        <v>18</v>
      </c>
      <c r="G136" s="10">
        <f t="shared" si="77"/>
        <v>83376</v>
      </c>
      <c r="K136" s="9">
        <v>35</v>
      </c>
      <c r="L136" s="10">
        <f t="shared" si="78"/>
        <v>162120</v>
      </c>
      <c r="M136" s="5">
        <f>ROUND(L136/产出与消耗!S11,4)</f>
        <v>0.13300000000000001</v>
      </c>
      <c r="N136" s="9">
        <v>6</v>
      </c>
      <c r="O136" s="10">
        <f t="shared" si="79"/>
        <v>27792</v>
      </c>
      <c r="P136" s="5">
        <f>ROUND(O136/产出与消耗!S33,4)</f>
        <v>2.2800000000000001E-2</v>
      </c>
      <c r="Q136" s="9">
        <v>14</v>
      </c>
      <c r="R136" s="10">
        <f t="shared" si="80"/>
        <v>64848</v>
      </c>
      <c r="S136" s="5">
        <f>ROUND(R136/产出与消耗!S55,4)</f>
        <v>6.2100000000000002E-2</v>
      </c>
      <c r="T136" s="8">
        <f t="shared" si="75"/>
        <v>0.21789999999999998</v>
      </c>
    </row>
    <row r="137" spans="1:20">
      <c r="A137" s="17" t="s">
        <v>195</v>
      </c>
      <c r="B137">
        <v>10</v>
      </c>
      <c r="C137">
        <f>MAX(ROUND(C138-(C139-C138)/(产出与消耗!$K$14-产出与消耗!$K$13)*(产出与消耗!$K$13-产出与消耗!$K$12)*1.004,0),0)</f>
        <v>7091</v>
      </c>
      <c r="D137" s="9">
        <v>2</v>
      </c>
      <c r="E137">
        <f>ROUND(D137*C137/3600/(建筑!G95*基本公式!$B$154),2)</f>
        <v>0.98</v>
      </c>
      <c r="F137" s="9">
        <f t="shared" si="81"/>
        <v>18</v>
      </c>
      <c r="G137" s="10">
        <f t="shared" si="77"/>
        <v>127638</v>
      </c>
      <c r="K137" s="9">
        <v>35</v>
      </c>
      <c r="L137" s="10">
        <f t="shared" si="78"/>
        <v>248185</v>
      </c>
      <c r="M137" s="5">
        <f>ROUND(L137/产出与消耗!S12,4)</f>
        <v>6.3399999999999998E-2</v>
      </c>
      <c r="N137" s="9">
        <v>6</v>
      </c>
      <c r="O137" s="10">
        <f t="shared" si="79"/>
        <v>42546</v>
      </c>
      <c r="P137" s="5">
        <f>ROUND(O137/产出与消耗!S34,4)</f>
        <v>1.09E-2</v>
      </c>
      <c r="Q137" s="9">
        <v>14</v>
      </c>
      <c r="R137" s="10">
        <f t="shared" si="80"/>
        <v>99274</v>
      </c>
      <c r="S137" s="5">
        <f>ROUND(R137/产出与消耗!S56,4)</f>
        <v>2.9600000000000001E-2</v>
      </c>
      <c r="T137" s="8">
        <f t="shared" si="75"/>
        <v>0.10390000000000001</v>
      </c>
    </row>
    <row r="138" spans="1:20">
      <c r="B138">
        <v>11</v>
      </c>
      <c r="C138">
        <f>MAX(ROUND(C139-(C140-C139)/(产出与消耗!$K$15-产出与消耗!$K$14)*(产出与消耗!$K$14-产出与消耗!$K$13)*1.004,0),0)</f>
        <v>8607</v>
      </c>
      <c r="D138" s="9">
        <v>2</v>
      </c>
      <c r="E138">
        <f>ROUND(D138*C138/3600/(建筑!G96*基本公式!$B$154),2)</f>
        <v>1.2</v>
      </c>
      <c r="F138" s="9">
        <f t="shared" si="81"/>
        <v>18</v>
      </c>
      <c r="G138" s="10">
        <f t="shared" si="77"/>
        <v>154926</v>
      </c>
      <c r="K138" s="9">
        <v>35</v>
      </c>
      <c r="L138" s="10">
        <f t="shared" si="78"/>
        <v>301245</v>
      </c>
      <c r="M138" s="5">
        <f>ROUND(L138/产出与消耗!S13,4)</f>
        <v>3.7699999999999997E-2</v>
      </c>
      <c r="N138" s="9">
        <v>6</v>
      </c>
      <c r="O138" s="10">
        <f t="shared" si="79"/>
        <v>51642</v>
      </c>
      <c r="P138" s="5">
        <f>ROUND(O138/产出与消耗!S35,4)</f>
        <v>6.4999999999999997E-3</v>
      </c>
      <c r="Q138" s="9">
        <v>14</v>
      </c>
      <c r="R138" s="10">
        <f t="shared" si="80"/>
        <v>120498</v>
      </c>
      <c r="S138" s="5">
        <f>ROUND(R138/产出与消耗!S57,4)</f>
        <v>1.7600000000000001E-2</v>
      </c>
      <c r="T138" s="8">
        <f t="shared" si="75"/>
        <v>6.1799999999999994E-2</v>
      </c>
    </row>
    <row r="139" spans="1:20">
      <c r="B139">
        <v>12</v>
      </c>
      <c r="C139">
        <f>MAX(ROUND(C140-(C141-C140)/(产出与消耗!$K$16-产出与消耗!$K$15)*(产出与消耗!$K$15-产出与消耗!$K$14)*1.004,0),0)</f>
        <v>12556</v>
      </c>
      <c r="D139" s="9">
        <v>2</v>
      </c>
      <c r="E139">
        <f>ROUND(D139*C139/3600/(建筑!G97*基本公式!$B$154),2)</f>
        <v>1.1599999999999999</v>
      </c>
      <c r="F139" s="9">
        <f t="shared" si="81"/>
        <v>18</v>
      </c>
      <c r="G139" s="10">
        <f t="shared" si="77"/>
        <v>226008</v>
      </c>
      <c r="K139" s="9">
        <v>35</v>
      </c>
      <c r="L139" s="10">
        <f t="shared" si="78"/>
        <v>439460</v>
      </c>
      <c r="M139" s="5">
        <f>ROUND(L139/产出与消耗!S14,4)</f>
        <v>1.95E-2</v>
      </c>
      <c r="N139" s="9">
        <v>6</v>
      </c>
      <c r="O139" s="10">
        <f t="shared" si="79"/>
        <v>75336</v>
      </c>
      <c r="P139" s="5">
        <f>ROUND(O139/产出与消耗!S36,4)</f>
        <v>3.3E-3</v>
      </c>
      <c r="Q139" s="9">
        <v>14</v>
      </c>
      <c r="R139" s="10">
        <f t="shared" si="80"/>
        <v>175784</v>
      </c>
      <c r="S139" s="5">
        <f>ROUND(R139/产出与消耗!S58,4)</f>
        <v>9.1000000000000004E-3</v>
      </c>
      <c r="T139" s="8">
        <f t="shared" si="75"/>
        <v>3.1899999999999998E-2</v>
      </c>
    </row>
    <row r="140" spans="1:20">
      <c r="A140" s="12"/>
      <c r="B140">
        <v>13</v>
      </c>
      <c r="C140">
        <f>MAX(ROUND(C141-(C142-C141)/(产出与消耗!$K$17-产出与消耗!$K$16)*(产出与消耗!$K$16-产出与消耗!$K$15)*1.004,0),0)</f>
        <v>15911</v>
      </c>
      <c r="D140" s="9">
        <v>2</v>
      </c>
      <c r="E140">
        <f>ROUND(D140*C140/3600/(建筑!G98*基本公式!$B$154),2)</f>
        <v>1.47</v>
      </c>
      <c r="F140" s="9">
        <f t="shared" si="81"/>
        <v>18</v>
      </c>
      <c r="G140" s="10">
        <f t="shared" si="77"/>
        <v>286398</v>
      </c>
      <c r="K140" s="9">
        <v>35</v>
      </c>
      <c r="L140" s="10">
        <f t="shared" si="78"/>
        <v>556885</v>
      </c>
      <c r="M140" s="5">
        <f>ROUND(L140/产出与消耗!S15,4)</f>
        <v>1.2699999999999999E-2</v>
      </c>
      <c r="N140" s="9">
        <v>6</v>
      </c>
      <c r="O140" s="10">
        <f t="shared" si="79"/>
        <v>95466</v>
      </c>
      <c r="P140" s="5">
        <f>ROUND(O140/产出与消耗!S37,4)</f>
        <v>2.2000000000000001E-3</v>
      </c>
      <c r="Q140" s="9">
        <v>14</v>
      </c>
      <c r="R140" s="10">
        <f t="shared" si="80"/>
        <v>222754</v>
      </c>
      <c r="S140" s="5">
        <f>ROUND(R140/产出与消耗!S59,4)</f>
        <v>5.8999999999999999E-3</v>
      </c>
      <c r="T140" s="8">
        <f t="shared" si="75"/>
        <v>2.0799999999999999E-2</v>
      </c>
    </row>
    <row r="141" spans="1:20">
      <c r="A141" s="17" t="s">
        <v>196</v>
      </c>
      <c r="B141">
        <v>14</v>
      </c>
      <c r="C141">
        <f>MAX(ROUND(C142-(C143-C142)/(产出与消耗!$K$18-产出与消耗!$K$17)*(产出与消耗!$K$17-产出与消耗!$K$16)*1.004,0),0)</f>
        <v>18907</v>
      </c>
      <c r="D141" s="9">
        <v>2</v>
      </c>
      <c r="E141">
        <f>ROUND(D141*C141/3600/(建筑!G99*基本公式!$B$154),2)</f>
        <v>1.75</v>
      </c>
      <c r="F141" s="9">
        <f t="shared" si="81"/>
        <v>18</v>
      </c>
      <c r="G141" s="10">
        <f t="shared" si="77"/>
        <v>340326</v>
      </c>
      <c r="K141" s="9">
        <v>35</v>
      </c>
      <c r="L141" s="10">
        <f t="shared" si="78"/>
        <v>661745</v>
      </c>
      <c r="M141" s="5">
        <f>ROUND(L141/产出与消耗!S16,4)</f>
        <v>7.3000000000000001E-3</v>
      </c>
      <c r="N141" s="9">
        <v>6</v>
      </c>
      <c r="O141" s="10">
        <f t="shared" si="79"/>
        <v>113442</v>
      </c>
      <c r="P141" s="5">
        <f>ROUND(O141/产出与消耗!S38,4)</f>
        <v>1.1999999999999999E-3</v>
      </c>
      <c r="Q141" s="9">
        <v>14</v>
      </c>
      <c r="R141" s="10">
        <f t="shared" si="80"/>
        <v>264698</v>
      </c>
      <c r="S141" s="5">
        <f>ROUND(R141/产出与消耗!S60,4)</f>
        <v>3.3999999999999998E-3</v>
      </c>
      <c r="T141" s="8">
        <f t="shared" si="75"/>
        <v>1.1900000000000001E-2</v>
      </c>
    </row>
    <row r="142" spans="1:20">
      <c r="B142">
        <v>15</v>
      </c>
      <c r="C142">
        <f>MAX(ROUND(C143-(C144-C143)/(产出与消耗!$K$19-产出与消耗!$K$18)*(产出与消耗!$K$18-产出与消耗!$K$17)*1.004,0),0)</f>
        <v>22350</v>
      </c>
      <c r="D142" s="9">
        <v>2</v>
      </c>
      <c r="E142">
        <f>ROUND(D142*C142/3600/(建筑!G100*基本公式!$B$154),2)</f>
        <v>2.0699999999999998</v>
      </c>
      <c r="F142" s="9">
        <f t="shared" si="81"/>
        <v>18</v>
      </c>
      <c r="G142" s="10">
        <f t="shared" si="77"/>
        <v>402300</v>
      </c>
      <c r="K142" s="9">
        <v>35</v>
      </c>
      <c r="L142" s="10">
        <f t="shared" si="78"/>
        <v>782250</v>
      </c>
      <c r="M142" s="5">
        <f>ROUND(L142/产出与消耗!S17,4)</f>
        <v>5.1999999999999998E-3</v>
      </c>
      <c r="N142" s="9">
        <v>6</v>
      </c>
      <c r="O142" s="10">
        <f t="shared" si="79"/>
        <v>134100</v>
      </c>
      <c r="P142" s="5">
        <f>ROUND(O142/产出与消耗!S39,4)</f>
        <v>8.9999999999999998E-4</v>
      </c>
      <c r="Q142" s="9">
        <v>14</v>
      </c>
      <c r="R142" s="10">
        <f t="shared" si="80"/>
        <v>312900</v>
      </c>
      <c r="S142" s="5">
        <f>ROUND(R142/产出与消耗!S61,4)</f>
        <v>2.3999999999999998E-3</v>
      </c>
      <c r="T142" s="8">
        <f t="shared" si="75"/>
        <v>8.4999999999999989E-3</v>
      </c>
    </row>
    <row r="143" spans="1:20">
      <c r="B143">
        <v>16</v>
      </c>
      <c r="C143">
        <f>MAX(ROUND(C144-(C145-C144)/(产出与消耗!$K$20-产出与消耗!$K$19)*(产出与消耗!$K$19-产出与消耗!$K$18)*1.004,0),0)</f>
        <v>25779</v>
      </c>
      <c r="D143" s="9">
        <v>2</v>
      </c>
      <c r="E143">
        <f>ROUND(D143*C143/3600/(建筑!G101*基本公式!$B$154),2)</f>
        <v>1.79</v>
      </c>
      <c r="F143" s="9">
        <f t="shared" si="81"/>
        <v>18</v>
      </c>
      <c r="G143" s="10">
        <f t="shared" si="77"/>
        <v>464022</v>
      </c>
      <c r="K143" s="9">
        <v>35</v>
      </c>
      <c r="L143" s="10">
        <f t="shared" si="78"/>
        <v>902265</v>
      </c>
      <c r="M143" s="5">
        <f>ROUND(L143/产出与消耗!S18,4)</f>
        <v>3.3E-3</v>
      </c>
      <c r="N143" s="9">
        <v>6</v>
      </c>
      <c r="O143" s="10">
        <f t="shared" si="79"/>
        <v>154674</v>
      </c>
      <c r="P143" s="5">
        <f>ROUND(O143/产出与消耗!S40,4)</f>
        <v>5.9999999999999995E-4</v>
      </c>
      <c r="Q143" s="9">
        <v>14</v>
      </c>
      <c r="R143" s="10">
        <f t="shared" si="80"/>
        <v>360906</v>
      </c>
      <c r="S143" s="5">
        <f>ROUND(R143/产出与消耗!S62,4)</f>
        <v>1.5E-3</v>
      </c>
      <c r="T143" s="8">
        <f t="shared" si="75"/>
        <v>5.4000000000000003E-3</v>
      </c>
    </row>
    <row r="144" spans="1:20">
      <c r="B144">
        <v>17</v>
      </c>
      <c r="C144">
        <f>MAX(ROUND(C145-(C146-C145)/(产出与消耗!$K$21-产出与消耗!$K$20)*(产出与消耗!$K$20-产出与消耗!$K$19)*1.004,0),0)</f>
        <v>29536</v>
      </c>
      <c r="D144" s="9">
        <v>2</v>
      </c>
      <c r="E144">
        <f>ROUND(D144*C144/3600/(建筑!G102*基本公式!$B$154),2)</f>
        <v>2.0499999999999998</v>
      </c>
      <c r="F144" s="9">
        <f t="shared" si="81"/>
        <v>18</v>
      </c>
      <c r="G144" s="10">
        <f t="shared" si="77"/>
        <v>531648</v>
      </c>
      <c r="K144" s="9">
        <v>35</v>
      </c>
      <c r="L144" s="10">
        <f t="shared" si="78"/>
        <v>1033760</v>
      </c>
      <c r="M144" s="5">
        <f>ROUND(L144/产出与消耗!S19,4)</f>
        <v>2.5000000000000001E-3</v>
      </c>
      <c r="N144" s="9">
        <v>6</v>
      </c>
      <c r="O144" s="10">
        <f t="shared" si="79"/>
        <v>177216</v>
      </c>
      <c r="P144" s="5">
        <f>ROUND(O144/产出与消耗!S41,4)</f>
        <v>4.0000000000000002E-4</v>
      </c>
      <c r="Q144" s="9">
        <v>14</v>
      </c>
      <c r="R144" s="10">
        <f t="shared" si="80"/>
        <v>413504</v>
      </c>
      <c r="S144" s="5">
        <f>ROUND(R144/产出与消耗!S63,4)</f>
        <v>1.1999999999999999E-3</v>
      </c>
      <c r="T144" s="8">
        <f t="shared" si="75"/>
        <v>4.1000000000000003E-3</v>
      </c>
    </row>
    <row r="145" spans="1:23">
      <c r="B145">
        <v>18</v>
      </c>
      <c r="C145">
        <f>MAX(ROUND(C146-(C147-C146)/(产出与消耗!$K$22-产出与消耗!$K$21)*(产出与消耗!$K$21-产出与消耗!$K$20)*1.004,0),0)</f>
        <v>33732</v>
      </c>
      <c r="D145" s="9">
        <v>2</v>
      </c>
      <c r="E145">
        <f>ROUND(D145*C145/3600/(建筑!G103*基本公式!$B$154),2)</f>
        <v>2.34</v>
      </c>
      <c r="F145" s="9">
        <f t="shared" si="81"/>
        <v>18</v>
      </c>
      <c r="G145" s="10">
        <f t="shared" si="77"/>
        <v>607176</v>
      </c>
      <c r="K145" s="9">
        <v>35</v>
      </c>
      <c r="L145" s="10">
        <f t="shared" si="78"/>
        <v>1180620</v>
      </c>
      <c r="M145" s="5">
        <f>ROUND(L145/产出与消耗!S20,4)</f>
        <v>1.6999999999999999E-3</v>
      </c>
      <c r="N145" s="9">
        <v>6</v>
      </c>
      <c r="O145" s="10">
        <f t="shared" si="79"/>
        <v>202392</v>
      </c>
      <c r="P145" s="5">
        <f>ROUND(O145/产出与消耗!S42,4)</f>
        <v>2.9999999999999997E-4</v>
      </c>
      <c r="Q145" s="9">
        <v>14</v>
      </c>
      <c r="R145" s="10">
        <f t="shared" si="80"/>
        <v>472248</v>
      </c>
      <c r="S145" s="5">
        <f>ROUND(R145/产出与消耗!S64,4)</f>
        <v>8.0000000000000004E-4</v>
      </c>
      <c r="T145" s="8">
        <f t="shared" si="75"/>
        <v>2.8E-3</v>
      </c>
    </row>
    <row r="146" spans="1:23">
      <c r="A146" s="18" t="s">
        <v>197</v>
      </c>
      <c r="B146">
        <v>19</v>
      </c>
      <c r="C146">
        <f>ROUND(产出与消耗!$K$21*C147/产出与消耗!$K$22,0)</f>
        <v>38250</v>
      </c>
      <c r="D146" s="9">
        <v>2</v>
      </c>
      <c r="E146">
        <f>ROUND(D146*C146/3600/(建筑!G104*基本公式!$B$154),2)</f>
        <v>2.66</v>
      </c>
      <c r="F146" s="9">
        <f t="shared" si="81"/>
        <v>18</v>
      </c>
      <c r="G146" s="10">
        <f t="shared" si="77"/>
        <v>688500</v>
      </c>
      <c r="K146" s="9">
        <v>35</v>
      </c>
      <c r="L146" s="10">
        <f t="shared" si="78"/>
        <v>1338750</v>
      </c>
      <c r="M146" s="5">
        <f>ROUND(L146/产出与消耗!S21,4)</f>
        <v>1.1999999999999999E-3</v>
      </c>
      <c r="N146" s="9">
        <v>6</v>
      </c>
      <c r="O146" s="10">
        <f t="shared" si="79"/>
        <v>229500</v>
      </c>
      <c r="P146" s="5">
        <f>ROUND(O146/产出与消耗!S43,4)</f>
        <v>2.0000000000000001E-4</v>
      </c>
      <c r="Q146" s="9">
        <v>14</v>
      </c>
      <c r="R146" s="10">
        <f t="shared" si="80"/>
        <v>535500</v>
      </c>
      <c r="S146" s="5">
        <f>ROUND(R146/产出与消耗!S65,4)</f>
        <v>5.9999999999999995E-4</v>
      </c>
      <c r="T146" s="8">
        <f t="shared" si="75"/>
        <v>2E-3</v>
      </c>
    </row>
    <row r="147" spans="1:23">
      <c r="B147">
        <v>20</v>
      </c>
      <c r="C147">
        <v>45000</v>
      </c>
      <c r="D147" s="9">
        <v>2</v>
      </c>
      <c r="E147">
        <f>ROUND(D147*C147/3600/(建筑!G105*基本公式!$B$154),2)</f>
        <v>2.5</v>
      </c>
      <c r="F147" s="9">
        <f t="shared" si="81"/>
        <v>18</v>
      </c>
      <c r="G147" s="10">
        <f t="shared" si="77"/>
        <v>810000</v>
      </c>
      <c r="K147" s="9">
        <v>35</v>
      </c>
      <c r="L147" s="10">
        <f t="shared" si="78"/>
        <v>1575000</v>
      </c>
      <c r="M147" s="5">
        <f>ROUND(L147/产出与消耗!S22,4)</f>
        <v>8.9999999999999998E-4</v>
      </c>
      <c r="N147" s="9">
        <v>6</v>
      </c>
      <c r="O147" s="10">
        <f t="shared" si="79"/>
        <v>270000</v>
      </c>
      <c r="P147" s="5">
        <f>ROUND(O147/产出与消耗!S44,4)</f>
        <v>2.0000000000000001E-4</v>
      </c>
      <c r="Q147" s="9">
        <v>14</v>
      </c>
      <c r="R147" s="10">
        <f t="shared" si="80"/>
        <v>630000</v>
      </c>
      <c r="S147" s="5">
        <f>ROUND(R147/产出与消耗!S66,4)</f>
        <v>4.0000000000000002E-4</v>
      </c>
      <c r="T147" s="8">
        <f t="shared" si="75"/>
        <v>1.5E-3</v>
      </c>
    </row>
    <row r="149" spans="1:23">
      <c r="A149" t="s">
        <v>182</v>
      </c>
      <c r="B149">
        <v>1</v>
      </c>
      <c r="C149">
        <f>MAX(ROUND(C150-(C151-C150)/(产出与消耗!$K$5-产出与消耗!$K$4)*(产出与消耗!$K$4-产出与消耗!$K$3)*1.004,0),0)</f>
        <v>0</v>
      </c>
      <c r="D149" s="9">
        <v>6</v>
      </c>
      <c r="E149">
        <f>ROUND(D149*C149/3600/建筑!I128,2)</f>
        <v>0</v>
      </c>
      <c r="F149" s="9">
        <v>9</v>
      </c>
      <c r="G149" s="10">
        <f t="shared" ref="G149" si="82">F149*C149</f>
        <v>0</v>
      </c>
      <c r="K149" s="9">
        <v>26</v>
      </c>
      <c r="L149" s="10">
        <f t="shared" ref="L149" si="83">ROUND(K149*C149,0)</f>
        <v>0</v>
      </c>
      <c r="M149" s="5">
        <f>ROUND(L149/产出与消耗!S3,4)</f>
        <v>0</v>
      </c>
      <c r="N149" s="9">
        <v>30</v>
      </c>
      <c r="O149" s="10">
        <f t="shared" ref="O149" si="84">ROUND(N149*C149,0)</f>
        <v>0</v>
      </c>
      <c r="P149" s="5">
        <f>ROUND(O149/产出与消耗!S25,4)</f>
        <v>0</v>
      </c>
      <c r="Q149" s="9">
        <v>4</v>
      </c>
      <c r="R149" s="10">
        <f t="shared" ref="R149" si="85">ROUND(Q149*C149,0)</f>
        <v>0</v>
      </c>
      <c r="S149" s="5">
        <f>ROUND(R149/产出与消耗!S47,4)</f>
        <v>0</v>
      </c>
      <c r="T149" s="8">
        <f>M149+P149+S149</f>
        <v>0</v>
      </c>
      <c r="U149"/>
      <c r="V149"/>
      <c r="W149"/>
    </row>
    <row r="150" spans="1:23">
      <c r="B150">
        <v>2</v>
      </c>
      <c r="C150">
        <f>MAX(ROUND(C151-(C152-C151)/(产出与消耗!$K$6-产出与消耗!$K$5)*(产出与消耗!$K$5-产出与消耗!$K$4)*1.004,0),0)</f>
        <v>0</v>
      </c>
      <c r="D150" s="9">
        <v>6</v>
      </c>
      <c r="E150">
        <f>ROUND(D150*C150/3600/建筑!I129,2)</f>
        <v>0</v>
      </c>
      <c r="F150" s="9">
        <v>9</v>
      </c>
      <c r="G150" s="10">
        <f t="shared" ref="G150:G168" si="86">F150*C150</f>
        <v>0</v>
      </c>
      <c r="K150" s="9">
        <v>26</v>
      </c>
      <c r="L150" s="10">
        <f t="shared" ref="L150:L168" si="87">ROUND(K150*C150,0)</f>
        <v>0</v>
      </c>
      <c r="M150" s="5">
        <f>ROUND(L150/产出与消耗!S4,4)</f>
        <v>0</v>
      </c>
      <c r="N150" s="9">
        <v>30</v>
      </c>
      <c r="O150" s="10">
        <f t="shared" ref="O150:O168" si="88">ROUND(N150*C150,0)</f>
        <v>0</v>
      </c>
      <c r="P150" s="5">
        <f>ROUND(O150/产出与消耗!S26,4)</f>
        <v>0</v>
      </c>
      <c r="Q150" s="9">
        <v>4</v>
      </c>
      <c r="R150" s="10">
        <f t="shared" ref="R150:R168" si="89">ROUND(Q150*C150,0)</f>
        <v>0</v>
      </c>
      <c r="S150" s="5">
        <f>ROUND(R150/产出与消耗!S48,4)</f>
        <v>0</v>
      </c>
      <c r="T150" s="8">
        <f>M150+P150+S150</f>
        <v>0</v>
      </c>
      <c r="U150"/>
      <c r="V150"/>
      <c r="W150"/>
    </row>
    <row r="151" spans="1:23">
      <c r="B151">
        <v>3</v>
      </c>
      <c r="C151">
        <f>MAX(ROUND(C152-(C153-C152)/(产出与消耗!$K$7-产出与消耗!$K$6)*(产出与消耗!$K$6-产出与消耗!$K$5)*1.004,0),0)</f>
        <v>0</v>
      </c>
      <c r="D151" s="9">
        <v>6</v>
      </c>
      <c r="E151">
        <f>ROUND(D151*C151/3600/建筑!I130,2)</f>
        <v>0</v>
      </c>
      <c r="F151" s="9">
        <v>9</v>
      </c>
      <c r="G151" s="10">
        <f t="shared" si="86"/>
        <v>0</v>
      </c>
      <c r="K151" s="9">
        <v>26</v>
      </c>
      <c r="L151" s="10">
        <f t="shared" si="87"/>
        <v>0</v>
      </c>
      <c r="M151" s="5">
        <f>ROUND(L151/产出与消耗!S5,4)</f>
        <v>0</v>
      </c>
      <c r="N151" s="9">
        <v>30</v>
      </c>
      <c r="O151" s="10">
        <f t="shared" si="88"/>
        <v>0</v>
      </c>
      <c r="P151" s="5">
        <f>ROUND(O151/产出与消耗!S27,4)</f>
        <v>0</v>
      </c>
      <c r="Q151" s="9">
        <v>4</v>
      </c>
      <c r="R151" s="10">
        <f t="shared" si="89"/>
        <v>0</v>
      </c>
      <c r="S151" s="5">
        <f>ROUND(R151/产出与消耗!S49,4)</f>
        <v>0</v>
      </c>
      <c r="T151" s="8">
        <f t="shared" ref="T151" si="90">M151+P151+S151</f>
        <v>0</v>
      </c>
      <c r="U151"/>
      <c r="V151"/>
      <c r="W151"/>
    </row>
    <row r="152" spans="1:23">
      <c r="B152">
        <v>4</v>
      </c>
      <c r="C152">
        <f>MAX(ROUND(C153-(C154-C153)/(产出与消耗!$K$8-产出与消耗!$K$7)*(产出与消耗!$K$7-产出与消耗!$K$6)*1.004,0),0)</f>
        <v>0</v>
      </c>
      <c r="D152" s="9">
        <v>6</v>
      </c>
      <c r="E152">
        <f>ROUND(D152*C152/3600/建筑!I131,2)</f>
        <v>0</v>
      </c>
      <c r="F152" s="9">
        <v>9</v>
      </c>
      <c r="G152" s="10">
        <f t="shared" si="86"/>
        <v>0</v>
      </c>
      <c r="K152" s="9">
        <v>26</v>
      </c>
      <c r="L152" s="10">
        <f t="shared" si="87"/>
        <v>0</v>
      </c>
      <c r="M152" s="5">
        <f>ROUND(L152/产出与消耗!S6,4)</f>
        <v>0</v>
      </c>
      <c r="N152" s="9">
        <v>30</v>
      </c>
      <c r="O152" s="10">
        <f t="shared" si="88"/>
        <v>0</v>
      </c>
      <c r="P152" s="5">
        <f>ROUND(O152/产出与消耗!S28,4)</f>
        <v>0</v>
      </c>
      <c r="Q152" s="9">
        <v>4</v>
      </c>
      <c r="R152" s="10">
        <f t="shared" si="89"/>
        <v>0</v>
      </c>
      <c r="S152" s="5">
        <f>ROUND(R152/产出与消耗!S50,4)</f>
        <v>0</v>
      </c>
      <c r="T152" s="8">
        <f t="shared" ref="T152:T168" si="91">M152+P152+S152</f>
        <v>0</v>
      </c>
      <c r="U152"/>
      <c r="V152"/>
      <c r="W152"/>
    </row>
    <row r="153" spans="1:23">
      <c r="B153">
        <v>5</v>
      </c>
      <c r="C153">
        <f>MAX(ROUND(C154-(C155-C154)/(产出与消耗!$K$9-产出与消耗!$K$8)*(产出与消耗!$K$8-产出与消耗!$K$7)*1.004,0),0)</f>
        <v>27</v>
      </c>
      <c r="D153" s="9">
        <v>6</v>
      </c>
      <c r="E153">
        <f>ROUND(D153*C153/3600/建筑!I132,2)</f>
        <v>0.05</v>
      </c>
      <c r="F153" s="9">
        <v>9</v>
      </c>
      <c r="G153" s="10">
        <f t="shared" si="86"/>
        <v>243</v>
      </c>
      <c r="K153" s="9">
        <v>26</v>
      </c>
      <c r="L153" s="10">
        <f t="shared" si="87"/>
        <v>702</v>
      </c>
      <c r="M153" s="5">
        <f>ROUND(L153/产出与消耗!S7,4)</f>
        <v>2.5700000000000001E-2</v>
      </c>
      <c r="N153" s="9">
        <v>30</v>
      </c>
      <c r="O153" s="10">
        <f t="shared" si="88"/>
        <v>810</v>
      </c>
      <c r="P153" s="5">
        <f>ROUND(O153/产出与消耗!S29,4)</f>
        <v>2.9600000000000001E-2</v>
      </c>
      <c r="Q153" s="9">
        <v>4</v>
      </c>
      <c r="R153" s="10">
        <f t="shared" si="89"/>
        <v>108</v>
      </c>
      <c r="S153" s="5">
        <f>ROUND(R153/产出与消耗!S51,4)</f>
        <v>4.1999999999999997E-3</v>
      </c>
      <c r="T153" s="8">
        <f t="shared" si="91"/>
        <v>5.9500000000000004E-2</v>
      </c>
      <c r="U153"/>
      <c r="V153"/>
      <c r="W153"/>
    </row>
    <row r="154" spans="1:23">
      <c r="B154">
        <v>6</v>
      </c>
      <c r="C154">
        <f>MAX(ROUND(C155-(C156-C155)/(产出与消耗!$K$10-产出与消耗!$K$9)*(产出与消耗!$K$9-产出与消耗!$K$8)*1.004,0),0)</f>
        <v>622</v>
      </c>
      <c r="D154" s="9">
        <v>6</v>
      </c>
      <c r="E154">
        <f>ROUND(D154*C154/3600/建筑!I133,2)</f>
        <v>1.04</v>
      </c>
      <c r="F154" s="9">
        <v>9</v>
      </c>
      <c r="G154" s="10">
        <f t="shared" si="86"/>
        <v>5598</v>
      </c>
      <c r="K154" s="9">
        <v>26</v>
      </c>
      <c r="L154" s="10">
        <f t="shared" si="87"/>
        <v>16172</v>
      </c>
      <c r="M154" s="5">
        <f>ROUND(L154/产出与消耗!S8,4)</f>
        <v>0.25580000000000003</v>
      </c>
      <c r="N154" s="9">
        <v>30</v>
      </c>
      <c r="O154" s="10">
        <f t="shared" si="88"/>
        <v>18660</v>
      </c>
      <c r="P154" s="5">
        <f>ROUND(O154/产出与消耗!S30,4)</f>
        <v>0.29509999999999997</v>
      </c>
      <c r="Q154" s="9">
        <v>4</v>
      </c>
      <c r="R154" s="10">
        <f t="shared" si="89"/>
        <v>2488</v>
      </c>
      <c r="S154" s="5">
        <f>ROUND(R154/产出与消耗!S52,4)</f>
        <v>4.6800000000000001E-2</v>
      </c>
      <c r="T154" s="8">
        <f t="shared" si="91"/>
        <v>0.5976999999999999</v>
      </c>
      <c r="U154"/>
      <c r="V154"/>
      <c r="W154"/>
    </row>
    <row r="155" spans="1:23">
      <c r="B155">
        <v>7</v>
      </c>
      <c r="C155">
        <f>MAX(ROUND(C156-(C157-C156)/(产出与消耗!$K$11-产出与消耗!$K$10)*(产出与消耗!$K$10-产出与消耗!$K$9)*1.004,0),0)</f>
        <v>1570</v>
      </c>
      <c r="D155" s="9">
        <v>6</v>
      </c>
      <c r="E155">
        <f>ROUND(D155*C155/3600/建筑!I134,2)</f>
        <v>1.31</v>
      </c>
      <c r="F155" s="9">
        <v>9</v>
      </c>
      <c r="G155" s="10">
        <f t="shared" si="86"/>
        <v>14130</v>
      </c>
      <c r="K155" s="9">
        <v>26</v>
      </c>
      <c r="L155" s="10">
        <f t="shared" si="87"/>
        <v>40820</v>
      </c>
      <c r="M155" s="5">
        <f>ROUND(L155/产出与消耗!S9,4)</f>
        <v>0.3206</v>
      </c>
      <c r="N155" s="9">
        <v>30</v>
      </c>
      <c r="O155" s="10">
        <f t="shared" si="88"/>
        <v>47100</v>
      </c>
      <c r="P155" s="5">
        <f>ROUND(O155/产出与消耗!S31,4)</f>
        <v>0.36990000000000001</v>
      </c>
      <c r="Q155" s="9">
        <v>4</v>
      </c>
      <c r="R155" s="10">
        <f t="shared" si="89"/>
        <v>6280</v>
      </c>
      <c r="S155" s="5">
        <f>ROUND(R155/产出与消耗!S53,4)</f>
        <v>5.8099999999999999E-2</v>
      </c>
      <c r="T155" s="8">
        <f t="shared" si="91"/>
        <v>0.74860000000000004</v>
      </c>
      <c r="U155"/>
      <c r="V155"/>
      <c r="W155"/>
    </row>
    <row r="156" spans="1:23">
      <c r="A156" s="12"/>
      <c r="B156">
        <v>8</v>
      </c>
      <c r="C156">
        <f>MAX(ROUND(C157-(C158-C157)/(产出与消耗!$K$12-产出与消耗!$K$11)*(产出与消耗!$K$11-产出与消耗!$K$10)*1.004,0),0)</f>
        <v>3104</v>
      </c>
      <c r="D156" s="9">
        <v>6</v>
      </c>
      <c r="E156">
        <f>ROUND(D156*C156/3600/建筑!I135,2)</f>
        <v>2.59</v>
      </c>
      <c r="F156" s="9">
        <v>9</v>
      </c>
      <c r="G156" s="10">
        <f t="shared" si="86"/>
        <v>27936</v>
      </c>
      <c r="K156" s="9">
        <v>26</v>
      </c>
      <c r="L156" s="10">
        <f t="shared" si="87"/>
        <v>80704</v>
      </c>
      <c r="M156" s="5">
        <f>ROUND(L156/产出与消耗!S10,4)</f>
        <v>0.1525</v>
      </c>
      <c r="N156" s="9">
        <v>30</v>
      </c>
      <c r="O156" s="10">
        <f t="shared" si="88"/>
        <v>93120</v>
      </c>
      <c r="P156" s="5">
        <f>ROUND(O156/产出与消耗!S32,4)</f>
        <v>0.1759</v>
      </c>
      <c r="Q156" s="9">
        <v>4</v>
      </c>
      <c r="R156" s="10">
        <f t="shared" si="89"/>
        <v>12416</v>
      </c>
      <c r="S156" s="5">
        <f>ROUND(R156/产出与消耗!S54,4)</f>
        <v>2.7400000000000001E-2</v>
      </c>
      <c r="T156" s="8">
        <f t="shared" si="91"/>
        <v>0.35580000000000001</v>
      </c>
      <c r="U156"/>
      <c r="V156"/>
      <c r="W156"/>
    </row>
    <row r="157" spans="1:23">
      <c r="B157">
        <v>9</v>
      </c>
      <c r="C157">
        <f>MAX(ROUND(C158-(C159-C158)/(产出与消耗!$K$13-产出与消耗!$K$12)*(产出与消耗!$K$12-产出与消耗!$K$11)*1.004,0),0)</f>
        <v>4632</v>
      </c>
      <c r="D157" s="9">
        <v>6</v>
      </c>
      <c r="E157">
        <f>ROUND(D157*C157/3600/建筑!I136,2)</f>
        <v>3.86</v>
      </c>
      <c r="F157" s="9">
        <v>9</v>
      </c>
      <c r="G157" s="10">
        <f t="shared" si="86"/>
        <v>41688</v>
      </c>
      <c r="K157" s="9">
        <v>26</v>
      </c>
      <c r="L157" s="10">
        <f t="shared" si="87"/>
        <v>120432</v>
      </c>
      <c r="M157" s="5">
        <f>ROUND(L157/产出与消耗!S11,4)</f>
        <v>9.8799999999999999E-2</v>
      </c>
      <c r="N157" s="9">
        <v>30</v>
      </c>
      <c r="O157" s="10">
        <f t="shared" si="88"/>
        <v>138960</v>
      </c>
      <c r="P157" s="5">
        <f>ROUND(O157/产出与消耗!S33,4)</f>
        <v>0.114</v>
      </c>
      <c r="Q157" s="9">
        <v>4</v>
      </c>
      <c r="R157" s="10">
        <f t="shared" si="89"/>
        <v>18528</v>
      </c>
      <c r="S157" s="5">
        <f>ROUND(R157/产出与消耗!S55,4)</f>
        <v>1.78E-2</v>
      </c>
      <c r="T157" s="8">
        <f t="shared" si="91"/>
        <v>0.2306</v>
      </c>
      <c r="U157"/>
      <c r="V157"/>
      <c r="W157"/>
    </row>
    <row r="158" spans="1:23">
      <c r="A158" s="17" t="s">
        <v>195</v>
      </c>
      <c r="B158">
        <v>10</v>
      </c>
      <c r="C158">
        <f>MAX(ROUND(C159-(C160-C159)/(产出与消耗!$K$14-产出与消耗!$K$13)*(产出与消耗!$K$13-产出与消耗!$K$12)*1.004,0),0)</f>
        <v>7091</v>
      </c>
      <c r="D158" s="9">
        <v>6</v>
      </c>
      <c r="E158">
        <f>ROUND(D158*C158/3600/建筑!I137,2)</f>
        <v>5.91</v>
      </c>
      <c r="F158" s="9">
        <v>9</v>
      </c>
      <c r="G158" s="10">
        <f t="shared" si="86"/>
        <v>63819</v>
      </c>
      <c r="K158" s="9">
        <v>26</v>
      </c>
      <c r="L158" s="10">
        <f t="shared" si="87"/>
        <v>184366</v>
      </c>
      <c r="M158" s="5">
        <f>ROUND(L158/产出与消耗!S12,4)</f>
        <v>4.7100000000000003E-2</v>
      </c>
      <c r="N158" s="9">
        <v>30</v>
      </c>
      <c r="O158" s="10">
        <f t="shared" si="88"/>
        <v>212730</v>
      </c>
      <c r="P158" s="5">
        <f>ROUND(O158/产出与消耗!S34,4)</f>
        <v>5.4300000000000001E-2</v>
      </c>
      <c r="Q158" s="9">
        <v>4</v>
      </c>
      <c r="R158" s="10">
        <f t="shared" si="89"/>
        <v>28364</v>
      </c>
      <c r="S158" s="5">
        <f>ROUND(R158/产出与消耗!S56,4)</f>
        <v>8.3999999999999995E-3</v>
      </c>
      <c r="T158" s="8">
        <f t="shared" si="91"/>
        <v>0.10980000000000001</v>
      </c>
      <c r="U158"/>
      <c r="V158"/>
      <c r="W158"/>
    </row>
    <row r="159" spans="1:23">
      <c r="B159">
        <v>11</v>
      </c>
      <c r="C159">
        <f>MAX(ROUND(C160-(C161-C160)/(产出与消耗!$K$15-产出与消耗!$K$14)*(产出与消耗!$K$14-产出与消耗!$K$13)*1.004,0),0)</f>
        <v>8607</v>
      </c>
      <c r="D159" s="9">
        <v>6</v>
      </c>
      <c r="E159">
        <f>ROUND(D159*C159/3600/建筑!I138,2)</f>
        <v>7.17</v>
      </c>
      <c r="F159" s="9">
        <v>9</v>
      </c>
      <c r="G159" s="10">
        <f t="shared" si="86"/>
        <v>77463</v>
      </c>
      <c r="K159" s="9">
        <v>26</v>
      </c>
      <c r="L159" s="10">
        <f t="shared" si="87"/>
        <v>223782</v>
      </c>
      <c r="M159" s="5">
        <f>ROUND(L159/产出与消耗!S13,4)</f>
        <v>2.8000000000000001E-2</v>
      </c>
      <c r="N159" s="9">
        <v>30</v>
      </c>
      <c r="O159" s="10">
        <f t="shared" si="88"/>
        <v>258210</v>
      </c>
      <c r="P159" s="5">
        <f>ROUND(O159/产出与消耗!S35,4)</f>
        <v>3.2300000000000002E-2</v>
      </c>
      <c r="Q159" s="9">
        <v>4</v>
      </c>
      <c r="R159" s="10">
        <f t="shared" si="89"/>
        <v>34428</v>
      </c>
      <c r="S159" s="5">
        <f>ROUND(R159/产出与消耗!S57,4)</f>
        <v>5.0000000000000001E-3</v>
      </c>
      <c r="T159" s="8">
        <f t="shared" si="91"/>
        <v>6.5300000000000011E-2</v>
      </c>
      <c r="U159"/>
      <c r="V159"/>
      <c r="W159"/>
    </row>
    <row r="160" spans="1:23">
      <c r="B160">
        <v>12</v>
      </c>
      <c r="C160">
        <f>MAX(ROUND(C161-(C162-C161)/(产出与消耗!$K$16-产出与消耗!$K$15)*(产出与消耗!$K$15-产出与消耗!$K$14)*1.004,0),0)</f>
        <v>12556</v>
      </c>
      <c r="D160" s="9">
        <v>6</v>
      </c>
      <c r="E160">
        <f>ROUND(D160*C160/3600/建筑!I139,2)</f>
        <v>6.98</v>
      </c>
      <c r="F160" s="9">
        <v>9</v>
      </c>
      <c r="G160" s="10">
        <f t="shared" si="86"/>
        <v>113004</v>
      </c>
      <c r="K160" s="9">
        <v>26</v>
      </c>
      <c r="L160" s="10">
        <f t="shared" si="87"/>
        <v>326456</v>
      </c>
      <c r="M160" s="5">
        <f>ROUND(L160/产出与消耗!S14,4)</f>
        <v>1.4500000000000001E-2</v>
      </c>
      <c r="N160" s="9">
        <v>30</v>
      </c>
      <c r="O160" s="10">
        <f t="shared" si="88"/>
        <v>376680</v>
      </c>
      <c r="P160" s="5">
        <f>ROUND(O160/产出与消耗!S36,4)</f>
        <v>1.67E-2</v>
      </c>
      <c r="Q160" s="9">
        <v>4</v>
      </c>
      <c r="R160" s="10">
        <f t="shared" si="89"/>
        <v>50224</v>
      </c>
      <c r="S160" s="5">
        <f>ROUND(R160/产出与消耗!S58,4)</f>
        <v>2.5999999999999999E-3</v>
      </c>
      <c r="T160" s="8">
        <f t="shared" si="91"/>
        <v>3.3799999999999997E-2</v>
      </c>
      <c r="U160"/>
      <c r="V160"/>
      <c r="W160"/>
    </row>
    <row r="161" spans="1:23">
      <c r="A161" s="12"/>
      <c r="B161">
        <v>13</v>
      </c>
      <c r="C161">
        <f>MAX(ROUND(C162-(C163-C162)/(产出与消耗!$K$17-产出与消耗!$K$16)*(产出与消耗!$K$16-产出与消耗!$K$15)*1.004,0),0)</f>
        <v>15911</v>
      </c>
      <c r="D161" s="9">
        <v>6</v>
      </c>
      <c r="E161">
        <f>ROUND(D161*C161/3600/建筑!I140,2)</f>
        <v>8.84</v>
      </c>
      <c r="F161" s="9">
        <v>9</v>
      </c>
      <c r="G161" s="10">
        <f t="shared" si="86"/>
        <v>143199</v>
      </c>
      <c r="K161" s="9">
        <v>26</v>
      </c>
      <c r="L161" s="10">
        <f t="shared" si="87"/>
        <v>413686</v>
      </c>
      <c r="M161" s="5">
        <f>ROUND(L161/产出与消耗!S15,4)</f>
        <v>9.4999999999999998E-3</v>
      </c>
      <c r="N161" s="9">
        <v>30</v>
      </c>
      <c r="O161" s="10">
        <f t="shared" si="88"/>
        <v>477330</v>
      </c>
      <c r="P161" s="5">
        <f>ROUND(O161/产出与消耗!S37,4)</f>
        <v>1.09E-2</v>
      </c>
      <c r="Q161" s="9">
        <v>4</v>
      </c>
      <c r="R161" s="10">
        <f t="shared" si="89"/>
        <v>63644</v>
      </c>
      <c r="S161" s="5">
        <f>ROUND(R161/产出与消耗!S59,4)</f>
        <v>1.6999999999999999E-3</v>
      </c>
      <c r="T161" s="8">
        <f t="shared" si="91"/>
        <v>2.2100000000000002E-2</v>
      </c>
      <c r="U161"/>
      <c r="V161"/>
      <c r="W161"/>
    </row>
    <row r="162" spans="1:23">
      <c r="A162" s="17" t="s">
        <v>196</v>
      </c>
      <c r="B162">
        <v>14</v>
      </c>
      <c r="C162">
        <f>MAX(ROUND(C163-(C164-C163)/(产出与消耗!$K$18-产出与消耗!$K$17)*(产出与消耗!$K$17-产出与消耗!$K$16)*1.004,0),0)</f>
        <v>18907</v>
      </c>
      <c r="D162" s="9">
        <v>6</v>
      </c>
      <c r="E162">
        <f>ROUND(D162*C162/3600/建筑!I141,2)</f>
        <v>10.5</v>
      </c>
      <c r="F162" s="9">
        <v>9</v>
      </c>
      <c r="G162" s="10">
        <f t="shared" si="86"/>
        <v>170163</v>
      </c>
      <c r="K162" s="9">
        <v>26</v>
      </c>
      <c r="L162" s="10">
        <f t="shared" si="87"/>
        <v>491582</v>
      </c>
      <c r="M162" s="5">
        <f>ROUND(L162/产出与消耗!S16,4)</f>
        <v>5.4000000000000003E-3</v>
      </c>
      <c r="N162" s="9">
        <v>30</v>
      </c>
      <c r="O162" s="10">
        <f t="shared" si="88"/>
        <v>567210</v>
      </c>
      <c r="P162" s="5">
        <f>ROUND(O162/产出与消耗!S38,4)</f>
        <v>6.1999999999999998E-3</v>
      </c>
      <c r="Q162" s="9">
        <v>4</v>
      </c>
      <c r="R162" s="10">
        <f t="shared" si="89"/>
        <v>75628</v>
      </c>
      <c r="S162" s="5">
        <f>ROUND(R162/产出与消耗!S60,4)</f>
        <v>1E-3</v>
      </c>
      <c r="T162" s="8">
        <f t="shared" si="91"/>
        <v>1.26E-2</v>
      </c>
      <c r="U162"/>
      <c r="V162"/>
      <c r="W162"/>
    </row>
    <row r="163" spans="1:23">
      <c r="B163">
        <v>15</v>
      </c>
      <c r="C163">
        <f>MAX(ROUND(C164-(C165-C164)/(产出与消耗!$K$19-产出与消耗!$K$18)*(产出与消耗!$K$18-产出与消耗!$K$17)*1.004,0),0)</f>
        <v>22350</v>
      </c>
      <c r="D163" s="9">
        <v>6</v>
      </c>
      <c r="E163">
        <f>ROUND(D163*C163/3600/建筑!I142,2)</f>
        <v>12.42</v>
      </c>
      <c r="F163" s="9">
        <v>9</v>
      </c>
      <c r="G163" s="10">
        <f t="shared" si="86"/>
        <v>201150</v>
      </c>
      <c r="K163" s="9">
        <v>26</v>
      </c>
      <c r="L163" s="10">
        <f t="shared" si="87"/>
        <v>581100</v>
      </c>
      <c r="M163" s="5">
        <f>ROUND(L163/产出与消耗!S17,4)</f>
        <v>3.8999999999999998E-3</v>
      </c>
      <c r="N163" s="9">
        <v>30</v>
      </c>
      <c r="O163" s="10">
        <f t="shared" si="88"/>
        <v>670500</v>
      </c>
      <c r="P163" s="5">
        <f>ROUND(O163/产出与消耗!S39,4)</f>
        <v>4.4999999999999997E-3</v>
      </c>
      <c r="Q163" s="9">
        <v>4</v>
      </c>
      <c r="R163" s="10">
        <f t="shared" si="89"/>
        <v>89400</v>
      </c>
      <c r="S163" s="5">
        <f>ROUND(R163/产出与消耗!S61,4)</f>
        <v>6.9999999999999999E-4</v>
      </c>
      <c r="T163" s="8">
        <f t="shared" si="91"/>
        <v>9.0999999999999987E-3</v>
      </c>
      <c r="U163"/>
      <c r="V163"/>
      <c r="W163"/>
    </row>
    <row r="164" spans="1:23">
      <c r="B164">
        <v>16</v>
      </c>
      <c r="C164">
        <f>MAX(ROUND(C165-(C166-C165)/(产出与消耗!$K$20-产出与消耗!$K$19)*(产出与消耗!$K$19-产出与消耗!$K$18)*1.004,0),0)</f>
        <v>25779</v>
      </c>
      <c r="D164" s="9">
        <v>6</v>
      </c>
      <c r="E164">
        <f>ROUND(D164*C164/3600/建筑!I143,2)</f>
        <v>10.74</v>
      </c>
      <c r="F164" s="9">
        <v>9</v>
      </c>
      <c r="G164" s="10">
        <f t="shared" si="86"/>
        <v>232011</v>
      </c>
      <c r="K164" s="9">
        <v>26</v>
      </c>
      <c r="L164" s="10">
        <f t="shared" si="87"/>
        <v>670254</v>
      </c>
      <c r="M164" s="5">
        <f>ROUND(L164/产出与消耗!S18,4)</f>
        <v>2.5000000000000001E-3</v>
      </c>
      <c r="N164" s="9">
        <v>30</v>
      </c>
      <c r="O164" s="10">
        <f t="shared" si="88"/>
        <v>773370</v>
      </c>
      <c r="P164" s="5">
        <f>ROUND(O164/产出与消耗!S40,4)</f>
        <v>2.8E-3</v>
      </c>
      <c r="Q164" s="9">
        <v>4</v>
      </c>
      <c r="R164" s="10">
        <f t="shared" si="89"/>
        <v>103116</v>
      </c>
      <c r="S164" s="5">
        <f>ROUND(R164/产出与消耗!S62,4)</f>
        <v>4.0000000000000002E-4</v>
      </c>
      <c r="T164" s="8">
        <f t="shared" si="91"/>
        <v>5.7000000000000002E-3</v>
      </c>
      <c r="U164"/>
      <c r="V164"/>
      <c r="W164"/>
    </row>
    <row r="165" spans="1:23">
      <c r="B165">
        <v>17</v>
      </c>
      <c r="C165">
        <f>MAX(ROUND(C166-(C167-C166)/(产出与消耗!$K$21-产出与消耗!$K$20)*(产出与消耗!$K$20-产出与消耗!$K$19)*1.004,0),0)</f>
        <v>29536</v>
      </c>
      <c r="D165" s="9">
        <v>6</v>
      </c>
      <c r="E165">
        <f>ROUND(D165*C165/3600/建筑!I144,2)</f>
        <v>12.31</v>
      </c>
      <c r="F165" s="9">
        <v>9</v>
      </c>
      <c r="G165" s="10">
        <f t="shared" si="86"/>
        <v>265824</v>
      </c>
      <c r="K165" s="9">
        <v>26</v>
      </c>
      <c r="L165" s="10">
        <f t="shared" si="87"/>
        <v>767936</v>
      </c>
      <c r="M165" s="5">
        <f>ROUND(L165/产出与消耗!S19,4)</f>
        <v>1.9E-3</v>
      </c>
      <c r="N165" s="9">
        <v>30</v>
      </c>
      <c r="O165" s="10">
        <f t="shared" si="88"/>
        <v>886080</v>
      </c>
      <c r="P165" s="5">
        <f>ROUND(O165/产出与消耗!S41,4)</f>
        <v>2.2000000000000001E-3</v>
      </c>
      <c r="Q165" s="9">
        <v>4</v>
      </c>
      <c r="R165" s="10">
        <f t="shared" si="89"/>
        <v>118144</v>
      </c>
      <c r="S165" s="5">
        <f>ROUND(R165/产出与消耗!S63,4)</f>
        <v>2.9999999999999997E-4</v>
      </c>
      <c r="T165" s="8">
        <f t="shared" si="91"/>
        <v>4.4000000000000003E-3</v>
      </c>
      <c r="U165"/>
      <c r="V165"/>
      <c r="W165"/>
    </row>
    <row r="166" spans="1:23">
      <c r="B166">
        <v>18</v>
      </c>
      <c r="C166">
        <f>MAX(ROUND(C167-(C168-C167)/(产出与消耗!$K$22-产出与消耗!$K$21)*(产出与消耗!$K$21-产出与消耗!$K$20)*1.004,0),0)</f>
        <v>33732</v>
      </c>
      <c r="D166" s="9">
        <v>6</v>
      </c>
      <c r="E166">
        <f>ROUND(D166*C166/3600/建筑!I145,2)</f>
        <v>14.06</v>
      </c>
      <c r="F166" s="9">
        <v>9</v>
      </c>
      <c r="G166" s="10">
        <f t="shared" si="86"/>
        <v>303588</v>
      </c>
      <c r="K166" s="9">
        <v>26</v>
      </c>
      <c r="L166" s="10">
        <f t="shared" si="87"/>
        <v>877032</v>
      </c>
      <c r="M166" s="5">
        <f>ROUND(L166/产出与消耗!S20,4)</f>
        <v>1.2999999999999999E-3</v>
      </c>
      <c r="N166" s="9">
        <v>30</v>
      </c>
      <c r="O166" s="10">
        <f t="shared" si="88"/>
        <v>1011960</v>
      </c>
      <c r="P166" s="5">
        <f>ROUND(O166/产出与消耗!S42,4)</f>
        <v>1.5E-3</v>
      </c>
      <c r="Q166" s="9">
        <v>4</v>
      </c>
      <c r="R166" s="10">
        <f t="shared" si="89"/>
        <v>134928</v>
      </c>
      <c r="S166" s="5">
        <f>ROUND(R166/产出与消耗!S64,4)</f>
        <v>2.0000000000000001E-4</v>
      </c>
      <c r="T166" s="8">
        <f t="shared" si="91"/>
        <v>3.0000000000000001E-3</v>
      </c>
      <c r="U166"/>
      <c r="V166"/>
      <c r="W166"/>
    </row>
    <row r="167" spans="1:23">
      <c r="A167" s="18" t="s">
        <v>197</v>
      </c>
      <c r="B167">
        <v>19</v>
      </c>
      <c r="C167">
        <f>ROUND(产出与消耗!$K$21*C168/产出与消耗!$K$22,0)</f>
        <v>38250</v>
      </c>
      <c r="D167" s="9">
        <v>6</v>
      </c>
      <c r="E167">
        <f>ROUND(D167*C167/3600/建筑!I146,2)</f>
        <v>15.94</v>
      </c>
      <c r="F167" s="9">
        <v>9</v>
      </c>
      <c r="G167" s="10">
        <f t="shared" si="86"/>
        <v>344250</v>
      </c>
      <c r="K167" s="9">
        <v>26</v>
      </c>
      <c r="L167" s="10">
        <f t="shared" si="87"/>
        <v>994500</v>
      </c>
      <c r="M167" s="5">
        <f>ROUND(L167/产出与消耗!S21,4)</f>
        <v>8.9999999999999998E-4</v>
      </c>
      <c r="N167" s="9">
        <v>30</v>
      </c>
      <c r="O167" s="10">
        <f t="shared" si="88"/>
        <v>1147500</v>
      </c>
      <c r="P167" s="5">
        <f>ROUND(O167/产出与消耗!S43,4)</f>
        <v>1.1000000000000001E-3</v>
      </c>
      <c r="Q167" s="9">
        <v>4</v>
      </c>
      <c r="R167" s="10">
        <f t="shared" si="89"/>
        <v>153000</v>
      </c>
      <c r="S167" s="5">
        <f>ROUND(R167/产出与消耗!S65,4)</f>
        <v>2.0000000000000001E-4</v>
      </c>
      <c r="T167" s="8">
        <f t="shared" si="91"/>
        <v>2.2000000000000001E-3</v>
      </c>
      <c r="U167"/>
      <c r="V167"/>
      <c r="W167"/>
    </row>
    <row r="168" spans="1:23">
      <c r="B168">
        <v>20</v>
      </c>
      <c r="C168">
        <v>45000</v>
      </c>
      <c r="D168" s="9">
        <v>6</v>
      </c>
      <c r="E168">
        <f>ROUND(D168*C168/3600/建筑!I147,2)</f>
        <v>15</v>
      </c>
      <c r="F168" s="9">
        <v>9</v>
      </c>
      <c r="G168" s="10">
        <f t="shared" si="86"/>
        <v>405000</v>
      </c>
      <c r="K168" s="9">
        <v>26</v>
      </c>
      <c r="L168" s="10">
        <f t="shared" si="87"/>
        <v>1170000</v>
      </c>
      <c r="M168" s="5">
        <f>ROUND(L168/产出与消耗!S22,4)</f>
        <v>6.9999999999999999E-4</v>
      </c>
      <c r="N168" s="9">
        <v>30</v>
      </c>
      <c r="O168" s="10">
        <f t="shared" si="88"/>
        <v>1350000</v>
      </c>
      <c r="P168" s="5">
        <f>ROUND(O168/产出与消耗!S44,4)</f>
        <v>8.0000000000000004E-4</v>
      </c>
      <c r="Q168" s="9">
        <v>4</v>
      </c>
      <c r="R168" s="10">
        <f t="shared" si="89"/>
        <v>180000</v>
      </c>
      <c r="S168" s="5">
        <f>ROUND(R168/产出与消耗!S66,4)</f>
        <v>1E-4</v>
      </c>
      <c r="T168" s="8">
        <f t="shared" si="91"/>
        <v>1.6000000000000001E-3</v>
      </c>
      <c r="U168"/>
      <c r="V168"/>
      <c r="W168"/>
    </row>
    <row r="170" spans="1:23">
      <c r="A170" t="s">
        <v>167</v>
      </c>
      <c r="B170">
        <v>1</v>
      </c>
      <c r="C170">
        <f>MAX(ROUND(C171-(C172-C171)/(产出与消耗!$K$5-产出与消耗!$K$4)*(产出与消耗!$K$4-产出与消耗!$K$3)*1.048,0),0)</f>
        <v>0</v>
      </c>
      <c r="D170" s="9">
        <v>12</v>
      </c>
      <c r="E170">
        <f>ROUND(D170*C170/3600/(建筑!G86*基本公式!$B$154),2)</f>
        <v>0</v>
      </c>
      <c r="F170" s="9">
        <v>20</v>
      </c>
      <c r="G170" s="10">
        <f t="shared" ref="G170" si="92">F170*C170</f>
        <v>0</v>
      </c>
      <c r="K170" s="9">
        <v>450</v>
      </c>
      <c r="L170" s="10">
        <f t="shared" ref="L170" si="93">ROUND(K170*C170,0)</f>
        <v>0</v>
      </c>
      <c r="M170" s="5">
        <f>ROUND(L170/产出与消耗!S3,4)</f>
        <v>0</v>
      </c>
      <c r="N170" s="9">
        <v>650</v>
      </c>
      <c r="O170" s="10">
        <f t="shared" ref="O170" si="94">ROUND(N170*C170,0)</f>
        <v>0</v>
      </c>
      <c r="P170" s="5">
        <f>ROUND(O170/产出与消耗!S25,4)</f>
        <v>0</v>
      </c>
      <c r="Q170" s="9">
        <v>300</v>
      </c>
      <c r="R170" s="10">
        <f t="shared" ref="R170" si="95">ROUND(Q170*C170,0)</f>
        <v>0</v>
      </c>
      <c r="S170" s="5">
        <f>ROUND(R170/产出与消耗!S47,4)</f>
        <v>0</v>
      </c>
      <c r="T170" s="8">
        <f>M170+P170+S170</f>
        <v>0</v>
      </c>
      <c r="U170"/>
      <c r="V170"/>
      <c r="W170"/>
    </row>
    <row r="171" spans="1:23">
      <c r="B171">
        <v>2</v>
      </c>
      <c r="C171">
        <f>MAX(ROUND(C172-(C173-C172)/(产出与消耗!$K$6-产出与消耗!$K$5)*(产出与消耗!$K$5-产出与消耗!$K$4)*1.048,0),0)</f>
        <v>0</v>
      </c>
      <c r="D171" s="9">
        <v>12</v>
      </c>
      <c r="E171">
        <f>ROUND(D171*C171/3600/(建筑!G87*基本公式!$B$154),2)</f>
        <v>0</v>
      </c>
      <c r="F171" s="9">
        <v>20</v>
      </c>
      <c r="G171" s="10">
        <f t="shared" ref="G171:G189" si="96">F171*C171</f>
        <v>0</v>
      </c>
      <c r="K171" s="9">
        <v>450</v>
      </c>
      <c r="L171" s="10">
        <f t="shared" ref="L171:L189" si="97">ROUND(K171*C171,0)</f>
        <v>0</v>
      </c>
      <c r="M171" s="5">
        <f>ROUND(L171/产出与消耗!S4,4)</f>
        <v>0</v>
      </c>
      <c r="N171" s="9">
        <v>650</v>
      </c>
      <c r="O171" s="10">
        <f t="shared" ref="O171:O189" si="98">ROUND(N171*C171,0)</f>
        <v>0</v>
      </c>
      <c r="P171" s="5">
        <f>ROUND(O171/产出与消耗!S26,4)</f>
        <v>0</v>
      </c>
      <c r="Q171" s="9">
        <v>300</v>
      </c>
      <c r="R171" s="10">
        <f t="shared" ref="R171:R189" si="99">ROUND(Q171*C171,0)</f>
        <v>0</v>
      </c>
      <c r="S171" s="5">
        <f>ROUND(R171/产出与消耗!S48,4)</f>
        <v>0</v>
      </c>
      <c r="T171" s="8">
        <f t="shared" ref="T171" si="100">M171+P171+S171</f>
        <v>0</v>
      </c>
      <c r="U171"/>
      <c r="V171"/>
      <c r="W171"/>
    </row>
    <row r="172" spans="1:23">
      <c r="B172">
        <v>3</v>
      </c>
      <c r="C172">
        <f>MAX(ROUND(C173-(C174-C173)/(产出与消耗!$K$7-产出与消耗!$K$6)*(产出与消耗!$K$6-产出与消耗!$K$5)*1.048,0),0)</f>
        <v>0</v>
      </c>
      <c r="D172" s="9">
        <v>12</v>
      </c>
      <c r="E172">
        <f>ROUND(D172*C172/3600/(建筑!G88*基本公式!$B$154),2)</f>
        <v>0</v>
      </c>
      <c r="F172" s="9">
        <v>20</v>
      </c>
      <c r="G172" s="10">
        <f t="shared" si="96"/>
        <v>0</v>
      </c>
      <c r="K172" s="9">
        <v>450</v>
      </c>
      <c r="L172" s="10">
        <f t="shared" si="97"/>
        <v>0</v>
      </c>
      <c r="M172" s="5">
        <f>ROUND(L172/产出与消耗!S5,4)</f>
        <v>0</v>
      </c>
      <c r="N172" s="9">
        <v>650</v>
      </c>
      <c r="O172" s="10">
        <f t="shared" si="98"/>
        <v>0</v>
      </c>
      <c r="P172" s="5">
        <f>ROUND(O172/产出与消耗!S27,4)</f>
        <v>0</v>
      </c>
      <c r="Q172" s="9">
        <v>300</v>
      </c>
      <c r="R172" s="10">
        <f t="shared" si="99"/>
        <v>0</v>
      </c>
      <c r="S172" s="5">
        <f>ROUND(R172/产出与消耗!S49,4)</f>
        <v>0</v>
      </c>
      <c r="T172" s="8">
        <f t="shared" ref="T172:T189" si="101">M172+P172+S172</f>
        <v>0</v>
      </c>
      <c r="U172"/>
      <c r="V172"/>
      <c r="W172"/>
    </row>
    <row r="173" spans="1:23">
      <c r="B173">
        <v>4</v>
      </c>
      <c r="C173">
        <f>MAX(ROUND(C174-(C175-C174)/(产出与消耗!$K$8-产出与消耗!$K$7)*(产出与消耗!$K$7-产出与消耗!$K$6)*1.048,0),0)</f>
        <v>0</v>
      </c>
      <c r="D173" s="9">
        <v>12</v>
      </c>
      <c r="E173">
        <f>ROUND(D173*C173/3600/(建筑!G89*基本公式!$B$154),2)</f>
        <v>0</v>
      </c>
      <c r="F173" s="9">
        <v>20</v>
      </c>
      <c r="G173" s="10">
        <f t="shared" si="96"/>
        <v>0</v>
      </c>
      <c r="K173" s="9">
        <v>450</v>
      </c>
      <c r="L173" s="10">
        <f t="shared" si="97"/>
        <v>0</v>
      </c>
      <c r="M173" s="5">
        <f>ROUND(L173/产出与消耗!S6,4)</f>
        <v>0</v>
      </c>
      <c r="N173" s="9">
        <v>650</v>
      </c>
      <c r="O173" s="10">
        <f t="shared" si="98"/>
        <v>0</v>
      </c>
      <c r="P173" s="5">
        <f>ROUND(O173/产出与消耗!S28,4)</f>
        <v>0</v>
      </c>
      <c r="Q173" s="9">
        <v>300</v>
      </c>
      <c r="R173" s="10">
        <f t="shared" si="99"/>
        <v>0</v>
      </c>
      <c r="S173" s="5">
        <f>ROUND(R173/产出与消耗!S50,4)</f>
        <v>0</v>
      </c>
      <c r="T173" s="8">
        <f t="shared" si="101"/>
        <v>0</v>
      </c>
      <c r="U173"/>
      <c r="V173"/>
      <c r="W173"/>
    </row>
    <row r="174" spans="1:23">
      <c r="B174">
        <v>5</v>
      </c>
      <c r="C174">
        <f>MAX(ROUND(C175-(C176-C175)/(产出与消耗!$K$9-产出与消耗!$K$8)*(产出与消耗!$K$8-产出与消耗!$K$7)*1.048,0),0)</f>
        <v>0</v>
      </c>
      <c r="D174" s="9">
        <v>12</v>
      </c>
      <c r="E174">
        <f>ROUND(D174*C174/3600/(建筑!G90*基本公式!$B$154),2)</f>
        <v>0</v>
      </c>
      <c r="F174" s="9">
        <v>20</v>
      </c>
      <c r="G174" s="10">
        <f t="shared" si="96"/>
        <v>0</v>
      </c>
      <c r="K174" s="9">
        <v>450</v>
      </c>
      <c r="L174" s="10">
        <f t="shared" si="97"/>
        <v>0</v>
      </c>
      <c r="M174" s="5">
        <f>ROUND(L174/产出与消耗!S7,4)</f>
        <v>0</v>
      </c>
      <c r="N174" s="9">
        <v>650</v>
      </c>
      <c r="O174" s="10">
        <f t="shared" si="98"/>
        <v>0</v>
      </c>
      <c r="P174" s="5">
        <f>ROUND(O174/产出与消耗!S29,4)</f>
        <v>0</v>
      </c>
      <c r="Q174" s="9">
        <v>300</v>
      </c>
      <c r="R174" s="10">
        <f t="shared" si="99"/>
        <v>0</v>
      </c>
      <c r="S174" s="5">
        <f>ROUND(R174/产出与消耗!S51,4)</f>
        <v>0</v>
      </c>
      <c r="T174" s="8">
        <f t="shared" si="101"/>
        <v>0</v>
      </c>
      <c r="U174"/>
      <c r="V174"/>
      <c r="W174"/>
    </row>
    <row r="175" spans="1:23">
      <c r="B175">
        <v>6</v>
      </c>
      <c r="C175">
        <f>MAX(ROUND(C176-(C177-C176)/(产出与消耗!$K$10-产出与消耗!$K$9)*(产出与消耗!$K$9-产出与消耗!$K$8)*1.048,0),0)</f>
        <v>0</v>
      </c>
      <c r="D175" s="9">
        <v>12</v>
      </c>
      <c r="E175">
        <f>ROUND(D175*C175/3600/(建筑!G91*基本公式!$B$154),2)</f>
        <v>0</v>
      </c>
      <c r="F175" s="9">
        <v>20</v>
      </c>
      <c r="G175" s="10">
        <f t="shared" si="96"/>
        <v>0</v>
      </c>
      <c r="K175" s="9">
        <v>450</v>
      </c>
      <c r="L175" s="10">
        <f t="shared" si="97"/>
        <v>0</v>
      </c>
      <c r="M175" s="5">
        <f>ROUND(L175/产出与消耗!S8,4)</f>
        <v>0</v>
      </c>
      <c r="N175" s="9">
        <v>650</v>
      </c>
      <c r="O175" s="10">
        <f t="shared" si="98"/>
        <v>0</v>
      </c>
      <c r="P175" s="5">
        <f>ROUND(O175/产出与消耗!S30,4)</f>
        <v>0</v>
      </c>
      <c r="Q175" s="9">
        <v>300</v>
      </c>
      <c r="R175" s="10">
        <f t="shared" si="99"/>
        <v>0</v>
      </c>
      <c r="S175" s="5">
        <f>ROUND(R175/产出与消耗!S52,4)</f>
        <v>0</v>
      </c>
      <c r="T175" s="8">
        <f t="shared" si="101"/>
        <v>0</v>
      </c>
      <c r="U175"/>
      <c r="V175"/>
      <c r="W175"/>
    </row>
    <row r="176" spans="1:23">
      <c r="B176">
        <v>7</v>
      </c>
      <c r="C176">
        <f>MAX(ROUND(C177-(C178-C177)/(产出与消耗!$K$11-产出与消耗!$K$10)*(产出与消耗!$K$10-产出与消耗!$K$9)*1.048,0),0)</f>
        <v>0</v>
      </c>
      <c r="D176" s="9">
        <v>12</v>
      </c>
      <c r="E176">
        <f>ROUND(D176*C176/3600/(建筑!G92*基本公式!$B$154),2)</f>
        <v>0</v>
      </c>
      <c r="F176" s="9">
        <v>20</v>
      </c>
      <c r="G176" s="10">
        <f t="shared" si="96"/>
        <v>0</v>
      </c>
      <c r="K176" s="9">
        <v>450</v>
      </c>
      <c r="L176" s="10">
        <f t="shared" si="97"/>
        <v>0</v>
      </c>
      <c r="M176" s="5">
        <f>ROUND(L176/产出与消耗!S9,4)</f>
        <v>0</v>
      </c>
      <c r="N176" s="9">
        <v>650</v>
      </c>
      <c r="O176" s="10">
        <f t="shared" si="98"/>
        <v>0</v>
      </c>
      <c r="P176" s="5">
        <f>ROUND(O176/产出与消耗!S31,4)</f>
        <v>0</v>
      </c>
      <c r="Q176" s="9">
        <v>300</v>
      </c>
      <c r="R176" s="10">
        <f t="shared" si="99"/>
        <v>0</v>
      </c>
      <c r="S176" s="5">
        <f>ROUND(R176/产出与消耗!S53,4)</f>
        <v>0</v>
      </c>
      <c r="T176" s="8">
        <f t="shared" si="101"/>
        <v>0</v>
      </c>
      <c r="U176"/>
      <c r="V176"/>
      <c r="W176"/>
    </row>
    <row r="177" spans="1:23">
      <c r="A177" s="12"/>
      <c r="B177">
        <v>8</v>
      </c>
      <c r="C177">
        <f>MAX(ROUND(C178-(C179-C178)/(产出与消耗!$K$12-产出与消耗!$K$11)*(产出与消耗!$K$11-产出与消耗!$K$10)*1.048,0),0)</f>
        <v>0</v>
      </c>
      <c r="D177" s="9">
        <v>12</v>
      </c>
      <c r="E177">
        <f>ROUND(D177*C177/3600/(建筑!G93*基本公式!$B$154),2)</f>
        <v>0</v>
      </c>
      <c r="F177" s="9">
        <v>20</v>
      </c>
      <c r="G177" s="10">
        <f t="shared" si="96"/>
        <v>0</v>
      </c>
      <c r="K177" s="9">
        <v>450</v>
      </c>
      <c r="L177" s="10">
        <f t="shared" si="97"/>
        <v>0</v>
      </c>
      <c r="M177" s="5">
        <f>ROUND(L177/产出与消耗!S10,4)</f>
        <v>0</v>
      </c>
      <c r="N177" s="9">
        <v>650</v>
      </c>
      <c r="O177" s="10">
        <f t="shared" si="98"/>
        <v>0</v>
      </c>
      <c r="P177" s="5">
        <f>ROUND(O177/产出与消耗!S32,4)</f>
        <v>0</v>
      </c>
      <c r="Q177" s="9">
        <v>300</v>
      </c>
      <c r="R177" s="10">
        <f t="shared" si="99"/>
        <v>0</v>
      </c>
      <c r="S177" s="5">
        <f>ROUND(R177/产出与消耗!S54,4)</f>
        <v>0</v>
      </c>
      <c r="T177" s="8">
        <f t="shared" si="101"/>
        <v>0</v>
      </c>
      <c r="U177"/>
      <c r="V177"/>
      <c r="W177"/>
    </row>
    <row r="178" spans="1:23">
      <c r="B178">
        <v>9</v>
      </c>
      <c r="C178">
        <f>MAX(ROUND(C179-(C180-C179)/(产出与消耗!$K$13-产出与消耗!$K$12)*(产出与消耗!$K$12-产出与消耗!$K$11)*1.048,0),0)</f>
        <v>0</v>
      </c>
      <c r="D178" s="9">
        <v>12</v>
      </c>
      <c r="E178">
        <f>ROUND(D178*C178/3600/(建筑!G94*基本公式!$B$154),2)</f>
        <v>0</v>
      </c>
      <c r="F178" s="9">
        <v>20</v>
      </c>
      <c r="G178" s="10">
        <f t="shared" si="96"/>
        <v>0</v>
      </c>
      <c r="K178" s="9">
        <v>450</v>
      </c>
      <c r="L178" s="10">
        <f t="shared" si="97"/>
        <v>0</v>
      </c>
      <c r="M178" s="5">
        <f>ROUND(L178/产出与消耗!S11,4)</f>
        <v>0</v>
      </c>
      <c r="N178" s="9">
        <v>650</v>
      </c>
      <c r="O178" s="10">
        <f t="shared" si="98"/>
        <v>0</v>
      </c>
      <c r="P178" s="5">
        <f>ROUND(O178/产出与消耗!S33,4)</f>
        <v>0</v>
      </c>
      <c r="Q178" s="9">
        <v>300</v>
      </c>
      <c r="R178" s="10">
        <f t="shared" si="99"/>
        <v>0</v>
      </c>
      <c r="S178" s="5">
        <f>ROUND(R178/产出与消耗!S55,4)</f>
        <v>0</v>
      </c>
      <c r="T178" s="8">
        <f t="shared" si="101"/>
        <v>0</v>
      </c>
      <c r="U178"/>
      <c r="V178"/>
      <c r="W178"/>
    </row>
    <row r="179" spans="1:23">
      <c r="A179" s="17" t="s">
        <v>195</v>
      </c>
      <c r="B179">
        <v>10</v>
      </c>
      <c r="C179">
        <f>MAX(ROUND(C180-(C181-C180)/(产出与消耗!$K$14-产出与消耗!$K$13)*(产出与消耗!$K$13-产出与消耗!$K$12)*1.048,0),0)</f>
        <v>151</v>
      </c>
      <c r="D179" s="9">
        <v>12</v>
      </c>
      <c r="E179">
        <f>ROUND(D179*C179/3600/(建筑!G95*基本公式!$B$154),2)</f>
        <v>0.13</v>
      </c>
      <c r="F179" s="9">
        <v>20</v>
      </c>
      <c r="G179" s="10">
        <f t="shared" si="96"/>
        <v>3020</v>
      </c>
      <c r="K179" s="9">
        <v>450</v>
      </c>
      <c r="L179" s="10">
        <f t="shared" si="97"/>
        <v>67950</v>
      </c>
      <c r="M179" s="5">
        <f>ROUND(L179/产出与消耗!S12,4)</f>
        <v>1.7299999999999999E-2</v>
      </c>
      <c r="N179" s="9">
        <v>650</v>
      </c>
      <c r="O179" s="10">
        <f t="shared" si="98"/>
        <v>98150</v>
      </c>
      <c r="P179" s="5">
        <f>ROUND(O179/产出与消耗!S34,4)</f>
        <v>2.5100000000000001E-2</v>
      </c>
      <c r="Q179" s="9">
        <v>300</v>
      </c>
      <c r="R179" s="10">
        <f t="shared" si="99"/>
        <v>45300</v>
      </c>
      <c r="S179" s="5">
        <f>ROUND(R179/产出与消耗!S56,4)</f>
        <v>1.35E-2</v>
      </c>
      <c r="T179" s="8">
        <f t="shared" si="101"/>
        <v>5.5899999999999998E-2</v>
      </c>
      <c r="U179"/>
      <c r="V179"/>
      <c r="W179"/>
    </row>
    <row r="180" spans="1:23">
      <c r="B180">
        <v>11</v>
      </c>
      <c r="C180">
        <f>MAX(ROUND(C181-(C182-C181)/(产出与消耗!$K$15-产出与消耗!$K$14)*(产出与消耗!$K$14-产出与消耗!$K$13)*1.048,0),0)</f>
        <v>2381</v>
      </c>
      <c r="D180" s="9">
        <v>12</v>
      </c>
      <c r="E180">
        <f>ROUND(D180*C180/3600/(建筑!G96*基本公式!$B$154),2)</f>
        <v>1.98</v>
      </c>
      <c r="F180" s="9">
        <v>20</v>
      </c>
      <c r="G180" s="10">
        <f t="shared" si="96"/>
        <v>47620</v>
      </c>
      <c r="K180" s="9">
        <v>450</v>
      </c>
      <c r="L180" s="10">
        <f t="shared" si="97"/>
        <v>1071450</v>
      </c>
      <c r="M180" s="5">
        <f>ROUND(L180/产出与消耗!S13,4)</f>
        <v>0.1341</v>
      </c>
      <c r="N180" s="9">
        <v>650</v>
      </c>
      <c r="O180" s="10">
        <f t="shared" si="98"/>
        <v>1547650</v>
      </c>
      <c r="P180" s="5">
        <f>ROUND(O180/产出与消耗!S35,4)</f>
        <v>0.19370000000000001</v>
      </c>
      <c r="Q180" s="9">
        <v>300</v>
      </c>
      <c r="R180" s="10">
        <f t="shared" si="99"/>
        <v>714300</v>
      </c>
      <c r="S180" s="5">
        <f>ROUND(R180/产出与消耗!S57,4)</f>
        <v>0.1043</v>
      </c>
      <c r="T180" s="8">
        <f t="shared" si="101"/>
        <v>0.43209999999999998</v>
      </c>
      <c r="U180"/>
      <c r="V180"/>
      <c r="W180"/>
    </row>
    <row r="181" spans="1:23">
      <c r="B181">
        <v>12</v>
      </c>
      <c r="C181">
        <f>MAX(ROUND(C182-(C183-C182)/(产出与消耗!$K$16-产出与消耗!$K$15)*(产出与消耗!$K$15-产出与消耗!$K$14)*1.048,0),0)</f>
        <v>7947</v>
      </c>
      <c r="D181" s="9">
        <v>12</v>
      </c>
      <c r="E181">
        <f>ROUND(D181*C181/3600/(建筑!G97*基本公式!$B$154),2)</f>
        <v>4.42</v>
      </c>
      <c r="F181" s="9">
        <v>20</v>
      </c>
      <c r="G181" s="10">
        <f t="shared" si="96"/>
        <v>158940</v>
      </c>
      <c r="K181" s="9">
        <v>450</v>
      </c>
      <c r="L181" s="10">
        <f t="shared" si="97"/>
        <v>3576150</v>
      </c>
      <c r="M181" s="5">
        <f>ROUND(L181/产出与消耗!S14,4)</f>
        <v>0.15870000000000001</v>
      </c>
      <c r="N181" s="9">
        <v>650</v>
      </c>
      <c r="O181" s="10">
        <f t="shared" si="98"/>
        <v>5165550</v>
      </c>
      <c r="P181" s="5">
        <f>ROUND(O181/产出与消耗!S36,4)</f>
        <v>0.22919999999999999</v>
      </c>
      <c r="Q181" s="9">
        <v>300</v>
      </c>
      <c r="R181" s="10">
        <f t="shared" si="99"/>
        <v>2384100</v>
      </c>
      <c r="S181" s="5">
        <f>ROUND(R181/产出与消耗!S58,4)</f>
        <v>0.1234</v>
      </c>
      <c r="T181" s="8">
        <f t="shared" si="101"/>
        <v>0.51129999999999998</v>
      </c>
      <c r="U181"/>
      <c r="V181"/>
      <c r="W181"/>
    </row>
    <row r="182" spans="1:23">
      <c r="A182" s="12"/>
      <c r="B182">
        <v>13</v>
      </c>
      <c r="C182">
        <f>MAX(ROUND(C183-(C184-C183)/(产出与消耗!$K$17-产出与消耗!$K$16)*(产出与消耗!$K$16-产出与消耗!$K$15)*1.048,0),0)</f>
        <v>12477</v>
      </c>
      <c r="D182" s="9">
        <v>12</v>
      </c>
      <c r="E182">
        <f>ROUND(D182*C182/3600/(建筑!G98*基本公式!$B$154),2)</f>
        <v>6.93</v>
      </c>
      <c r="F182" s="9">
        <v>20</v>
      </c>
      <c r="G182" s="10">
        <f t="shared" si="96"/>
        <v>249540</v>
      </c>
      <c r="K182" s="9">
        <v>450</v>
      </c>
      <c r="L182" s="10">
        <f t="shared" si="97"/>
        <v>5614650</v>
      </c>
      <c r="M182" s="5">
        <f>ROUND(L182/产出与消耗!S15,4)</f>
        <v>0.1285</v>
      </c>
      <c r="N182" s="9">
        <v>650</v>
      </c>
      <c r="O182" s="10">
        <f t="shared" si="98"/>
        <v>8110050</v>
      </c>
      <c r="P182" s="5">
        <f>ROUND(O182/产出与消耗!S37,4)</f>
        <v>0.1857</v>
      </c>
      <c r="Q182" s="9">
        <v>300</v>
      </c>
      <c r="R182" s="10">
        <f t="shared" si="99"/>
        <v>3743100</v>
      </c>
      <c r="S182" s="5">
        <f>ROUND(R182/产出与消耗!S59,4)</f>
        <v>0.1</v>
      </c>
      <c r="T182" s="8">
        <f t="shared" si="101"/>
        <v>0.41420000000000001</v>
      </c>
      <c r="U182"/>
      <c r="V182"/>
      <c r="W182"/>
    </row>
    <row r="183" spans="1:23">
      <c r="A183" s="17" t="s">
        <v>196</v>
      </c>
      <c r="B183">
        <v>14</v>
      </c>
      <c r="C183">
        <f>MAX(ROUND(C184-(C185-C184)/(产出与消耗!$K$18-产出与消耗!$K$17)*(产出与消耗!$K$17-产出与消耗!$K$16)*1.048,0),0)</f>
        <v>16352</v>
      </c>
      <c r="D183" s="9">
        <v>12</v>
      </c>
      <c r="E183">
        <f>ROUND(D183*C183/3600/(建筑!G99*基本公式!$B$154),2)</f>
        <v>9.08</v>
      </c>
      <c r="F183" s="9">
        <v>20</v>
      </c>
      <c r="G183" s="10">
        <f t="shared" si="96"/>
        <v>327040</v>
      </c>
      <c r="K183" s="9">
        <v>450</v>
      </c>
      <c r="L183" s="10">
        <f t="shared" si="97"/>
        <v>7358400</v>
      </c>
      <c r="M183" s="5">
        <f>ROUND(L183/产出与消耗!S16,4)</f>
        <v>8.0699999999999994E-2</v>
      </c>
      <c r="N183" s="9">
        <v>650</v>
      </c>
      <c r="O183" s="10">
        <f t="shared" si="98"/>
        <v>10628800</v>
      </c>
      <c r="P183" s="5">
        <f>ROUND(O183/产出与消耗!S38,4)</f>
        <v>0.1166</v>
      </c>
      <c r="Q183" s="9">
        <v>300</v>
      </c>
      <c r="R183" s="10">
        <f t="shared" si="99"/>
        <v>4905600</v>
      </c>
      <c r="S183" s="5">
        <f>ROUND(R183/产出与消耗!S60,4)</f>
        <v>6.2799999999999995E-2</v>
      </c>
      <c r="T183" s="8">
        <f t="shared" si="101"/>
        <v>0.2601</v>
      </c>
      <c r="U183"/>
      <c r="V183"/>
      <c r="W183"/>
    </row>
    <row r="184" spans="1:23">
      <c r="B184">
        <v>15</v>
      </c>
      <c r="C184">
        <f>MAX(ROUND(C185-(C186-C185)/(产出与消耗!$K$19-产出与消耗!$K$18)*(产出与消耗!$K$18-产出与消耗!$K$17)*1.048,0),0)</f>
        <v>20618</v>
      </c>
      <c r="D184" s="9">
        <v>12</v>
      </c>
      <c r="E184">
        <f>ROUND(D184*C184/3600/(建筑!G100*基本公式!$B$154),2)</f>
        <v>11.45</v>
      </c>
      <c r="F184" s="9">
        <v>20</v>
      </c>
      <c r="G184" s="10">
        <f t="shared" si="96"/>
        <v>412360</v>
      </c>
      <c r="K184" s="9">
        <v>450</v>
      </c>
      <c r="L184" s="10">
        <f t="shared" si="97"/>
        <v>9278100</v>
      </c>
      <c r="M184" s="5">
        <f>ROUND(L184/产出与消耗!S17,4)</f>
        <v>6.2E-2</v>
      </c>
      <c r="N184" s="9">
        <v>650</v>
      </c>
      <c r="O184" s="10">
        <f t="shared" si="98"/>
        <v>13401700</v>
      </c>
      <c r="P184" s="5">
        <f>ROUND(O184/产出与消耗!S39,4)</f>
        <v>8.9599999999999999E-2</v>
      </c>
      <c r="Q184" s="9">
        <v>300</v>
      </c>
      <c r="R184" s="10">
        <f t="shared" si="99"/>
        <v>6185400</v>
      </c>
      <c r="S184" s="5">
        <f>ROUND(R184/产出与消耗!S61,4)</f>
        <v>4.82E-2</v>
      </c>
      <c r="T184" s="8">
        <f t="shared" si="101"/>
        <v>0.19980000000000001</v>
      </c>
      <c r="U184"/>
      <c r="V184"/>
      <c r="W184"/>
    </row>
    <row r="185" spans="1:23">
      <c r="B185">
        <v>16</v>
      </c>
      <c r="C185">
        <f>MAX(ROUND(C186-(C187-C186)/(产出与消耗!$K$20-产出与消耗!$K$19)*(产出与消耗!$K$19-产出与消耗!$K$18)*1.048,0),0)</f>
        <v>24689</v>
      </c>
      <c r="D185" s="9">
        <v>12</v>
      </c>
      <c r="E185">
        <f>ROUND(D185*C185/3600/(建筑!G101*基本公式!$B$154),2)</f>
        <v>10.29</v>
      </c>
      <c r="F185" s="9">
        <v>20</v>
      </c>
      <c r="G185" s="10">
        <f t="shared" si="96"/>
        <v>493780</v>
      </c>
      <c r="K185" s="9">
        <v>450</v>
      </c>
      <c r="L185" s="10">
        <f t="shared" si="97"/>
        <v>11110050</v>
      </c>
      <c r="M185" s="5">
        <f>ROUND(L185/产出与消耗!S18,4)</f>
        <v>4.0899999999999999E-2</v>
      </c>
      <c r="N185" s="9">
        <v>650</v>
      </c>
      <c r="O185" s="10">
        <f t="shared" si="98"/>
        <v>16047850</v>
      </c>
      <c r="P185" s="5">
        <f>ROUND(O185/产出与消耗!S40,4)</f>
        <v>5.8999999999999997E-2</v>
      </c>
      <c r="Q185" s="9">
        <v>300</v>
      </c>
      <c r="R185" s="10">
        <f t="shared" si="99"/>
        <v>7406700</v>
      </c>
      <c r="S185" s="5">
        <f>ROUND(R185/产出与消耗!S62,4)</f>
        <v>3.1800000000000002E-2</v>
      </c>
      <c r="T185" s="8">
        <f t="shared" si="101"/>
        <v>0.13169999999999998</v>
      </c>
      <c r="U185"/>
      <c r="V185"/>
      <c r="W185"/>
    </row>
    <row r="186" spans="1:23">
      <c r="B186">
        <v>17</v>
      </c>
      <c r="C186">
        <f>MAX(ROUND(C187-(C188-C187)/(产出与消耗!$K$21-产出与消耗!$K$20)*(产出与消耗!$K$20-产出与消耗!$K$19)*1.048,0),0)</f>
        <v>28962</v>
      </c>
      <c r="D186" s="9">
        <v>12</v>
      </c>
      <c r="E186">
        <f>ROUND(D186*C186/3600/(建筑!G102*基本公式!$B$154),2)</f>
        <v>12.07</v>
      </c>
      <c r="F186" s="9">
        <v>20</v>
      </c>
      <c r="G186" s="10">
        <f t="shared" si="96"/>
        <v>579240</v>
      </c>
      <c r="K186" s="9">
        <v>450</v>
      </c>
      <c r="L186" s="10">
        <f t="shared" si="97"/>
        <v>13032900</v>
      </c>
      <c r="M186" s="5">
        <f>ROUND(L186/产出与消耗!S19,4)</f>
        <v>3.2099999999999997E-2</v>
      </c>
      <c r="N186" s="9">
        <v>650</v>
      </c>
      <c r="O186" s="10">
        <f t="shared" si="98"/>
        <v>18825300</v>
      </c>
      <c r="P186" s="5">
        <f>ROUND(O186/产出与消耗!S41,4)</f>
        <v>4.6399999999999997E-2</v>
      </c>
      <c r="Q186" s="9">
        <v>300</v>
      </c>
      <c r="R186" s="10">
        <f t="shared" si="99"/>
        <v>8688600</v>
      </c>
      <c r="S186" s="5">
        <f>ROUND(R186/产出与消耗!S63,4)</f>
        <v>2.5000000000000001E-2</v>
      </c>
      <c r="T186" s="8">
        <f t="shared" si="101"/>
        <v>0.10349999999999998</v>
      </c>
      <c r="U186"/>
      <c r="V186"/>
      <c r="W186"/>
    </row>
    <row r="187" spans="1:23">
      <c r="B187">
        <v>18</v>
      </c>
      <c r="C187">
        <f>MAX(ROUND(C188-(C189-C188)/(产出与消耗!$K$22-产出与消耗!$K$21)*(产出与消耗!$K$21-产出与消耗!$K$20)*1.048,0),0)</f>
        <v>33534</v>
      </c>
      <c r="D187" s="9">
        <v>12</v>
      </c>
      <c r="E187">
        <f>ROUND(D187*C187/3600/(建筑!G103*基本公式!$B$154),2)</f>
        <v>13.97</v>
      </c>
      <c r="F187" s="9">
        <v>20</v>
      </c>
      <c r="G187" s="10">
        <f t="shared" si="96"/>
        <v>670680</v>
      </c>
      <c r="K187" s="9">
        <v>450</v>
      </c>
      <c r="L187" s="10">
        <f t="shared" si="97"/>
        <v>15090300</v>
      </c>
      <c r="M187" s="5">
        <f>ROUND(L187/产出与消耗!S20,4)</f>
        <v>2.23E-2</v>
      </c>
      <c r="N187" s="9">
        <v>650</v>
      </c>
      <c r="O187" s="10">
        <f t="shared" si="98"/>
        <v>21797100</v>
      </c>
      <c r="P187" s="5">
        <f>ROUND(O187/产出与消耗!S42,4)</f>
        <v>3.2199999999999999E-2</v>
      </c>
      <c r="Q187" s="9">
        <v>300</v>
      </c>
      <c r="R187" s="10">
        <f t="shared" si="99"/>
        <v>10060200</v>
      </c>
      <c r="S187" s="5">
        <f>ROUND(R187/产出与消耗!S64,4)</f>
        <v>1.7299999999999999E-2</v>
      </c>
      <c r="T187" s="8">
        <f t="shared" si="101"/>
        <v>7.1800000000000003E-2</v>
      </c>
      <c r="U187"/>
      <c r="V187"/>
      <c r="W187"/>
    </row>
    <row r="188" spans="1:23">
      <c r="A188" s="18" t="s">
        <v>197</v>
      </c>
      <c r="B188">
        <v>19</v>
      </c>
      <c r="C188">
        <f>ROUND(产出与消耗!$K$21*C189/产出与消耗!$K$22,0)</f>
        <v>38250</v>
      </c>
      <c r="D188" s="9">
        <v>12</v>
      </c>
      <c r="E188">
        <f>ROUND(D188*C188/3600/(建筑!G104*基本公式!$B$154),2)</f>
        <v>15.94</v>
      </c>
      <c r="F188" s="9">
        <v>20</v>
      </c>
      <c r="G188" s="10">
        <f t="shared" si="96"/>
        <v>765000</v>
      </c>
      <c r="K188" s="9">
        <v>450</v>
      </c>
      <c r="L188" s="10">
        <f t="shared" si="97"/>
        <v>17212500</v>
      </c>
      <c r="M188" s="5">
        <f>ROUND(L188/产出与消耗!S21,4)</f>
        <v>1.5900000000000001E-2</v>
      </c>
      <c r="N188" s="9">
        <v>650</v>
      </c>
      <c r="O188" s="10">
        <f t="shared" si="98"/>
        <v>24862500</v>
      </c>
      <c r="P188" s="5">
        <f>ROUND(O188/产出与消耗!S43,4)</f>
        <v>2.29E-2</v>
      </c>
      <c r="Q188" s="9">
        <v>300</v>
      </c>
      <c r="R188" s="10">
        <f t="shared" si="99"/>
        <v>11475000</v>
      </c>
      <c r="S188" s="5">
        <f>ROUND(R188/产出与消耗!S65,4)</f>
        <v>1.23E-2</v>
      </c>
      <c r="T188" s="8">
        <f t="shared" si="101"/>
        <v>5.11E-2</v>
      </c>
      <c r="U188"/>
      <c r="V188"/>
      <c r="W188"/>
    </row>
    <row r="189" spans="1:23">
      <c r="B189">
        <v>20</v>
      </c>
      <c r="C189">
        <v>45000</v>
      </c>
      <c r="D189" s="9">
        <v>12</v>
      </c>
      <c r="E189">
        <f>ROUND(D189*C189/3600/(建筑!G105*基本公式!$B$154),2)</f>
        <v>15</v>
      </c>
      <c r="F189" s="9">
        <v>20</v>
      </c>
      <c r="G189" s="10">
        <f t="shared" si="96"/>
        <v>900000</v>
      </c>
      <c r="K189" s="9">
        <v>450</v>
      </c>
      <c r="L189" s="10">
        <f t="shared" si="97"/>
        <v>20250000</v>
      </c>
      <c r="M189" s="5">
        <f>ROUND(L189/产出与消耗!S22,4)</f>
        <v>1.1599999999999999E-2</v>
      </c>
      <c r="N189" s="9">
        <v>650</v>
      </c>
      <c r="O189" s="10">
        <f t="shared" si="98"/>
        <v>29250000</v>
      </c>
      <c r="P189" s="5">
        <f>ROUND(O189/产出与消耗!S44,4)</f>
        <v>1.67E-2</v>
      </c>
      <c r="Q189" s="9">
        <v>300</v>
      </c>
      <c r="R189" s="10">
        <f t="shared" si="99"/>
        <v>13500000</v>
      </c>
      <c r="S189" s="5">
        <f>ROUND(R189/产出与消耗!S66,4)</f>
        <v>8.9999999999999993E-3</v>
      </c>
      <c r="T189" s="8">
        <f t="shared" si="101"/>
        <v>3.73E-2</v>
      </c>
      <c r="U189"/>
      <c r="V189"/>
      <c r="W189"/>
    </row>
    <row r="190" spans="1:23">
      <c r="K190"/>
      <c r="M190"/>
      <c r="N190"/>
      <c r="P190"/>
      <c r="Q190"/>
      <c r="S190"/>
      <c r="T190"/>
      <c r="U190"/>
      <c r="V190"/>
      <c r="W190"/>
    </row>
    <row r="191" spans="1:23">
      <c r="A191" t="s">
        <v>173</v>
      </c>
      <c r="B191">
        <v>1</v>
      </c>
      <c r="C191">
        <f>MAX(ROUND(C192-(C193-C192)/(产出与消耗!$K$5-产出与消耗!$K$4)*(产出与消耗!$K$4-产出与消耗!$K$3)*1.048,0),0)</f>
        <v>0</v>
      </c>
      <c r="D191" s="9">
        <v>9</v>
      </c>
      <c r="E191">
        <f>ROUND(D191*C191/3600/(建筑!G86*基本公式!$B$154),2)</f>
        <v>0</v>
      </c>
      <c r="F191" s="9">
        <f>F107*1.4</f>
        <v>21</v>
      </c>
      <c r="G191" s="10">
        <f t="shared" ref="G191" si="102">F191*C191</f>
        <v>0</v>
      </c>
      <c r="K191" s="9">
        <v>350</v>
      </c>
      <c r="L191" s="10">
        <f t="shared" ref="L191" si="103">ROUND(K191*C191,0)</f>
        <v>0</v>
      </c>
      <c r="M191" s="5">
        <f>ROUND(L191/产出与消耗!S3,4)</f>
        <v>0</v>
      </c>
      <c r="N191" s="9">
        <v>450</v>
      </c>
      <c r="O191" s="10">
        <f t="shared" ref="O191" si="104">ROUND(N191*C191,0)</f>
        <v>0</v>
      </c>
      <c r="P191" s="5">
        <f>ROUND(O191/产出与消耗!S25,4)</f>
        <v>0</v>
      </c>
      <c r="Q191" s="9">
        <v>550</v>
      </c>
      <c r="R191" s="10">
        <f t="shared" ref="R191" si="105">ROUND(Q191*C191,0)</f>
        <v>0</v>
      </c>
      <c r="S191" s="5">
        <f>ROUND(R191/产出与消耗!S47,4)</f>
        <v>0</v>
      </c>
      <c r="T191" s="8">
        <f>M191+P191+S191</f>
        <v>0</v>
      </c>
      <c r="U191"/>
      <c r="V191"/>
      <c r="W191"/>
    </row>
    <row r="192" spans="1:23">
      <c r="B192">
        <v>2</v>
      </c>
      <c r="C192">
        <f>MAX(ROUND(C193-(C194-C193)/(产出与消耗!$K$6-产出与消耗!$K$5)*(产出与消耗!$K$5-产出与消耗!$K$4)*1.048,0),0)</f>
        <v>0</v>
      </c>
      <c r="D192" s="9">
        <v>9</v>
      </c>
      <c r="E192">
        <f>ROUND(D192*C192/3600/(建筑!G87*基本公式!$B$154),2)</f>
        <v>0</v>
      </c>
      <c r="F192" s="9">
        <f t="shared" ref="F192" si="106">F108*1.4</f>
        <v>21</v>
      </c>
      <c r="G192" s="10">
        <f t="shared" ref="G192:G210" si="107">F192*C192</f>
        <v>0</v>
      </c>
      <c r="K192" s="9">
        <v>350</v>
      </c>
      <c r="L192" s="10">
        <f t="shared" ref="L192:L210" si="108">ROUND(K192*C192,0)</f>
        <v>0</v>
      </c>
      <c r="M192" s="5">
        <f>ROUND(L192/产出与消耗!S4,4)</f>
        <v>0</v>
      </c>
      <c r="N192" s="9">
        <v>450</v>
      </c>
      <c r="O192" s="10">
        <f t="shared" ref="O192:O210" si="109">ROUND(N192*C192,0)</f>
        <v>0</v>
      </c>
      <c r="P192" s="5">
        <f>ROUND(O192/产出与消耗!S26,4)</f>
        <v>0</v>
      </c>
      <c r="Q192" s="9">
        <v>550</v>
      </c>
      <c r="R192" s="10">
        <f t="shared" ref="R192:R210" si="110">ROUND(Q192*C192,0)</f>
        <v>0</v>
      </c>
      <c r="S192" s="5">
        <f>ROUND(R192/产出与消耗!S48,4)</f>
        <v>0</v>
      </c>
      <c r="T192" s="8">
        <f t="shared" ref="T192" si="111">M192+P192+S192</f>
        <v>0</v>
      </c>
      <c r="U192"/>
      <c r="V192"/>
      <c r="W192"/>
    </row>
    <row r="193" spans="1:23">
      <c r="B193">
        <v>3</v>
      </c>
      <c r="C193">
        <f>MAX(ROUND(C194-(C195-C194)/(产出与消耗!$K$7-产出与消耗!$K$6)*(产出与消耗!$K$6-产出与消耗!$K$5)*1.048,0),0)</f>
        <v>0</v>
      </c>
      <c r="D193" s="9">
        <v>9</v>
      </c>
      <c r="E193">
        <f>ROUND(D193*C193/3600/(建筑!G88*基本公式!$B$154),2)</f>
        <v>0</v>
      </c>
      <c r="F193" s="9">
        <f t="shared" ref="F193:F210" si="112">F109*1.4</f>
        <v>21</v>
      </c>
      <c r="G193" s="10">
        <f t="shared" si="107"/>
        <v>0</v>
      </c>
      <c r="K193" s="9">
        <v>350</v>
      </c>
      <c r="L193" s="10">
        <f t="shared" si="108"/>
        <v>0</v>
      </c>
      <c r="M193" s="5">
        <f>ROUND(L193/产出与消耗!S5,4)</f>
        <v>0</v>
      </c>
      <c r="N193" s="9">
        <v>450</v>
      </c>
      <c r="O193" s="10">
        <f t="shared" si="109"/>
        <v>0</v>
      </c>
      <c r="P193" s="5">
        <f>ROUND(O193/产出与消耗!S27,4)</f>
        <v>0</v>
      </c>
      <c r="Q193" s="9">
        <v>550</v>
      </c>
      <c r="R193" s="10">
        <f t="shared" si="110"/>
        <v>0</v>
      </c>
      <c r="S193" s="5">
        <f>ROUND(R193/产出与消耗!S49,4)</f>
        <v>0</v>
      </c>
      <c r="T193" s="8">
        <f t="shared" ref="T193:T210" si="113">M193+P193+S193</f>
        <v>0</v>
      </c>
      <c r="U193"/>
      <c r="V193"/>
      <c r="W193"/>
    </row>
    <row r="194" spans="1:23">
      <c r="B194">
        <v>4</v>
      </c>
      <c r="C194">
        <f>MAX(ROUND(C195-(C196-C195)/(产出与消耗!$K$8-产出与消耗!$K$7)*(产出与消耗!$K$7-产出与消耗!$K$6)*1.048,0),0)</f>
        <v>0</v>
      </c>
      <c r="D194" s="9">
        <v>9</v>
      </c>
      <c r="E194">
        <f>ROUND(D194*C194/3600/(建筑!G89*基本公式!$B$154),2)</f>
        <v>0</v>
      </c>
      <c r="F194" s="9">
        <f t="shared" si="112"/>
        <v>21</v>
      </c>
      <c r="G194" s="10">
        <f t="shared" si="107"/>
        <v>0</v>
      </c>
      <c r="K194" s="9">
        <v>350</v>
      </c>
      <c r="L194" s="10">
        <f t="shared" si="108"/>
        <v>0</v>
      </c>
      <c r="M194" s="5">
        <f>ROUND(L194/产出与消耗!S6,4)</f>
        <v>0</v>
      </c>
      <c r="N194" s="9">
        <v>450</v>
      </c>
      <c r="O194" s="10">
        <f t="shared" si="109"/>
        <v>0</v>
      </c>
      <c r="P194" s="5">
        <f>ROUND(O194/产出与消耗!S28,4)</f>
        <v>0</v>
      </c>
      <c r="Q194" s="9">
        <v>550</v>
      </c>
      <c r="R194" s="10">
        <f t="shared" si="110"/>
        <v>0</v>
      </c>
      <c r="S194" s="5">
        <f>ROUND(R194/产出与消耗!S50,4)</f>
        <v>0</v>
      </c>
      <c r="T194" s="8">
        <f t="shared" si="113"/>
        <v>0</v>
      </c>
      <c r="U194"/>
      <c r="V194"/>
      <c r="W194"/>
    </row>
    <row r="195" spans="1:23">
      <c r="B195">
        <v>5</v>
      </c>
      <c r="C195">
        <f>MAX(ROUND(C196-(C197-C196)/(产出与消耗!$K$9-产出与消耗!$K$8)*(产出与消耗!$K$8-产出与消耗!$K$7)*1.048,0),0)</f>
        <v>0</v>
      </c>
      <c r="D195" s="9">
        <v>9</v>
      </c>
      <c r="E195">
        <f>ROUND(D195*C195/3600/(建筑!G90*基本公式!$B$154),2)</f>
        <v>0</v>
      </c>
      <c r="F195" s="9">
        <f t="shared" si="112"/>
        <v>21</v>
      </c>
      <c r="G195" s="10">
        <f t="shared" si="107"/>
        <v>0</v>
      </c>
      <c r="K195" s="9">
        <v>350</v>
      </c>
      <c r="L195" s="10">
        <f t="shared" si="108"/>
        <v>0</v>
      </c>
      <c r="M195" s="5">
        <f>ROUND(L195/产出与消耗!S7,4)</f>
        <v>0</v>
      </c>
      <c r="N195" s="9">
        <v>450</v>
      </c>
      <c r="O195" s="10">
        <f t="shared" si="109"/>
        <v>0</v>
      </c>
      <c r="P195" s="5">
        <f>ROUND(O195/产出与消耗!S29,4)</f>
        <v>0</v>
      </c>
      <c r="Q195" s="9">
        <v>550</v>
      </c>
      <c r="R195" s="10">
        <f t="shared" si="110"/>
        <v>0</v>
      </c>
      <c r="S195" s="5">
        <f>ROUND(R195/产出与消耗!S51,4)</f>
        <v>0</v>
      </c>
      <c r="T195" s="8">
        <f t="shared" si="113"/>
        <v>0</v>
      </c>
      <c r="U195"/>
      <c r="V195"/>
      <c r="W195"/>
    </row>
    <row r="196" spans="1:23">
      <c r="B196">
        <v>6</v>
      </c>
      <c r="C196">
        <f>MAX(ROUND(C197-(C198-C197)/(产出与消耗!$K$10-产出与消耗!$K$9)*(产出与消耗!$K$9-产出与消耗!$K$8)*1.048,0),0)</f>
        <v>0</v>
      </c>
      <c r="D196" s="9">
        <v>9</v>
      </c>
      <c r="E196">
        <f>ROUND(D196*C196/3600/(建筑!G91*基本公式!$B$154),2)</f>
        <v>0</v>
      </c>
      <c r="F196" s="9">
        <f t="shared" si="112"/>
        <v>21</v>
      </c>
      <c r="G196" s="10">
        <f t="shared" si="107"/>
        <v>0</v>
      </c>
      <c r="K196" s="9">
        <v>350</v>
      </c>
      <c r="L196" s="10">
        <f t="shared" si="108"/>
        <v>0</v>
      </c>
      <c r="M196" s="5">
        <f>ROUND(L196/产出与消耗!S8,4)</f>
        <v>0</v>
      </c>
      <c r="N196" s="9">
        <v>450</v>
      </c>
      <c r="O196" s="10">
        <f t="shared" si="109"/>
        <v>0</v>
      </c>
      <c r="P196" s="5">
        <f>ROUND(O196/产出与消耗!S30,4)</f>
        <v>0</v>
      </c>
      <c r="Q196" s="9">
        <v>550</v>
      </c>
      <c r="R196" s="10">
        <f t="shared" si="110"/>
        <v>0</v>
      </c>
      <c r="S196" s="5">
        <f>ROUND(R196/产出与消耗!S52,4)</f>
        <v>0</v>
      </c>
      <c r="T196" s="8">
        <f t="shared" si="113"/>
        <v>0</v>
      </c>
      <c r="U196"/>
      <c r="V196"/>
      <c r="W196"/>
    </row>
    <row r="197" spans="1:23">
      <c r="B197">
        <v>7</v>
      </c>
      <c r="C197">
        <f>MAX(ROUND(C198-(C199-C198)/(产出与消耗!$K$11-产出与消耗!$K$10)*(产出与消耗!$K$10-产出与消耗!$K$9)*1.048,0),0)</f>
        <v>0</v>
      </c>
      <c r="D197" s="9">
        <v>9</v>
      </c>
      <c r="E197">
        <f>ROUND(D197*C197/3600/(建筑!G92*基本公式!$B$154),2)</f>
        <v>0</v>
      </c>
      <c r="F197" s="9">
        <f t="shared" si="112"/>
        <v>21</v>
      </c>
      <c r="G197" s="10">
        <f t="shared" si="107"/>
        <v>0</v>
      </c>
      <c r="K197" s="9">
        <v>350</v>
      </c>
      <c r="L197" s="10">
        <f t="shared" si="108"/>
        <v>0</v>
      </c>
      <c r="M197" s="5">
        <f>ROUND(L197/产出与消耗!S9,4)</f>
        <v>0</v>
      </c>
      <c r="N197" s="9">
        <v>450</v>
      </c>
      <c r="O197" s="10">
        <f t="shared" si="109"/>
        <v>0</v>
      </c>
      <c r="P197" s="5">
        <f>ROUND(O197/产出与消耗!S31,4)</f>
        <v>0</v>
      </c>
      <c r="Q197" s="9">
        <v>550</v>
      </c>
      <c r="R197" s="10">
        <f t="shared" si="110"/>
        <v>0</v>
      </c>
      <c r="S197" s="5">
        <f>ROUND(R197/产出与消耗!S53,4)</f>
        <v>0</v>
      </c>
      <c r="T197" s="8">
        <f t="shared" si="113"/>
        <v>0</v>
      </c>
      <c r="U197"/>
      <c r="V197"/>
      <c r="W197"/>
    </row>
    <row r="198" spans="1:23">
      <c r="A198" s="12"/>
      <c r="B198">
        <v>8</v>
      </c>
      <c r="C198">
        <f>MAX(ROUND(C199-(C200-C199)/(产出与消耗!$K$12-产出与消耗!$K$11)*(产出与消耗!$K$11-产出与消耗!$K$10)*1.048,0),0)</f>
        <v>0</v>
      </c>
      <c r="D198" s="9">
        <v>9</v>
      </c>
      <c r="E198">
        <f>ROUND(D198*C198/3600/(建筑!G93*基本公式!$B$154),2)</f>
        <v>0</v>
      </c>
      <c r="F198" s="9">
        <f t="shared" si="112"/>
        <v>21</v>
      </c>
      <c r="G198" s="10">
        <f t="shared" si="107"/>
        <v>0</v>
      </c>
      <c r="K198" s="9">
        <v>350</v>
      </c>
      <c r="L198" s="10">
        <f t="shared" si="108"/>
        <v>0</v>
      </c>
      <c r="M198" s="5">
        <f>ROUND(L198/产出与消耗!S10,4)</f>
        <v>0</v>
      </c>
      <c r="N198" s="9">
        <v>450</v>
      </c>
      <c r="O198" s="10">
        <f t="shared" si="109"/>
        <v>0</v>
      </c>
      <c r="P198" s="5">
        <f>ROUND(O198/产出与消耗!S32,4)</f>
        <v>0</v>
      </c>
      <c r="Q198" s="9">
        <v>550</v>
      </c>
      <c r="R198" s="10">
        <f t="shared" si="110"/>
        <v>0</v>
      </c>
      <c r="S198" s="5">
        <f>ROUND(R198/产出与消耗!S54,4)</f>
        <v>0</v>
      </c>
      <c r="T198" s="8">
        <f t="shared" si="113"/>
        <v>0</v>
      </c>
      <c r="U198"/>
      <c r="V198"/>
      <c r="W198"/>
    </row>
    <row r="199" spans="1:23">
      <c r="B199">
        <v>9</v>
      </c>
      <c r="C199">
        <f>MAX(ROUND(C200-(C201-C200)/(产出与消耗!$K$13-产出与消耗!$K$12)*(产出与消耗!$K$12-产出与消耗!$K$11)*1.048,0),0)</f>
        <v>0</v>
      </c>
      <c r="D199" s="9">
        <v>9</v>
      </c>
      <c r="E199">
        <f>ROUND(D199*C199/3600/(建筑!G94*基本公式!$B$154),2)</f>
        <v>0</v>
      </c>
      <c r="F199" s="9">
        <f t="shared" si="112"/>
        <v>21</v>
      </c>
      <c r="G199" s="10">
        <f t="shared" si="107"/>
        <v>0</v>
      </c>
      <c r="K199" s="9">
        <v>350</v>
      </c>
      <c r="L199" s="10">
        <f t="shared" si="108"/>
        <v>0</v>
      </c>
      <c r="M199" s="5">
        <f>ROUND(L199/产出与消耗!S11,4)</f>
        <v>0</v>
      </c>
      <c r="N199" s="9">
        <v>450</v>
      </c>
      <c r="O199" s="10">
        <f t="shared" si="109"/>
        <v>0</v>
      </c>
      <c r="P199" s="5">
        <f>ROUND(O199/产出与消耗!S33,4)</f>
        <v>0</v>
      </c>
      <c r="Q199" s="9">
        <v>550</v>
      </c>
      <c r="R199" s="10">
        <f t="shared" si="110"/>
        <v>0</v>
      </c>
      <c r="S199" s="5">
        <f>ROUND(R199/产出与消耗!S55,4)</f>
        <v>0</v>
      </c>
      <c r="T199" s="8">
        <f t="shared" si="113"/>
        <v>0</v>
      </c>
      <c r="U199"/>
      <c r="V199"/>
      <c r="W199"/>
    </row>
    <row r="200" spans="1:23">
      <c r="A200" s="17" t="s">
        <v>195</v>
      </c>
      <c r="B200">
        <v>10</v>
      </c>
      <c r="C200">
        <f>MAX(ROUND(C201-(C202-C201)/(产出与消耗!$K$14-产出与消耗!$K$13)*(产出与消耗!$K$13-产出与消耗!$K$12)*1.048,0),0)</f>
        <v>151</v>
      </c>
      <c r="D200" s="9">
        <v>9</v>
      </c>
      <c r="E200">
        <f>ROUND(D200*C200/3600/(建筑!G95*基本公式!$B$154),2)</f>
        <v>0.09</v>
      </c>
      <c r="F200" s="9">
        <f t="shared" si="112"/>
        <v>21</v>
      </c>
      <c r="G200" s="10">
        <f t="shared" si="107"/>
        <v>3171</v>
      </c>
      <c r="K200" s="9">
        <v>350</v>
      </c>
      <c r="L200" s="10">
        <f t="shared" si="108"/>
        <v>52850</v>
      </c>
      <c r="M200" s="5">
        <f>ROUND(L200/产出与消耗!S12,4)</f>
        <v>1.35E-2</v>
      </c>
      <c r="N200" s="9">
        <v>450</v>
      </c>
      <c r="O200" s="10">
        <f t="shared" si="109"/>
        <v>67950</v>
      </c>
      <c r="P200" s="5">
        <f>ROUND(O200/产出与消耗!S34,4)</f>
        <v>1.7299999999999999E-2</v>
      </c>
      <c r="Q200" s="9">
        <v>550</v>
      </c>
      <c r="R200" s="10">
        <f t="shared" si="110"/>
        <v>83050</v>
      </c>
      <c r="S200" s="5">
        <f>ROUND(R200/产出与消耗!S56,4)</f>
        <v>2.47E-2</v>
      </c>
      <c r="T200" s="8">
        <f t="shared" si="113"/>
        <v>5.5500000000000001E-2</v>
      </c>
      <c r="U200"/>
      <c r="V200"/>
      <c r="W200"/>
    </row>
    <row r="201" spans="1:23">
      <c r="B201">
        <v>11</v>
      </c>
      <c r="C201">
        <f>MAX(ROUND(C202-(C203-C202)/(产出与消耗!$K$15-产出与消耗!$K$14)*(产出与消耗!$K$14-产出与消耗!$K$13)*1.048,0),0)</f>
        <v>2381</v>
      </c>
      <c r="D201" s="9">
        <v>9</v>
      </c>
      <c r="E201">
        <f>ROUND(D201*C201/3600/(建筑!G96*基本公式!$B$154),2)</f>
        <v>1.49</v>
      </c>
      <c r="F201" s="9">
        <f t="shared" si="112"/>
        <v>21</v>
      </c>
      <c r="G201" s="10">
        <f t="shared" si="107"/>
        <v>50001</v>
      </c>
      <c r="K201" s="9">
        <v>350</v>
      </c>
      <c r="L201" s="10">
        <f t="shared" si="108"/>
        <v>833350</v>
      </c>
      <c r="M201" s="5">
        <f>ROUND(L201/产出与消耗!S13,4)</f>
        <v>0.1043</v>
      </c>
      <c r="N201" s="9">
        <v>450</v>
      </c>
      <c r="O201" s="10">
        <f t="shared" si="109"/>
        <v>1071450</v>
      </c>
      <c r="P201" s="5">
        <f>ROUND(O201/产出与消耗!S35,4)</f>
        <v>0.1341</v>
      </c>
      <c r="Q201" s="9">
        <v>550</v>
      </c>
      <c r="R201" s="10">
        <f t="shared" si="110"/>
        <v>1309550</v>
      </c>
      <c r="S201" s="5">
        <f>ROUND(R201/产出与消耗!S57,4)</f>
        <v>0.1913</v>
      </c>
      <c r="T201" s="8">
        <f t="shared" si="113"/>
        <v>0.42969999999999997</v>
      </c>
      <c r="U201"/>
      <c r="V201"/>
      <c r="W201"/>
    </row>
    <row r="202" spans="1:23">
      <c r="B202">
        <v>12</v>
      </c>
      <c r="C202">
        <f>MAX(ROUND(C203-(C204-C203)/(产出与消耗!$K$16-产出与消耗!$K$15)*(产出与消耗!$K$15-产出与消耗!$K$14)*1.048,0),0)</f>
        <v>7947</v>
      </c>
      <c r="D202" s="9">
        <v>9</v>
      </c>
      <c r="E202">
        <f>ROUND(D202*C202/3600/(建筑!G97*基本公式!$B$154),2)</f>
        <v>3.31</v>
      </c>
      <c r="F202" s="9">
        <f t="shared" si="112"/>
        <v>21</v>
      </c>
      <c r="G202" s="10">
        <f t="shared" si="107"/>
        <v>166887</v>
      </c>
      <c r="K202" s="9">
        <v>350</v>
      </c>
      <c r="L202" s="10">
        <f t="shared" si="108"/>
        <v>2781450</v>
      </c>
      <c r="M202" s="5">
        <f>ROUND(L202/产出与消耗!S14,4)</f>
        <v>0.1234</v>
      </c>
      <c r="N202" s="9">
        <v>450</v>
      </c>
      <c r="O202" s="10">
        <f t="shared" si="109"/>
        <v>3576150</v>
      </c>
      <c r="P202" s="5">
        <f>ROUND(O202/产出与消耗!S36,4)</f>
        <v>0.15870000000000001</v>
      </c>
      <c r="Q202" s="9">
        <v>550</v>
      </c>
      <c r="R202" s="10">
        <f t="shared" si="110"/>
        <v>4370850</v>
      </c>
      <c r="S202" s="5">
        <f>ROUND(R202/产出与消耗!S58,4)</f>
        <v>0.2263</v>
      </c>
      <c r="T202" s="8">
        <f t="shared" si="113"/>
        <v>0.50839999999999996</v>
      </c>
      <c r="U202"/>
      <c r="V202"/>
      <c r="W202"/>
    </row>
    <row r="203" spans="1:23">
      <c r="A203" s="12"/>
      <c r="B203">
        <v>13</v>
      </c>
      <c r="C203">
        <f>MAX(ROUND(C204-(C205-C204)/(产出与消耗!$K$17-产出与消耗!$K$16)*(产出与消耗!$K$16-产出与消耗!$K$15)*1.048,0),0)</f>
        <v>12477</v>
      </c>
      <c r="D203" s="9">
        <v>9</v>
      </c>
      <c r="E203">
        <f>ROUND(D203*C203/3600/(建筑!G98*基本公式!$B$154),2)</f>
        <v>5.2</v>
      </c>
      <c r="F203" s="9">
        <f t="shared" si="112"/>
        <v>21</v>
      </c>
      <c r="G203" s="10">
        <f t="shared" si="107"/>
        <v>262017</v>
      </c>
      <c r="K203" s="9">
        <v>350</v>
      </c>
      <c r="L203" s="10">
        <f t="shared" si="108"/>
        <v>4366950</v>
      </c>
      <c r="M203" s="5">
        <f>ROUND(L203/产出与消耗!S15,4)</f>
        <v>0.1</v>
      </c>
      <c r="N203" s="9">
        <v>450</v>
      </c>
      <c r="O203" s="10">
        <f t="shared" si="109"/>
        <v>5614650</v>
      </c>
      <c r="P203" s="5">
        <f>ROUND(O203/产出与消耗!S37,4)</f>
        <v>0.1285</v>
      </c>
      <c r="Q203" s="9">
        <v>550</v>
      </c>
      <c r="R203" s="10">
        <f t="shared" si="110"/>
        <v>6862350</v>
      </c>
      <c r="S203" s="5">
        <f>ROUND(R203/产出与消耗!S59,4)</f>
        <v>0.18329999999999999</v>
      </c>
      <c r="T203" s="8">
        <f t="shared" si="113"/>
        <v>0.4118</v>
      </c>
      <c r="U203"/>
      <c r="V203"/>
      <c r="W203"/>
    </row>
    <row r="204" spans="1:23">
      <c r="A204" s="17" t="s">
        <v>196</v>
      </c>
      <c r="B204">
        <v>14</v>
      </c>
      <c r="C204">
        <f>MAX(ROUND(C205-(C206-C205)/(产出与消耗!$K$18-产出与消耗!$K$17)*(产出与消耗!$K$17-产出与消耗!$K$16)*1.048,0),0)</f>
        <v>16352</v>
      </c>
      <c r="D204" s="9">
        <v>9</v>
      </c>
      <c r="E204">
        <f>ROUND(D204*C204/3600/(建筑!G99*基本公式!$B$154),2)</f>
        <v>6.81</v>
      </c>
      <c r="F204" s="9">
        <f t="shared" si="112"/>
        <v>21</v>
      </c>
      <c r="G204" s="10">
        <f t="shared" si="107"/>
        <v>343392</v>
      </c>
      <c r="K204" s="9">
        <v>350</v>
      </c>
      <c r="L204" s="10">
        <f t="shared" si="108"/>
        <v>5723200</v>
      </c>
      <c r="M204" s="5">
        <f>ROUND(L204/产出与消耗!S16,4)</f>
        <v>6.2799999999999995E-2</v>
      </c>
      <c r="N204" s="9">
        <v>450</v>
      </c>
      <c r="O204" s="10">
        <f t="shared" si="109"/>
        <v>7358400</v>
      </c>
      <c r="P204" s="5">
        <f>ROUND(O204/产出与消耗!S38,4)</f>
        <v>8.0699999999999994E-2</v>
      </c>
      <c r="Q204" s="9">
        <v>550</v>
      </c>
      <c r="R204" s="10">
        <f t="shared" si="110"/>
        <v>8993600</v>
      </c>
      <c r="S204" s="5">
        <f>ROUND(R204/产出与消耗!S60,4)</f>
        <v>0.11509999999999999</v>
      </c>
      <c r="T204" s="8">
        <f t="shared" si="113"/>
        <v>0.2586</v>
      </c>
      <c r="U204"/>
      <c r="V204"/>
      <c r="W204"/>
    </row>
    <row r="205" spans="1:23">
      <c r="B205">
        <v>15</v>
      </c>
      <c r="C205">
        <f>MAX(ROUND(C206-(C207-C206)/(产出与消耗!$K$19-产出与消耗!$K$18)*(产出与消耗!$K$18-产出与消耗!$K$17)*1.048,0),0)</f>
        <v>20618</v>
      </c>
      <c r="D205" s="9">
        <v>9</v>
      </c>
      <c r="E205">
        <f>ROUND(D205*C205/3600/(建筑!G100*基本公式!$B$154),2)</f>
        <v>8.59</v>
      </c>
      <c r="F205" s="9">
        <f t="shared" si="112"/>
        <v>21</v>
      </c>
      <c r="G205" s="10">
        <f t="shared" si="107"/>
        <v>432978</v>
      </c>
      <c r="K205" s="9">
        <v>350</v>
      </c>
      <c r="L205" s="10">
        <f t="shared" si="108"/>
        <v>7216300</v>
      </c>
      <c r="M205" s="5">
        <f>ROUND(L205/产出与消耗!S17,4)</f>
        <v>4.82E-2</v>
      </c>
      <c r="N205" s="9">
        <v>450</v>
      </c>
      <c r="O205" s="10">
        <f t="shared" si="109"/>
        <v>9278100</v>
      </c>
      <c r="P205" s="5">
        <f>ROUND(O205/产出与消耗!S39,4)</f>
        <v>6.2E-2</v>
      </c>
      <c r="Q205" s="9">
        <v>550</v>
      </c>
      <c r="R205" s="10">
        <f t="shared" si="110"/>
        <v>11339900</v>
      </c>
      <c r="S205" s="5">
        <f>ROUND(R205/产出与消耗!S61,4)</f>
        <v>8.8400000000000006E-2</v>
      </c>
      <c r="T205" s="8">
        <f t="shared" si="113"/>
        <v>0.1986</v>
      </c>
      <c r="U205"/>
      <c r="V205"/>
      <c r="W205"/>
    </row>
    <row r="206" spans="1:23">
      <c r="B206">
        <v>16</v>
      </c>
      <c r="C206">
        <f>MAX(ROUND(C207-(C208-C207)/(产出与消耗!$K$20-产出与消耗!$K$19)*(产出与消耗!$K$19-产出与消耗!$K$18)*1.048,0),0)</f>
        <v>24689</v>
      </c>
      <c r="D206" s="9">
        <v>9</v>
      </c>
      <c r="E206">
        <f>ROUND(D206*C206/3600/(建筑!G101*基本公式!$B$154),2)</f>
        <v>7.72</v>
      </c>
      <c r="F206" s="9">
        <f t="shared" si="112"/>
        <v>21</v>
      </c>
      <c r="G206" s="10">
        <f t="shared" si="107"/>
        <v>518469</v>
      </c>
      <c r="K206" s="9">
        <v>350</v>
      </c>
      <c r="L206" s="10">
        <f t="shared" si="108"/>
        <v>8641150</v>
      </c>
      <c r="M206" s="5">
        <f>ROUND(L206/产出与消耗!S18,4)</f>
        <v>3.1800000000000002E-2</v>
      </c>
      <c r="N206" s="9">
        <v>450</v>
      </c>
      <c r="O206" s="10">
        <f t="shared" si="109"/>
        <v>11110050</v>
      </c>
      <c r="P206" s="5">
        <f>ROUND(O206/产出与消耗!S40,4)</f>
        <v>4.0899999999999999E-2</v>
      </c>
      <c r="Q206" s="9">
        <v>550</v>
      </c>
      <c r="R206" s="10">
        <f t="shared" si="110"/>
        <v>13578950</v>
      </c>
      <c r="S206" s="5">
        <f>ROUND(R206/产出与消耗!S62,4)</f>
        <v>5.8299999999999998E-2</v>
      </c>
      <c r="T206" s="8">
        <f t="shared" si="113"/>
        <v>0.13100000000000001</v>
      </c>
      <c r="U206"/>
      <c r="V206"/>
      <c r="W206"/>
    </row>
    <row r="207" spans="1:23">
      <c r="B207">
        <v>17</v>
      </c>
      <c r="C207">
        <f>MAX(ROUND(C208-(C209-C208)/(产出与消耗!$K$21-产出与消耗!$K$20)*(产出与消耗!$K$20-产出与消耗!$K$19)*1.048,0),0)</f>
        <v>28962</v>
      </c>
      <c r="D207" s="9">
        <v>9</v>
      </c>
      <c r="E207">
        <f>ROUND(D207*C207/3600/(建筑!G102*基本公式!$B$154),2)</f>
        <v>9.0500000000000007</v>
      </c>
      <c r="F207" s="9">
        <f t="shared" si="112"/>
        <v>21</v>
      </c>
      <c r="G207" s="10">
        <f t="shared" si="107"/>
        <v>608202</v>
      </c>
      <c r="K207" s="9">
        <v>350</v>
      </c>
      <c r="L207" s="10">
        <f t="shared" si="108"/>
        <v>10136700</v>
      </c>
      <c r="M207" s="5">
        <f>ROUND(L207/产出与消耗!S19,4)</f>
        <v>2.5000000000000001E-2</v>
      </c>
      <c r="N207" s="9">
        <v>450</v>
      </c>
      <c r="O207" s="10">
        <f t="shared" si="109"/>
        <v>13032900</v>
      </c>
      <c r="P207" s="5">
        <f>ROUND(O207/产出与消耗!S41,4)</f>
        <v>3.2099999999999997E-2</v>
      </c>
      <c r="Q207" s="9">
        <v>550</v>
      </c>
      <c r="R207" s="10">
        <f t="shared" si="110"/>
        <v>15929100</v>
      </c>
      <c r="S207" s="5">
        <f>ROUND(R207/产出与消耗!S63,4)</f>
        <v>4.58E-2</v>
      </c>
      <c r="T207" s="8">
        <f t="shared" si="113"/>
        <v>0.10289999999999999</v>
      </c>
      <c r="U207"/>
      <c r="V207"/>
      <c r="W207"/>
    </row>
    <row r="208" spans="1:23">
      <c r="B208">
        <v>18</v>
      </c>
      <c r="C208">
        <f>MAX(ROUND(C209-(C210-C209)/(产出与消耗!$K$22-产出与消耗!$K$21)*(产出与消耗!$K$21-产出与消耗!$K$20)*1.048,0),0)</f>
        <v>33534</v>
      </c>
      <c r="D208" s="9">
        <v>9</v>
      </c>
      <c r="E208">
        <f>ROUND(D208*C208/3600/(建筑!G103*基本公式!$B$154),2)</f>
        <v>10.48</v>
      </c>
      <c r="F208" s="9">
        <f t="shared" si="112"/>
        <v>21</v>
      </c>
      <c r="G208" s="10">
        <f t="shared" si="107"/>
        <v>704214</v>
      </c>
      <c r="K208" s="9">
        <v>350</v>
      </c>
      <c r="L208" s="10">
        <f t="shared" si="108"/>
        <v>11736900</v>
      </c>
      <c r="M208" s="5">
        <f>ROUND(L208/产出与消耗!S20,4)</f>
        <v>1.7299999999999999E-2</v>
      </c>
      <c r="N208" s="9">
        <v>450</v>
      </c>
      <c r="O208" s="10">
        <f t="shared" si="109"/>
        <v>15090300</v>
      </c>
      <c r="P208" s="5">
        <f>ROUND(O208/产出与消耗!S42,4)</f>
        <v>2.23E-2</v>
      </c>
      <c r="Q208" s="9">
        <v>550</v>
      </c>
      <c r="R208" s="10">
        <f t="shared" si="110"/>
        <v>18443700</v>
      </c>
      <c r="S208" s="5">
        <f>ROUND(R208/产出与消耗!S64,4)</f>
        <v>3.1699999999999999E-2</v>
      </c>
      <c r="T208" s="8">
        <f t="shared" si="113"/>
        <v>7.1300000000000002E-2</v>
      </c>
      <c r="U208"/>
      <c r="V208"/>
      <c r="W208"/>
    </row>
    <row r="209" spans="1:23">
      <c r="A209" s="18" t="s">
        <v>197</v>
      </c>
      <c r="B209">
        <v>19</v>
      </c>
      <c r="C209">
        <f>ROUND(产出与消耗!$K$21*C210/产出与消耗!$K$22,0)</f>
        <v>38250</v>
      </c>
      <c r="D209" s="9">
        <v>9</v>
      </c>
      <c r="E209">
        <f>ROUND(D209*C209/3600/(建筑!G104*基本公式!$B$154),2)</f>
        <v>11.95</v>
      </c>
      <c r="F209" s="9">
        <f t="shared" si="112"/>
        <v>21</v>
      </c>
      <c r="G209" s="10">
        <f t="shared" si="107"/>
        <v>803250</v>
      </c>
      <c r="K209" s="9">
        <v>350</v>
      </c>
      <c r="L209" s="10">
        <f t="shared" si="108"/>
        <v>13387500</v>
      </c>
      <c r="M209" s="5">
        <f>ROUND(L209/产出与消耗!S21,4)</f>
        <v>1.23E-2</v>
      </c>
      <c r="N209" s="9">
        <v>450</v>
      </c>
      <c r="O209" s="10">
        <f t="shared" si="109"/>
        <v>17212500</v>
      </c>
      <c r="P209" s="5">
        <f>ROUND(O209/产出与消耗!S43,4)</f>
        <v>1.5900000000000001E-2</v>
      </c>
      <c r="Q209" s="9">
        <v>550</v>
      </c>
      <c r="R209" s="10">
        <f t="shared" si="110"/>
        <v>21037500</v>
      </c>
      <c r="S209" s="5">
        <f>ROUND(R209/产出与消耗!S65,4)</f>
        <v>2.2599999999999999E-2</v>
      </c>
      <c r="T209" s="8">
        <f t="shared" si="113"/>
        <v>5.0799999999999998E-2</v>
      </c>
      <c r="U209"/>
      <c r="V209"/>
      <c r="W209"/>
    </row>
    <row r="210" spans="1:23">
      <c r="B210">
        <v>20</v>
      </c>
      <c r="C210">
        <v>45000</v>
      </c>
      <c r="D210" s="9">
        <v>9</v>
      </c>
      <c r="E210">
        <f>ROUND(D210*C210/3600/(建筑!G105*基本公式!$B$154),2)</f>
        <v>11.25</v>
      </c>
      <c r="F210" s="9">
        <f t="shared" si="112"/>
        <v>21</v>
      </c>
      <c r="G210" s="10">
        <f t="shared" si="107"/>
        <v>945000</v>
      </c>
      <c r="K210" s="9">
        <v>350</v>
      </c>
      <c r="L210" s="10">
        <f t="shared" si="108"/>
        <v>15750000</v>
      </c>
      <c r="M210" s="5">
        <f>ROUND(L210/产出与消耗!S22,4)</f>
        <v>8.9999999999999993E-3</v>
      </c>
      <c r="N210" s="9">
        <v>450</v>
      </c>
      <c r="O210" s="10">
        <f t="shared" si="109"/>
        <v>20250000</v>
      </c>
      <c r="P210" s="5">
        <f>ROUND(O210/产出与消耗!S44,4)</f>
        <v>1.1599999999999999E-2</v>
      </c>
      <c r="Q210" s="9">
        <v>550</v>
      </c>
      <c r="R210" s="10">
        <f t="shared" si="110"/>
        <v>24750000</v>
      </c>
      <c r="S210" s="5">
        <f>ROUND(R210/产出与消耗!S66,4)</f>
        <v>1.6500000000000001E-2</v>
      </c>
      <c r="T210" s="8">
        <f t="shared" si="113"/>
        <v>3.7100000000000001E-2</v>
      </c>
      <c r="U210"/>
      <c r="V210"/>
      <c r="W210"/>
    </row>
    <row r="211" spans="1:23">
      <c r="K211"/>
      <c r="M211"/>
      <c r="N211"/>
      <c r="P211"/>
      <c r="Q211"/>
      <c r="S211"/>
      <c r="T211"/>
      <c r="U211"/>
      <c r="V211"/>
      <c r="W211"/>
    </row>
    <row r="212" spans="1:23">
      <c r="A212" t="s">
        <v>179</v>
      </c>
      <c r="B212">
        <v>1</v>
      </c>
      <c r="C212">
        <f>MAX(ROUND(C213-(C214-C213)/(产出与消耗!$K$5-产出与消耗!$K$4)*(产出与消耗!$K$4-产出与消耗!$K$3)*1.048,0),0)</f>
        <v>0</v>
      </c>
      <c r="D212" s="9">
        <v>5</v>
      </c>
      <c r="E212">
        <f>ROUND(D212*C212/3600/(建筑!G86*基本公式!$B$154),2)</f>
        <v>0</v>
      </c>
      <c r="F212" s="9">
        <v>25</v>
      </c>
      <c r="G212" s="10">
        <f t="shared" ref="G212" si="114">F212*C212</f>
        <v>0</v>
      </c>
      <c r="K212" s="9">
        <v>700</v>
      </c>
      <c r="L212" s="10">
        <f t="shared" ref="L212" si="115">ROUND(K212*C212,0)</f>
        <v>0</v>
      </c>
      <c r="M212" s="5">
        <f>ROUND(L212/产出与消耗!S3,4)</f>
        <v>0</v>
      </c>
      <c r="N212" s="9">
        <v>310</v>
      </c>
      <c r="O212" s="10">
        <f t="shared" ref="O212" si="116">ROUND(N212*C212,0)</f>
        <v>0</v>
      </c>
      <c r="P212" s="5">
        <f>ROUND(O212/产出与消耗!S25,4)</f>
        <v>0</v>
      </c>
      <c r="Q212" s="9">
        <v>370</v>
      </c>
      <c r="R212" s="10">
        <f t="shared" ref="R212" si="117">ROUND(Q212*C212,0)</f>
        <v>0</v>
      </c>
      <c r="S212" s="5">
        <f>ROUND(R212/产出与消耗!S47,4)</f>
        <v>0</v>
      </c>
      <c r="T212" s="8">
        <f>M212+P212+S212</f>
        <v>0</v>
      </c>
      <c r="U212"/>
      <c r="V212"/>
      <c r="W212"/>
    </row>
    <row r="213" spans="1:23">
      <c r="B213">
        <v>2</v>
      </c>
      <c r="C213">
        <f>MAX(ROUND(C214-(C215-C214)/(产出与消耗!$K$6-产出与消耗!$K$5)*(产出与消耗!$K$5-产出与消耗!$K$4)*1.048,0),0)</f>
        <v>0</v>
      </c>
      <c r="D213" s="9">
        <v>5</v>
      </c>
      <c r="E213">
        <f>ROUND(D213*C213/3600/(建筑!G87*基本公式!$B$154),2)</f>
        <v>0</v>
      </c>
      <c r="F213" s="9">
        <v>25</v>
      </c>
      <c r="G213" s="10">
        <f t="shared" ref="G213:G231" si="118">F213*C213</f>
        <v>0</v>
      </c>
      <c r="K213" s="9">
        <v>700</v>
      </c>
      <c r="L213" s="10">
        <f t="shared" ref="L213:L231" si="119">ROUND(K213*C213,0)</f>
        <v>0</v>
      </c>
      <c r="M213" s="5">
        <f>ROUND(L213/产出与消耗!S4,4)</f>
        <v>0</v>
      </c>
      <c r="N213" s="9">
        <v>310</v>
      </c>
      <c r="O213" s="10">
        <f t="shared" ref="O213:O231" si="120">ROUND(N213*C213,0)</f>
        <v>0</v>
      </c>
      <c r="P213" s="5">
        <f>ROUND(O213/产出与消耗!S26,4)</f>
        <v>0</v>
      </c>
      <c r="Q213" s="9">
        <v>370</v>
      </c>
      <c r="R213" s="10">
        <f t="shared" ref="R213:R231" si="121">ROUND(Q213*C213,0)</f>
        <v>0</v>
      </c>
      <c r="S213" s="5">
        <f>ROUND(R213/产出与消耗!S48,4)</f>
        <v>0</v>
      </c>
      <c r="T213" s="8">
        <f t="shared" ref="T213" si="122">M213+P213+S213</f>
        <v>0</v>
      </c>
      <c r="U213"/>
      <c r="V213"/>
      <c r="W213"/>
    </row>
    <row r="214" spans="1:23">
      <c r="B214">
        <v>3</v>
      </c>
      <c r="C214">
        <f>MAX(ROUND(C215-(C216-C215)/(产出与消耗!$K$7-产出与消耗!$K$6)*(产出与消耗!$K$6-产出与消耗!$K$5)*1.048,0),0)</f>
        <v>0</v>
      </c>
      <c r="D214" s="9">
        <v>5</v>
      </c>
      <c r="E214">
        <f>ROUND(D214*C214/3600/(建筑!G88*基本公式!$B$154),2)</f>
        <v>0</v>
      </c>
      <c r="F214" s="9">
        <v>25</v>
      </c>
      <c r="G214" s="10">
        <f t="shared" si="118"/>
        <v>0</v>
      </c>
      <c r="K214" s="9">
        <v>700</v>
      </c>
      <c r="L214" s="10">
        <f t="shared" si="119"/>
        <v>0</v>
      </c>
      <c r="M214" s="5">
        <f>ROUND(L214/产出与消耗!S5,4)</f>
        <v>0</v>
      </c>
      <c r="N214" s="9">
        <v>310</v>
      </c>
      <c r="O214" s="10">
        <f t="shared" si="120"/>
        <v>0</v>
      </c>
      <c r="P214" s="5">
        <f>ROUND(O214/产出与消耗!S27,4)</f>
        <v>0</v>
      </c>
      <c r="Q214" s="9">
        <v>370</v>
      </c>
      <c r="R214" s="10">
        <f t="shared" si="121"/>
        <v>0</v>
      </c>
      <c r="S214" s="5">
        <f>ROUND(R214/产出与消耗!S49,4)</f>
        <v>0</v>
      </c>
      <c r="T214" s="8">
        <f t="shared" ref="T214:T231" si="123">M214+P214+S214</f>
        <v>0</v>
      </c>
      <c r="U214"/>
      <c r="V214"/>
      <c r="W214"/>
    </row>
    <row r="215" spans="1:23">
      <c r="B215">
        <v>4</v>
      </c>
      <c r="C215">
        <f>MAX(ROUND(C216-(C217-C216)/(产出与消耗!$K$8-产出与消耗!$K$7)*(产出与消耗!$K$7-产出与消耗!$K$6)*1.048,0),0)</f>
        <v>0</v>
      </c>
      <c r="D215" s="9">
        <v>5</v>
      </c>
      <c r="E215">
        <f>ROUND(D215*C215/3600/(建筑!G89*基本公式!$B$154),2)</f>
        <v>0</v>
      </c>
      <c r="F215" s="9">
        <v>25</v>
      </c>
      <c r="G215" s="10">
        <f t="shared" si="118"/>
        <v>0</v>
      </c>
      <c r="K215" s="9">
        <v>700</v>
      </c>
      <c r="L215" s="10">
        <f t="shared" si="119"/>
        <v>0</v>
      </c>
      <c r="M215" s="5">
        <f>ROUND(L215/产出与消耗!S6,4)</f>
        <v>0</v>
      </c>
      <c r="N215" s="9">
        <v>310</v>
      </c>
      <c r="O215" s="10">
        <f t="shared" si="120"/>
        <v>0</v>
      </c>
      <c r="P215" s="5">
        <f>ROUND(O215/产出与消耗!S28,4)</f>
        <v>0</v>
      </c>
      <c r="Q215" s="9">
        <v>370</v>
      </c>
      <c r="R215" s="10">
        <f t="shared" si="121"/>
        <v>0</v>
      </c>
      <c r="S215" s="5">
        <f>ROUND(R215/产出与消耗!S50,4)</f>
        <v>0</v>
      </c>
      <c r="T215" s="8">
        <f t="shared" si="123"/>
        <v>0</v>
      </c>
      <c r="U215"/>
      <c r="V215"/>
      <c r="W215"/>
    </row>
    <row r="216" spans="1:23">
      <c r="B216">
        <v>5</v>
      </c>
      <c r="C216">
        <f>MAX(ROUND(C217-(C218-C217)/(产出与消耗!$K$9-产出与消耗!$K$8)*(产出与消耗!$K$8-产出与消耗!$K$7)*1.048,0),0)</f>
        <v>0</v>
      </c>
      <c r="D216" s="9">
        <v>5</v>
      </c>
      <c r="E216">
        <f>ROUND(D216*C216/3600/(建筑!G90*基本公式!$B$154),2)</f>
        <v>0</v>
      </c>
      <c r="F216" s="9">
        <v>25</v>
      </c>
      <c r="G216" s="10">
        <f t="shared" si="118"/>
        <v>0</v>
      </c>
      <c r="K216" s="9">
        <v>700</v>
      </c>
      <c r="L216" s="10">
        <f t="shared" si="119"/>
        <v>0</v>
      </c>
      <c r="M216" s="5">
        <f>ROUND(L216/产出与消耗!S7,4)</f>
        <v>0</v>
      </c>
      <c r="N216" s="9">
        <v>310</v>
      </c>
      <c r="O216" s="10">
        <f t="shared" si="120"/>
        <v>0</v>
      </c>
      <c r="P216" s="5">
        <f>ROUND(O216/产出与消耗!S29,4)</f>
        <v>0</v>
      </c>
      <c r="Q216" s="9">
        <v>370</v>
      </c>
      <c r="R216" s="10">
        <f t="shared" si="121"/>
        <v>0</v>
      </c>
      <c r="S216" s="5">
        <f>ROUND(R216/产出与消耗!S51,4)</f>
        <v>0</v>
      </c>
      <c r="T216" s="8">
        <f t="shared" si="123"/>
        <v>0</v>
      </c>
      <c r="U216"/>
      <c r="V216"/>
      <c r="W216"/>
    </row>
    <row r="217" spans="1:23">
      <c r="B217">
        <v>6</v>
      </c>
      <c r="C217">
        <f>MAX(ROUND(C218-(C219-C218)/(产出与消耗!$K$10-产出与消耗!$K$9)*(产出与消耗!$K$9-产出与消耗!$K$8)*1.048,0),0)</f>
        <v>0</v>
      </c>
      <c r="D217" s="9">
        <v>5</v>
      </c>
      <c r="E217">
        <f>ROUND(D217*C217/3600/(建筑!G91*基本公式!$B$154),2)</f>
        <v>0</v>
      </c>
      <c r="F217" s="9">
        <v>25</v>
      </c>
      <c r="G217" s="10">
        <f t="shared" si="118"/>
        <v>0</v>
      </c>
      <c r="K217" s="9">
        <v>700</v>
      </c>
      <c r="L217" s="10">
        <f t="shared" si="119"/>
        <v>0</v>
      </c>
      <c r="M217" s="5">
        <f>ROUND(L217/产出与消耗!S8,4)</f>
        <v>0</v>
      </c>
      <c r="N217" s="9">
        <v>310</v>
      </c>
      <c r="O217" s="10">
        <f t="shared" si="120"/>
        <v>0</v>
      </c>
      <c r="P217" s="5">
        <f>ROUND(O217/产出与消耗!S30,4)</f>
        <v>0</v>
      </c>
      <c r="Q217" s="9">
        <v>370</v>
      </c>
      <c r="R217" s="10">
        <f t="shared" si="121"/>
        <v>0</v>
      </c>
      <c r="S217" s="5">
        <f>ROUND(R217/产出与消耗!S52,4)</f>
        <v>0</v>
      </c>
      <c r="T217" s="8">
        <f t="shared" si="123"/>
        <v>0</v>
      </c>
      <c r="U217"/>
      <c r="V217"/>
      <c r="W217"/>
    </row>
    <row r="218" spans="1:23">
      <c r="B218">
        <v>7</v>
      </c>
      <c r="C218">
        <f>MAX(ROUND(C219-(C220-C219)/(产出与消耗!$K$11-产出与消耗!$K$10)*(产出与消耗!$K$10-产出与消耗!$K$9)*1.048,0),0)</f>
        <v>0</v>
      </c>
      <c r="D218" s="9">
        <v>5</v>
      </c>
      <c r="E218">
        <f>ROUND(D218*C218/3600/(建筑!G92*基本公式!$B$154),2)</f>
        <v>0</v>
      </c>
      <c r="F218" s="9">
        <v>25</v>
      </c>
      <c r="G218" s="10">
        <f t="shared" si="118"/>
        <v>0</v>
      </c>
      <c r="K218" s="9">
        <v>700</v>
      </c>
      <c r="L218" s="10">
        <f t="shared" si="119"/>
        <v>0</v>
      </c>
      <c r="M218" s="5">
        <f>ROUND(L218/产出与消耗!S9,4)</f>
        <v>0</v>
      </c>
      <c r="N218" s="9">
        <v>310</v>
      </c>
      <c r="O218" s="10">
        <f t="shared" si="120"/>
        <v>0</v>
      </c>
      <c r="P218" s="5">
        <f>ROUND(O218/产出与消耗!S31,4)</f>
        <v>0</v>
      </c>
      <c r="Q218" s="9">
        <v>370</v>
      </c>
      <c r="R218" s="10">
        <f t="shared" si="121"/>
        <v>0</v>
      </c>
      <c r="S218" s="5">
        <f>ROUND(R218/产出与消耗!S53,4)</f>
        <v>0</v>
      </c>
      <c r="T218" s="8">
        <f t="shared" si="123"/>
        <v>0</v>
      </c>
      <c r="U218"/>
      <c r="V218"/>
      <c r="W218"/>
    </row>
    <row r="219" spans="1:23">
      <c r="A219" s="12"/>
      <c r="B219">
        <v>8</v>
      </c>
      <c r="C219">
        <f>MAX(ROUND(C220-(C221-C220)/(产出与消耗!$K$12-产出与消耗!$K$11)*(产出与消耗!$K$11-产出与消耗!$K$10)*1.048,0),0)</f>
        <v>0</v>
      </c>
      <c r="D219" s="9">
        <v>5</v>
      </c>
      <c r="E219">
        <f>ROUND(D219*C219/3600/(建筑!G93*基本公式!$B$154),2)</f>
        <v>0</v>
      </c>
      <c r="F219" s="9">
        <v>25</v>
      </c>
      <c r="G219" s="10">
        <f t="shared" si="118"/>
        <v>0</v>
      </c>
      <c r="K219" s="9">
        <v>700</v>
      </c>
      <c r="L219" s="10">
        <f t="shared" si="119"/>
        <v>0</v>
      </c>
      <c r="M219" s="5">
        <f>ROUND(L219/产出与消耗!S10,4)</f>
        <v>0</v>
      </c>
      <c r="N219" s="9">
        <v>310</v>
      </c>
      <c r="O219" s="10">
        <f t="shared" si="120"/>
        <v>0</v>
      </c>
      <c r="P219" s="5">
        <f>ROUND(O219/产出与消耗!S32,4)</f>
        <v>0</v>
      </c>
      <c r="Q219" s="9">
        <v>370</v>
      </c>
      <c r="R219" s="10">
        <f t="shared" si="121"/>
        <v>0</v>
      </c>
      <c r="S219" s="5">
        <f>ROUND(R219/产出与消耗!S54,4)</f>
        <v>0</v>
      </c>
      <c r="T219" s="8">
        <f t="shared" si="123"/>
        <v>0</v>
      </c>
      <c r="U219"/>
      <c r="V219"/>
      <c r="W219"/>
    </row>
    <row r="220" spans="1:23">
      <c r="B220">
        <v>9</v>
      </c>
      <c r="C220">
        <f>MAX(ROUND(C221-(C222-C221)/(产出与消耗!$K$13-产出与消耗!$K$12)*(产出与消耗!$K$12-产出与消耗!$K$11)*1.048,0),0)</f>
        <v>0</v>
      </c>
      <c r="D220" s="9">
        <v>5</v>
      </c>
      <c r="E220">
        <f>ROUND(D220*C220/3600/(建筑!G94*基本公式!$B$154),2)</f>
        <v>0</v>
      </c>
      <c r="F220" s="9">
        <v>25</v>
      </c>
      <c r="G220" s="10">
        <f t="shared" si="118"/>
        <v>0</v>
      </c>
      <c r="K220" s="9">
        <v>700</v>
      </c>
      <c r="L220" s="10">
        <f t="shared" si="119"/>
        <v>0</v>
      </c>
      <c r="M220" s="5">
        <f>ROUND(L220/产出与消耗!S11,4)</f>
        <v>0</v>
      </c>
      <c r="N220" s="9">
        <v>310</v>
      </c>
      <c r="O220" s="10">
        <f t="shared" si="120"/>
        <v>0</v>
      </c>
      <c r="P220" s="5">
        <f>ROUND(O220/产出与消耗!S33,4)</f>
        <v>0</v>
      </c>
      <c r="Q220" s="9">
        <v>370</v>
      </c>
      <c r="R220" s="10">
        <f t="shared" si="121"/>
        <v>0</v>
      </c>
      <c r="S220" s="5">
        <f>ROUND(R220/产出与消耗!S55,4)</f>
        <v>0</v>
      </c>
      <c r="T220" s="8">
        <f t="shared" si="123"/>
        <v>0</v>
      </c>
      <c r="U220"/>
      <c r="V220"/>
      <c r="W220"/>
    </row>
    <row r="221" spans="1:23">
      <c r="A221" s="17" t="s">
        <v>195</v>
      </c>
      <c r="B221">
        <v>10</v>
      </c>
      <c r="C221">
        <f>MAX(ROUND(C222-(C223-C222)/(产出与消耗!$K$14-产出与消耗!$K$13)*(产出与消耗!$K$13-产出与消耗!$K$12)*1.048,0),0)</f>
        <v>151</v>
      </c>
      <c r="D221" s="9">
        <v>5</v>
      </c>
      <c r="E221">
        <f>ROUND(D221*C221/3600/(建筑!G95*基本公式!$B$154),2)</f>
        <v>0.05</v>
      </c>
      <c r="F221" s="9">
        <v>25</v>
      </c>
      <c r="G221" s="10">
        <f t="shared" si="118"/>
        <v>3775</v>
      </c>
      <c r="K221" s="9">
        <v>700</v>
      </c>
      <c r="L221" s="10">
        <f t="shared" si="119"/>
        <v>105700</v>
      </c>
      <c r="M221" s="5">
        <f>ROUND(L221/产出与消耗!S12,4)</f>
        <v>2.7E-2</v>
      </c>
      <c r="N221" s="9">
        <v>310</v>
      </c>
      <c r="O221" s="10">
        <f t="shared" si="120"/>
        <v>46810</v>
      </c>
      <c r="P221" s="5">
        <f>ROUND(O221/产出与消耗!S34,4)</f>
        <v>1.1900000000000001E-2</v>
      </c>
      <c r="Q221" s="9">
        <v>370</v>
      </c>
      <c r="R221" s="10">
        <f t="shared" si="121"/>
        <v>55870</v>
      </c>
      <c r="S221" s="5">
        <f>ROUND(R221/产出与消耗!S56,4)</f>
        <v>1.66E-2</v>
      </c>
      <c r="T221" s="8">
        <f t="shared" si="123"/>
        <v>5.5500000000000008E-2</v>
      </c>
      <c r="U221"/>
      <c r="V221"/>
      <c r="W221"/>
    </row>
    <row r="222" spans="1:23">
      <c r="B222">
        <v>11</v>
      </c>
      <c r="C222">
        <f>MAX(ROUND(C223-(C224-C223)/(产出与消耗!$K$15-产出与消耗!$K$14)*(产出与消耗!$K$14-产出与消耗!$K$13)*1.048,0),0)</f>
        <v>2381</v>
      </c>
      <c r="D222" s="9">
        <v>5</v>
      </c>
      <c r="E222">
        <f>ROUND(D222*C222/3600/(建筑!G96*基本公式!$B$154),2)</f>
        <v>0.83</v>
      </c>
      <c r="F222" s="9">
        <v>25</v>
      </c>
      <c r="G222" s="10">
        <f t="shared" si="118"/>
        <v>59525</v>
      </c>
      <c r="K222" s="9">
        <v>700</v>
      </c>
      <c r="L222" s="10">
        <f t="shared" si="119"/>
        <v>1666700</v>
      </c>
      <c r="M222" s="5">
        <f>ROUND(L222/产出与消耗!S13,4)</f>
        <v>0.20860000000000001</v>
      </c>
      <c r="N222" s="9">
        <v>310</v>
      </c>
      <c r="O222" s="10">
        <f t="shared" si="120"/>
        <v>738110</v>
      </c>
      <c r="P222" s="5">
        <f>ROUND(O222/产出与消耗!S35,4)</f>
        <v>9.2399999999999996E-2</v>
      </c>
      <c r="Q222" s="9">
        <v>370</v>
      </c>
      <c r="R222" s="10">
        <f t="shared" si="121"/>
        <v>880970</v>
      </c>
      <c r="S222" s="5">
        <f>ROUND(R222/产出与消耗!S57,4)</f>
        <v>0.12870000000000001</v>
      </c>
      <c r="T222" s="8">
        <f t="shared" si="123"/>
        <v>0.42969999999999997</v>
      </c>
      <c r="U222"/>
      <c r="V222"/>
      <c r="W222"/>
    </row>
    <row r="223" spans="1:23">
      <c r="B223">
        <v>12</v>
      </c>
      <c r="C223">
        <f>MAX(ROUND(C224-(C225-C224)/(产出与消耗!$K$16-产出与消耗!$K$15)*(产出与消耗!$K$15-产出与消耗!$K$14)*1.048,0),0)</f>
        <v>7947</v>
      </c>
      <c r="D223" s="9">
        <v>5</v>
      </c>
      <c r="E223">
        <f>ROUND(D223*C223/3600/(建筑!G97*基本公式!$B$154),2)</f>
        <v>1.84</v>
      </c>
      <c r="F223" s="9">
        <v>25</v>
      </c>
      <c r="G223" s="10">
        <f t="shared" si="118"/>
        <v>198675</v>
      </c>
      <c r="K223" s="9">
        <v>700</v>
      </c>
      <c r="L223" s="10">
        <f t="shared" si="119"/>
        <v>5562900</v>
      </c>
      <c r="M223" s="5">
        <f>ROUND(L223/产出与消耗!S14,4)</f>
        <v>0.24679999999999999</v>
      </c>
      <c r="N223" s="9">
        <v>310</v>
      </c>
      <c r="O223" s="10">
        <f t="shared" si="120"/>
        <v>2463570</v>
      </c>
      <c r="P223" s="5">
        <f>ROUND(O223/产出与消耗!S36,4)</f>
        <v>0.10929999999999999</v>
      </c>
      <c r="Q223" s="9">
        <v>370</v>
      </c>
      <c r="R223" s="10">
        <f t="shared" si="121"/>
        <v>2940390</v>
      </c>
      <c r="S223" s="5">
        <f>ROUND(R223/产出与消耗!S58,4)</f>
        <v>0.1522</v>
      </c>
      <c r="T223" s="8">
        <f t="shared" si="123"/>
        <v>0.50829999999999997</v>
      </c>
      <c r="U223"/>
      <c r="V223"/>
      <c r="W223"/>
    </row>
    <row r="224" spans="1:23">
      <c r="A224" s="12"/>
      <c r="B224">
        <v>13</v>
      </c>
      <c r="C224">
        <f>MAX(ROUND(C225-(C226-C225)/(产出与消耗!$K$17-产出与消耗!$K$16)*(产出与消耗!$K$16-产出与消耗!$K$15)*1.048,0),0)</f>
        <v>12477</v>
      </c>
      <c r="D224" s="9">
        <v>5</v>
      </c>
      <c r="E224">
        <f>ROUND(D224*C224/3600/(建筑!G98*基本公式!$B$154),2)</f>
        <v>2.89</v>
      </c>
      <c r="F224" s="9">
        <v>25</v>
      </c>
      <c r="G224" s="10">
        <f t="shared" si="118"/>
        <v>311925</v>
      </c>
      <c r="K224" s="9">
        <v>700</v>
      </c>
      <c r="L224" s="10">
        <f t="shared" si="119"/>
        <v>8733900</v>
      </c>
      <c r="M224" s="5">
        <f>ROUND(L224/产出与消耗!S15,4)</f>
        <v>0.2</v>
      </c>
      <c r="N224" s="9">
        <v>310</v>
      </c>
      <c r="O224" s="10">
        <f t="shared" si="120"/>
        <v>3867870</v>
      </c>
      <c r="P224" s="5">
        <f>ROUND(O224/产出与消耗!S37,4)</f>
        <v>8.8599999999999998E-2</v>
      </c>
      <c r="Q224" s="9">
        <v>370</v>
      </c>
      <c r="R224" s="10">
        <f t="shared" si="121"/>
        <v>4616490</v>
      </c>
      <c r="S224" s="5">
        <f>ROUND(R224/产出与消耗!S59,4)</f>
        <v>0.12330000000000001</v>
      </c>
      <c r="T224" s="8">
        <f t="shared" si="123"/>
        <v>0.41190000000000004</v>
      </c>
      <c r="U224"/>
      <c r="V224"/>
      <c r="W224"/>
    </row>
    <row r="225" spans="1:23">
      <c r="A225" s="17" t="s">
        <v>196</v>
      </c>
      <c r="B225">
        <v>14</v>
      </c>
      <c r="C225">
        <f>MAX(ROUND(C226-(C227-C226)/(产出与消耗!$K$18-产出与消耗!$K$17)*(产出与消耗!$K$17-产出与消耗!$K$16)*1.048,0),0)</f>
        <v>16352</v>
      </c>
      <c r="D225" s="9">
        <v>5</v>
      </c>
      <c r="E225">
        <f>ROUND(D225*C225/3600/(建筑!G99*基本公式!$B$154),2)</f>
        <v>3.79</v>
      </c>
      <c r="F225" s="9">
        <v>25</v>
      </c>
      <c r="G225" s="10">
        <f t="shared" si="118"/>
        <v>408800</v>
      </c>
      <c r="K225" s="9">
        <v>700</v>
      </c>
      <c r="L225" s="10">
        <f t="shared" si="119"/>
        <v>11446400</v>
      </c>
      <c r="M225" s="5">
        <f>ROUND(L225/产出与消耗!S16,4)</f>
        <v>0.1255</v>
      </c>
      <c r="N225" s="9">
        <v>310</v>
      </c>
      <c r="O225" s="10">
        <f t="shared" si="120"/>
        <v>5069120</v>
      </c>
      <c r="P225" s="5">
        <f>ROUND(O225/产出与消耗!S38,4)</f>
        <v>5.5599999999999997E-2</v>
      </c>
      <c r="Q225" s="9">
        <v>370</v>
      </c>
      <c r="R225" s="10">
        <f t="shared" si="121"/>
        <v>6050240</v>
      </c>
      <c r="S225" s="5">
        <f>ROUND(R225/产出与消耗!S60,4)</f>
        <v>7.7399999999999997E-2</v>
      </c>
      <c r="T225" s="8">
        <f t="shared" si="123"/>
        <v>0.25849999999999995</v>
      </c>
      <c r="U225"/>
      <c r="V225"/>
      <c r="W225"/>
    </row>
    <row r="226" spans="1:23">
      <c r="B226">
        <v>15</v>
      </c>
      <c r="C226">
        <f>MAX(ROUND(C227-(C228-C227)/(产出与消耗!$K$19-产出与消耗!$K$18)*(产出与消耗!$K$18-产出与消耗!$K$17)*1.048,0),0)</f>
        <v>20618</v>
      </c>
      <c r="D226" s="9">
        <v>5</v>
      </c>
      <c r="E226">
        <f>ROUND(D226*C226/3600/(建筑!G100*基本公式!$B$154),2)</f>
        <v>4.7699999999999996</v>
      </c>
      <c r="F226" s="9">
        <v>25</v>
      </c>
      <c r="G226" s="10">
        <f t="shared" si="118"/>
        <v>515450</v>
      </c>
      <c r="K226" s="9">
        <v>700</v>
      </c>
      <c r="L226" s="10">
        <f t="shared" si="119"/>
        <v>14432600</v>
      </c>
      <c r="M226" s="5">
        <f>ROUND(L226/产出与消耗!S17,4)</f>
        <v>9.64E-2</v>
      </c>
      <c r="N226" s="9">
        <v>310</v>
      </c>
      <c r="O226" s="10">
        <f t="shared" si="120"/>
        <v>6391580</v>
      </c>
      <c r="P226" s="5">
        <f>ROUND(O226/产出与消耗!S39,4)</f>
        <v>4.2700000000000002E-2</v>
      </c>
      <c r="Q226" s="9">
        <v>370</v>
      </c>
      <c r="R226" s="10">
        <f t="shared" si="121"/>
        <v>7628660</v>
      </c>
      <c r="S226" s="5">
        <f>ROUND(R226/产出与消耗!S61,4)</f>
        <v>5.9499999999999997E-2</v>
      </c>
      <c r="T226" s="8">
        <f t="shared" si="123"/>
        <v>0.1986</v>
      </c>
      <c r="U226"/>
      <c r="V226"/>
      <c r="W226"/>
    </row>
    <row r="227" spans="1:23">
      <c r="B227">
        <v>16</v>
      </c>
      <c r="C227">
        <f>MAX(ROUND(C228-(C229-C228)/(产出与消耗!$K$20-产出与消耗!$K$19)*(产出与消耗!$K$19-产出与消耗!$K$18)*1.048,0),0)</f>
        <v>24689</v>
      </c>
      <c r="D227" s="9">
        <v>5</v>
      </c>
      <c r="E227">
        <f>ROUND(D227*C227/3600/(建筑!G101*基本公式!$B$154),2)</f>
        <v>4.29</v>
      </c>
      <c r="F227" s="9">
        <v>25</v>
      </c>
      <c r="G227" s="10">
        <f t="shared" si="118"/>
        <v>617225</v>
      </c>
      <c r="K227" s="9">
        <v>700</v>
      </c>
      <c r="L227" s="10">
        <f t="shared" si="119"/>
        <v>17282300</v>
      </c>
      <c r="M227" s="5">
        <f>ROUND(L227/产出与消耗!S18,4)</f>
        <v>6.3600000000000004E-2</v>
      </c>
      <c r="N227" s="9">
        <v>310</v>
      </c>
      <c r="O227" s="10">
        <f t="shared" si="120"/>
        <v>7653590</v>
      </c>
      <c r="P227" s="5">
        <f>ROUND(O227/产出与消耗!S40,4)</f>
        <v>2.8199999999999999E-2</v>
      </c>
      <c r="Q227" s="9">
        <v>370</v>
      </c>
      <c r="R227" s="10">
        <f t="shared" si="121"/>
        <v>9134930</v>
      </c>
      <c r="S227" s="5">
        <f>ROUND(R227/产出与消耗!S62,4)</f>
        <v>3.9199999999999999E-2</v>
      </c>
      <c r="T227" s="8">
        <f t="shared" si="123"/>
        <v>0.13100000000000001</v>
      </c>
      <c r="U227"/>
      <c r="V227"/>
      <c r="W227"/>
    </row>
    <row r="228" spans="1:23">
      <c r="B228">
        <v>17</v>
      </c>
      <c r="C228">
        <f>MAX(ROUND(C229-(C230-C229)/(产出与消耗!$K$21-产出与消耗!$K$20)*(产出与消耗!$K$20-产出与消耗!$K$19)*1.048,0),0)</f>
        <v>28962</v>
      </c>
      <c r="D228" s="9">
        <v>5</v>
      </c>
      <c r="E228">
        <f>ROUND(D228*C228/3600/(建筑!G102*基本公式!$B$154),2)</f>
        <v>5.03</v>
      </c>
      <c r="F228" s="9">
        <v>25</v>
      </c>
      <c r="G228" s="10">
        <f t="shared" si="118"/>
        <v>724050</v>
      </c>
      <c r="K228" s="9">
        <v>700</v>
      </c>
      <c r="L228" s="10">
        <f t="shared" si="119"/>
        <v>20273400</v>
      </c>
      <c r="M228" s="5">
        <f>ROUND(L228/产出与消耗!S19,4)</f>
        <v>4.99E-2</v>
      </c>
      <c r="N228" s="9">
        <v>310</v>
      </c>
      <c r="O228" s="10">
        <f t="shared" si="120"/>
        <v>8978220</v>
      </c>
      <c r="P228" s="5">
        <f>ROUND(O228/产出与消耗!S41,4)</f>
        <v>2.2100000000000002E-2</v>
      </c>
      <c r="Q228" s="9">
        <v>370</v>
      </c>
      <c r="R228" s="10">
        <f t="shared" si="121"/>
        <v>10715940</v>
      </c>
      <c r="S228" s="5">
        <f>ROUND(R228/产出与消耗!S63,4)</f>
        <v>3.0800000000000001E-2</v>
      </c>
      <c r="T228" s="8">
        <f t="shared" si="123"/>
        <v>0.1028</v>
      </c>
      <c r="U228"/>
      <c r="V228"/>
      <c r="W228"/>
    </row>
    <row r="229" spans="1:23">
      <c r="B229">
        <v>18</v>
      </c>
      <c r="C229">
        <f>MAX(ROUND(C230-(C231-C230)/(产出与消耗!$K$22-产出与消耗!$K$21)*(产出与消耗!$K$21-产出与消耗!$K$20)*1.048,0),0)</f>
        <v>33534</v>
      </c>
      <c r="D229" s="9">
        <v>5</v>
      </c>
      <c r="E229">
        <f>ROUND(D229*C229/3600/(建筑!G103*基本公式!$B$154),2)</f>
        <v>5.82</v>
      </c>
      <c r="F229" s="9">
        <v>25</v>
      </c>
      <c r="G229" s="10">
        <f t="shared" si="118"/>
        <v>838350</v>
      </c>
      <c r="K229" s="9">
        <v>700</v>
      </c>
      <c r="L229" s="10">
        <f t="shared" si="119"/>
        <v>23473800</v>
      </c>
      <c r="M229" s="5">
        <f>ROUND(L229/产出与消耗!S20,4)</f>
        <v>3.4599999999999999E-2</v>
      </c>
      <c r="N229" s="9">
        <v>310</v>
      </c>
      <c r="O229" s="10">
        <f t="shared" si="120"/>
        <v>10395540</v>
      </c>
      <c r="P229" s="5">
        <f>ROUND(O229/产出与消耗!S42,4)</f>
        <v>1.5299999999999999E-2</v>
      </c>
      <c r="Q229" s="9">
        <v>370</v>
      </c>
      <c r="R229" s="10">
        <f t="shared" si="121"/>
        <v>12407580</v>
      </c>
      <c r="S229" s="5">
        <f>ROUND(R229/产出与消耗!S64,4)</f>
        <v>2.1399999999999999E-2</v>
      </c>
      <c r="T229" s="8">
        <f t="shared" si="123"/>
        <v>7.1300000000000002E-2</v>
      </c>
      <c r="U229"/>
      <c r="V229"/>
      <c r="W229"/>
    </row>
    <row r="230" spans="1:23">
      <c r="A230" s="18" t="s">
        <v>197</v>
      </c>
      <c r="B230">
        <v>19</v>
      </c>
      <c r="C230">
        <f>ROUND(产出与消耗!$K$21*C231/产出与消耗!$K$22,0)</f>
        <v>38250</v>
      </c>
      <c r="D230" s="9">
        <v>5</v>
      </c>
      <c r="E230">
        <f>ROUND(D230*C230/3600/(建筑!G104*基本公式!$B$154),2)</f>
        <v>6.64</v>
      </c>
      <c r="F230" s="9">
        <v>25</v>
      </c>
      <c r="G230" s="10">
        <f t="shared" si="118"/>
        <v>956250</v>
      </c>
      <c r="K230" s="9">
        <v>700</v>
      </c>
      <c r="L230" s="10">
        <f t="shared" si="119"/>
        <v>26775000</v>
      </c>
      <c r="M230" s="5">
        <f>ROUND(L230/产出与消耗!S21,4)</f>
        <v>2.47E-2</v>
      </c>
      <c r="N230" s="9">
        <v>310</v>
      </c>
      <c r="O230" s="10">
        <f t="shared" si="120"/>
        <v>11857500</v>
      </c>
      <c r="P230" s="5">
        <f>ROUND(O230/产出与消耗!S43,4)</f>
        <v>1.09E-2</v>
      </c>
      <c r="Q230" s="9">
        <v>370</v>
      </c>
      <c r="R230" s="10">
        <f t="shared" si="121"/>
        <v>14152500</v>
      </c>
      <c r="S230" s="5">
        <f>ROUND(R230/产出与消耗!S65,4)</f>
        <v>1.52E-2</v>
      </c>
      <c r="T230" s="8">
        <f t="shared" si="123"/>
        <v>5.0799999999999998E-2</v>
      </c>
      <c r="U230"/>
      <c r="V230"/>
      <c r="W230"/>
    </row>
    <row r="231" spans="1:23">
      <c r="B231">
        <v>20</v>
      </c>
      <c r="C231">
        <v>45000</v>
      </c>
      <c r="D231" s="9">
        <v>5</v>
      </c>
      <c r="E231">
        <f>ROUND(D231*C231/3600/(建筑!G105*基本公式!$B$154),2)</f>
        <v>6.25</v>
      </c>
      <c r="F231" s="9">
        <v>25</v>
      </c>
      <c r="G231" s="10">
        <f t="shared" si="118"/>
        <v>1125000</v>
      </c>
      <c r="K231" s="9">
        <v>700</v>
      </c>
      <c r="L231" s="10">
        <f t="shared" si="119"/>
        <v>31500000</v>
      </c>
      <c r="M231" s="5">
        <f>ROUND(L231/产出与消耗!S22,4)</f>
        <v>1.7999999999999999E-2</v>
      </c>
      <c r="N231" s="9">
        <v>310</v>
      </c>
      <c r="O231" s="10">
        <f t="shared" si="120"/>
        <v>13950000</v>
      </c>
      <c r="P231" s="5">
        <f>ROUND(O231/产出与消耗!S44,4)</f>
        <v>8.0000000000000002E-3</v>
      </c>
      <c r="Q231" s="9">
        <v>370</v>
      </c>
      <c r="R231" s="10">
        <f t="shared" si="121"/>
        <v>16650000</v>
      </c>
      <c r="S231" s="5">
        <f>ROUND(R231/产出与消耗!S66,4)</f>
        <v>1.11E-2</v>
      </c>
      <c r="T231" s="8">
        <f t="shared" si="123"/>
        <v>3.7100000000000001E-2</v>
      </c>
      <c r="U231"/>
      <c r="V231"/>
      <c r="W231"/>
    </row>
    <row r="232" spans="1:23">
      <c r="K232"/>
      <c r="M232"/>
      <c r="N232"/>
      <c r="P232"/>
      <c r="Q232"/>
      <c r="S232"/>
      <c r="T232"/>
      <c r="U232"/>
      <c r="V232"/>
      <c r="W232"/>
    </row>
    <row r="233" spans="1:23">
      <c r="A233" t="s">
        <v>183</v>
      </c>
      <c r="B233">
        <v>1</v>
      </c>
      <c r="C233">
        <f>MAX(ROUND(C234-(C235-C234)/(产出与消耗!$K$5-产出与消耗!$K$4)*(产出与消耗!$K$4-产出与消耗!$K$3)*1.048,0),0)</f>
        <v>0</v>
      </c>
      <c r="D233" s="9">
        <v>12</v>
      </c>
      <c r="E233">
        <f>ROUND(D233*C233/3600/建筑!I128,2)</f>
        <v>0</v>
      </c>
      <c r="F233" s="9">
        <v>13</v>
      </c>
      <c r="G233" s="10">
        <f t="shared" ref="G233" si="124">F233*C233</f>
        <v>0</v>
      </c>
      <c r="K233" s="9">
        <v>670</v>
      </c>
      <c r="L233" s="10">
        <f t="shared" ref="L233" si="125">ROUND(K233*C233,0)</f>
        <v>0</v>
      </c>
      <c r="M233" s="5">
        <f>ROUND(L233/产出与消耗!S3,4)</f>
        <v>0</v>
      </c>
      <c r="N233" s="9">
        <v>680</v>
      </c>
      <c r="O233" s="10">
        <f t="shared" ref="O233" si="126">ROUND(N233*C233,0)</f>
        <v>0</v>
      </c>
      <c r="P233" s="5">
        <f>ROUND(O233/产出与消耗!S25,4)</f>
        <v>0</v>
      </c>
      <c r="Q233" s="9">
        <v>320</v>
      </c>
      <c r="R233" s="10">
        <f t="shared" ref="R233" si="127">ROUND(Q233*C233,0)</f>
        <v>0</v>
      </c>
      <c r="S233" s="5">
        <f>ROUND(R233/产出与消耗!S47,4)</f>
        <v>0</v>
      </c>
      <c r="T233" s="8">
        <f>M233+P233+S233</f>
        <v>0</v>
      </c>
      <c r="U233"/>
      <c r="V233"/>
      <c r="W233"/>
    </row>
    <row r="234" spans="1:23">
      <c r="B234">
        <v>2</v>
      </c>
      <c r="C234">
        <f>MAX(ROUND(C235-(C236-C235)/(产出与消耗!$K$6-产出与消耗!$K$5)*(产出与消耗!$K$5-产出与消耗!$K$4)*1.048,0),0)</f>
        <v>0</v>
      </c>
      <c r="D234" s="9">
        <v>12</v>
      </c>
      <c r="E234">
        <f>ROUND(D234*C234/3600/建筑!I129,2)</f>
        <v>0</v>
      </c>
      <c r="F234" s="9">
        <v>13</v>
      </c>
      <c r="G234" s="10">
        <f t="shared" ref="G234:G252" si="128">F234*C234</f>
        <v>0</v>
      </c>
      <c r="K234" s="9">
        <v>670</v>
      </c>
      <c r="L234" s="10">
        <f t="shared" ref="L234:L252" si="129">ROUND(K234*C234,0)</f>
        <v>0</v>
      </c>
      <c r="M234" s="5">
        <f>ROUND(L234/产出与消耗!S4,4)</f>
        <v>0</v>
      </c>
      <c r="N234" s="9">
        <v>680</v>
      </c>
      <c r="O234" s="10">
        <f t="shared" ref="O234:O252" si="130">ROUND(N234*C234,0)</f>
        <v>0</v>
      </c>
      <c r="P234" s="5">
        <f>ROUND(O234/产出与消耗!S26,4)</f>
        <v>0</v>
      </c>
      <c r="Q234" s="9">
        <v>320</v>
      </c>
      <c r="R234" s="10">
        <f t="shared" ref="R234:R252" si="131">ROUND(Q234*C234,0)</f>
        <v>0</v>
      </c>
      <c r="S234" s="5">
        <f>ROUND(R234/产出与消耗!S48,4)</f>
        <v>0</v>
      </c>
      <c r="T234" s="8">
        <f t="shared" ref="T234" si="132">M234+P234+S234</f>
        <v>0</v>
      </c>
    </row>
    <row r="235" spans="1:23">
      <c r="B235">
        <v>3</v>
      </c>
      <c r="C235">
        <f>MAX(ROUND(C236-(C237-C236)/(产出与消耗!$K$7-产出与消耗!$K$6)*(产出与消耗!$K$6-产出与消耗!$K$5)*1.048,0),0)</f>
        <v>0</v>
      </c>
      <c r="D235" s="9">
        <v>12</v>
      </c>
      <c r="E235">
        <f>ROUND(D235*C235/3600/建筑!I130,2)</f>
        <v>0</v>
      </c>
      <c r="F235" s="9">
        <v>13</v>
      </c>
      <c r="G235" s="10">
        <f t="shared" si="128"/>
        <v>0</v>
      </c>
      <c r="K235" s="9">
        <v>670</v>
      </c>
      <c r="L235" s="10">
        <f t="shared" si="129"/>
        <v>0</v>
      </c>
      <c r="M235" s="5">
        <f>ROUND(L235/产出与消耗!S5,4)</f>
        <v>0</v>
      </c>
      <c r="N235" s="9">
        <v>680</v>
      </c>
      <c r="O235" s="10">
        <f t="shared" si="130"/>
        <v>0</v>
      </c>
      <c r="P235" s="5">
        <f>ROUND(O235/产出与消耗!S27,4)</f>
        <v>0</v>
      </c>
      <c r="Q235" s="9">
        <v>320</v>
      </c>
      <c r="R235" s="10">
        <f t="shared" si="131"/>
        <v>0</v>
      </c>
      <c r="S235" s="5">
        <f>ROUND(R235/产出与消耗!S49,4)</f>
        <v>0</v>
      </c>
      <c r="T235" s="8">
        <f t="shared" ref="T235:T252" si="133">M235+P235+S235</f>
        <v>0</v>
      </c>
    </row>
    <row r="236" spans="1:23">
      <c r="B236">
        <v>4</v>
      </c>
      <c r="C236">
        <f>MAX(ROUND(C237-(C238-C237)/(产出与消耗!$K$8-产出与消耗!$K$7)*(产出与消耗!$K$7-产出与消耗!$K$6)*1.048,0),0)</f>
        <v>0</v>
      </c>
      <c r="D236" s="9">
        <v>12</v>
      </c>
      <c r="E236">
        <f>ROUND(D236*C236/3600/建筑!I131,2)</f>
        <v>0</v>
      </c>
      <c r="F236" s="9">
        <v>13</v>
      </c>
      <c r="G236" s="10">
        <f t="shared" si="128"/>
        <v>0</v>
      </c>
      <c r="K236" s="9">
        <v>670</v>
      </c>
      <c r="L236" s="10">
        <f t="shared" si="129"/>
        <v>0</v>
      </c>
      <c r="M236" s="5">
        <f>ROUND(L236/产出与消耗!S6,4)</f>
        <v>0</v>
      </c>
      <c r="N236" s="9">
        <v>680</v>
      </c>
      <c r="O236" s="10">
        <f t="shared" si="130"/>
        <v>0</v>
      </c>
      <c r="P236" s="5">
        <f>ROUND(O236/产出与消耗!S28,4)</f>
        <v>0</v>
      </c>
      <c r="Q236" s="9">
        <v>320</v>
      </c>
      <c r="R236" s="10">
        <f t="shared" si="131"/>
        <v>0</v>
      </c>
      <c r="S236" s="5">
        <f>ROUND(R236/产出与消耗!S50,4)</f>
        <v>0</v>
      </c>
      <c r="T236" s="8">
        <f t="shared" si="133"/>
        <v>0</v>
      </c>
    </row>
    <row r="237" spans="1:23">
      <c r="B237">
        <v>5</v>
      </c>
      <c r="C237">
        <f>MAX(ROUND(C238-(C239-C238)/(产出与消耗!$K$9-产出与消耗!$K$8)*(产出与消耗!$K$8-产出与消耗!$K$7)*1.048,0),0)</f>
        <v>0</v>
      </c>
      <c r="D237" s="9">
        <v>12</v>
      </c>
      <c r="E237">
        <f>ROUND(D237*C237/3600/建筑!I132,2)</f>
        <v>0</v>
      </c>
      <c r="F237" s="9">
        <v>13</v>
      </c>
      <c r="G237" s="10">
        <f t="shared" si="128"/>
        <v>0</v>
      </c>
      <c r="K237" s="9">
        <v>670</v>
      </c>
      <c r="L237" s="10">
        <f t="shared" si="129"/>
        <v>0</v>
      </c>
      <c r="M237" s="5">
        <f>ROUND(L237/产出与消耗!S7,4)</f>
        <v>0</v>
      </c>
      <c r="N237" s="9">
        <v>680</v>
      </c>
      <c r="O237" s="10">
        <f t="shared" si="130"/>
        <v>0</v>
      </c>
      <c r="P237" s="5">
        <f>ROUND(O237/产出与消耗!S29,4)</f>
        <v>0</v>
      </c>
      <c r="Q237" s="9">
        <v>320</v>
      </c>
      <c r="R237" s="10">
        <f t="shared" si="131"/>
        <v>0</v>
      </c>
      <c r="S237" s="5">
        <f>ROUND(R237/产出与消耗!S51,4)</f>
        <v>0</v>
      </c>
      <c r="T237" s="8">
        <f t="shared" si="133"/>
        <v>0</v>
      </c>
    </row>
    <row r="238" spans="1:23">
      <c r="B238">
        <v>6</v>
      </c>
      <c r="C238">
        <f>MAX(ROUND(C239-(C240-C239)/(产出与消耗!$K$10-产出与消耗!$K$9)*(产出与消耗!$K$9-产出与消耗!$K$8)*1.048,0),0)</f>
        <v>0</v>
      </c>
      <c r="D238" s="9">
        <v>12</v>
      </c>
      <c r="E238">
        <f>ROUND(D238*C238/3600/建筑!I133,2)</f>
        <v>0</v>
      </c>
      <c r="F238" s="9">
        <v>13</v>
      </c>
      <c r="G238" s="10">
        <f t="shared" si="128"/>
        <v>0</v>
      </c>
      <c r="K238" s="9">
        <v>670</v>
      </c>
      <c r="L238" s="10">
        <f t="shared" si="129"/>
        <v>0</v>
      </c>
      <c r="M238" s="5">
        <f>ROUND(L238/产出与消耗!S8,4)</f>
        <v>0</v>
      </c>
      <c r="N238" s="9">
        <v>680</v>
      </c>
      <c r="O238" s="10">
        <f t="shared" si="130"/>
        <v>0</v>
      </c>
      <c r="P238" s="5">
        <f>ROUND(O238/产出与消耗!S30,4)</f>
        <v>0</v>
      </c>
      <c r="Q238" s="9">
        <v>320</v>
      </c>
      <c r="R238" s="10">
        <f t="shared" si="131"/>
        <v>0</v>
      </c>
      <c r="S238" s="5">
        <f>ROUND(R238/产出与消耗!S52,4)</f>
        <v>0</v>
      </c>
      <c r="T238" s="8">
        <f t="shared" si="133"/>
        <v>0</v>
      </c>
    </row>
    <row r="239" spans="1:23">
      <c r="B239">
        <v>7</v>
      </c>
      <c r="C239">
        <f>MAX(ROUND(C240-(C241-C240)/(产出与消耗!$K$11-产出与消耗!$K$10)*(产出与消耗!$K$10-产出与消耗!$K$9)*1.048,0),0)</f>
        <v>0</v>
      </c>
      <c r="D239" s="9">
        <v>12</v>
      </c>
      <c r="E239">
        <f>ROUND(D239*C239/3600/建筑!I134,2)</f>
        <v>0</v>
      </c>
      <c r="F239" s="9">
        <v>13</v>
      </c>
      <c r="G239" s="10">
        <f t="shared" si="128"/>
        <v>0</v>
      </c>
      <c r="K239" s="9">
        <v>670</v>
      </c>
      <c r="L239" s="10">
        <f t="shared" si="129"/>
        <v>0</v>
      </c>
      <c r="M239" s="5">
        <f>ROUND(L239/产出与消耗!S9,4)</f>
        <v>0</v>
      </c>
      <c r="N239" s="9">
        <v>680</v>
      </c>
      <c r="O239" s="10">
        <f t="shared" si="130"/>
        <v>0</v>
      </c>
      <c r="P239" s="5">
        <f>ROUND(O239/产出与消耗!S31,4)</f>
        <v>0</v>
      </c>
      <c r="Q239" s="9">
        <v>320</v>
      </c>
      <c r="R239" s="10">
        <f t="shared" si="131"/>
        <v>0</v>
      </c>
      <c r="S239" s="5">
        <f>ROUND(R239/产出与消耗!S53,4)</f>
        <v>0</v>
      </c>
      <c r="T239" s="8">
        <f t="shared" si="133"/>
        <v>0</v>
      </c>
    </row>
    <row r="240" spans="1:23">
      <c r="A240" s="12"/>
      <c r="B240">
        <v>8</v>
      </c>
      <c r="C240">
        <f>MAX(ROUND(C241-(C242-C241)/(产出与消耗!$K$12-产出与消耗!$K$11)*(产出与消耗!$K$11-产出与消耗!$K$10)*1.048,0),0)</f>
        <v>0</v>
      </c>
      <c r="D240" s="9">
        <v>12</v>
      </c>
      <c r="E240">
        <f>ROUND(D240*C240/3600/建筑!I135,2)</f>
        <v>0</v>
      </c>
      <c r="F240" s="9">
        <v>13</v>
      </c>
      <c r="G240" s="10">
        <f t="shared" si="128"/>
        <v>0</v>
      </c>
      <c r="K240" s="9">
        <v>670</v>
      </c>
      <c r="L240" s="10">
        <f t="shared" si="129"/>
        <v>0</v>
      </c>
      <c r="M240" s="5">
        <f>ROUND(L240/产出与消耗!S10,4)</f>
        <v>0</v>
      </c>
      <c r="N240" s="9">
        <v>680</v>
      </c>
      <c r="O240" s="10">
        <f t="shared" si="130"/>
        <v>0</v>
      </c>
      <c r="P240" s="5">
        <f>ROUND(O240/产出与消耗!S32,4)</f>
        <v>0</v>
      </c>
      <c r="Q240" s="9">
        <v>320</v>
      </c>
      <c r="R240" s="10">
        <f t="shared" si="131"/>
        <v>0</v>
      </c>
      <c r="S240" s="5">
        <f>ROUND(R240/产出与消耗!S54,4)</f>
        <v>0</v>
      </c>
      <c r="T240" s="8">
        <f t="shared" si="133"/>
        <v>0</v>
      </c>
    </row>
    <row r="241" spans="1:20">
      <c r="B241">
        <v>9</v>
      </c>
      <c r="C241">
        <f>MAX(ROUND(C242-(C243-C242)/(产出与消耗!$K$13-产出与消耗!$K$12)*(产出与消耗!$K$12-产出与消耗!$K$11)*1.048,0),0)</f>
        <v>0</v>
      </c>
      <c r="D241" s="9">
        <v>12</v>
      </c>
      <c r="E241">
        <f>ROUND(D241*C241/3600/建筑!I136,2)</f>
        <v>0</v>
      </c>
      <c r="F241" s="9">
        <v>13</v>
      </c>
      <c r="G241" s="10">
        <f t="shared" si="128"/>
        <v>0</v>
      </c>
      <c r="K241" s="9">
        <v>670</v>
      </c>
      <c r="L241" s="10">
        <f t="shared" si="129"/>
        <v>0</v>
      </c>
      <c r="M241" s="5">
        <f>ROUND(L241/产出与消耗!S11,4)</f>
        <v>0</v>
      </c>
      <c r="N241" s="9">
        <v>680</v>
      </c>
      <c r="O241" s="10">
        <f t="shared" si="130"/>
        <v>0</v>
      </c>
      <c r="P241" s="5">
        <f>ROUND(O241/产出与消耗!S33,4)</f>
        <v>0</v>
      </c>
      <c r="Q241" s="9">
        <v>320</v>
      </c>
      <c r="R241" s="10">
        <f t="shared" si="131"/>
        <v>0</v>
      </c>
      <c r="S241" s="5">
        <f>ROUND(R241/产出与消耗!S55,4)</f>
        <v>0</v>
      </c>
      <c r="T241" s="8">
        <f t="shared" si="133"/>
        <v>0</v>
      </c>
    </row>
    <row r="242" spans="1:20">
      <c r="A242" s="17" t="s">
        <v>195</v>
      </c>
      <c r="B242">
        <v>10</v>
      </c>
      <c r="C242">
        <f>MAX(ROUND(C243-(C244-C243)/(产出与消耗!$K$14-产出与消耗!$K$13)*(产出与消耗!$K$13-产出与消耗!$K$12)*1.048,0),0)</f>
        <v>151</v>
      </c>
      <c r="D242" s="9">
        <v>12</v>
      </c>
      <c r="E242">
        <f>ROUND(D242*C242/3600/建筑!I137,2)</f>
        <v>0.25</v>
      </c>
      <c r="F242" s="9">
        <v>13</v>
      </c>
      <c r="G242" s="10">
        <f t="shared" si="128"/>
        <v>1963</v>
      </c>
      <c r="K242" s="9">
        <v>670</v>
      </c>
      <c r="L242" s="10">
        <f t="shared" si="129"/>
        <v>101170</v>
      </c>
      <c r="M242" s="5">
        <f>ROUND(L242/产出与消耗!S12,4)</f>
        <v>2.58E-2</v>
      </c>
      <c r="N242" s="9">
        <v>680</v>
      </c>
      <c r="O242" s="10">
        <f t="shared" si="130"/>
        <v>102680</v>
      </c>
      <c r="P242" s="5">
        <f>ROUND(O242/产出与消耗!S34,4)</f>
        <v>2.6200000000000001E-2</v>
      </c>
      <c r="Q242" s="9">
        <v>320</v>
      </c>
      <c r="R242" s="10">
        <f t="shared" si="131"/>
        <v>48320</v>
      </c>
      <c r="S242" s="5">
        <f>ROUND(R242/产出与消耗!S56,4)</f>
        <v>1.44E-2</v>
      </c>
      <c r="T242" s="8">
        <f t="shared" si="133"/>
        <v>6.6400000000000001E-2</v>
      </c>
    </row>
    <row r="243" spans="1:20">
      <c r="B243">
        <v>11</v>
      </c>
      <c r="C243">
        <f>MAX(ROUND(C244-(C245-C244)/(产出与消耗!$K$15-产出与消耗!$K$14)*(产出与消耗!$K$14-产出与消耗!$K$13)*1.048,0),0)</f>
        <v>2381</v>
      </c>
      <c r="D243" s="9">
        <v>12</v>
      </c>
      <c r="E243">
        <f>ROUND(D243*C243/3600/建筑!I138,2)</f>
        <v>3.97</v>
      </c>
      <c r="F243" s="9">
        <v>13</v>
      </c>
      <c r="G243" s="10">
        <f t="shared" si="128"/>
        <v>30953</v>
      </c>
      <c r="K243" s="9">
        <v>670</v>
      </c>
      <c r="L243" s="10">
        <f t="shared" si="129"/>
        <v>1595270</v>
      </c>
      <c r="M243" s="5">
        <f>ROUND(L243/产出与消耗!S13,4)</f>
        <v>0.19969999999999999</v>
      </c>
      <c r="N243" s="9">
        <v>680</v>
      </c>
      <c r="O243" s="10">
        <f t="shared" si="130"/>
        <v>1619080</v>
      </c>
      <c r="P243" s="5">
        <f>ROUND(O243/产出与消耗!S35,4)</f>
        <v>0.20269999999999999</v>
      </c>
      <c r="Q243" s="9">
        <v>320</v>
      </c>
      <c r="R243" s="10">
        <f t="shared" si="131"/>
        <v>761920</v>
      </c>
      <c r="S243" s="5">
        <f>ROUND(R243/产出与消耗!S57,4)</f>
        <v>0.1113</v>
      </c>
      <c r="T243" s="8">
        <f t="shared" si="133"/>
        <v>0.51369999999999993</v>
      </c>
    </row>
    <row r="244" spans="1:20">
      <c r="B244">
        <v>12</v>
      </c>
      <c r="C244">
        <f>MAX(ROUND(C245-(C246-C245)/(产出与消耗!$K$16-产出与消耗!$K$15)*(产出与消耗!$K$15-产出与消耗!$K$14)*1.048,0),0)</f>
        <v>7947</v>
      </c>
      <c r="D244" s="9">
        <v>12</v>
      </c>
      <c r="E244">
        <f>ROUND(D244*C244/3600/建筑!I139,2)</f>
        <v>8.83</v>
      </c>
      <c r="F244" s="9">
        <v>13</v>
      </c>
      <c r="G244" s="10">
        <f t="shared" si="128"/>
        <v>103311</v>
      </c>
      <c r="K244" s="9">
        <v>670</v>
      </c>
      <c r="L244" s="10">
        <f t="shared" si="129"/>
        <v>5324490</v>
      </c>
      <c r="M244" s="5">
        <f>ROUND(L244/产出与消耗!S14,4)</f>
        <v>0.23630000000000001</v>
      </c>
      <c r="N244" s="9">
        <v>680</v>
      </c>
      <c r="O244" s="10">
        <f t="shared" si="130"/>
        <v>5403960</v>
      </c>
      <c r="P244" s="5">
        <f>ROUND(O244/产出与消耗!S36,4)</f>
        <v>0.23980000000000001</v>
      </c>
      <c r="Q244" s="9">
        <v>320</v>
      </c>
      <c r="R244" s="10">
        <f t="shared" si="131"/>
        <v>2543040</v>
      </c>
      <c r="S244" s="5">
        <f>ROUND(R244/产出与消耗!S58,4)</f>
        <v>0.13170000000000001</v>
      </c>
      <c r="T244" s="8">
        <f t="shared" si="133"/>
        <v>0.60780000000000001</v>
      </c>
    </row>
    <row r="245" spans="1:20">
      <c r="A245" s="12"/>
      <c r="B245">
        <v>13</v>
      </c>
      <c r="C245">
        <f>MAX(ROUND(C246-(C247-C246)/(产出与消耗!$K$17-产出与消耗!$K$16)*(产出与消耗!$K$16-产出与消耗!$K$15)*1.048,0),0)</f>
        <v>12477</v>
      </c>
      <c r="D245" s="9">
        <v>12</v>
      </c>
      <c r="E245">
        <f>ROUND(D245*C245/3600/建筑!I140,2)</f>
        <v>13.86</v>
      </c>
      <c r="F245" s="9">
        <v>13</v>
      </c>
      <c r="G245" s="10">
        <f t="shared" si="128"/>
        <v>162201</v>
      </c>
      <c r="K245" s="9">
        <v>670</v>
      </c>
      <c r="L245" s="10">
        <f t="shared" si="129"/>
        <v>8359590</v>
      </c>
      <c r="M245" s="5">
        <f>ROUND(L245/产出与消耗!S15,4)</f>
        <v>0.19139999999999999</v>
      </c>
      <c r="N245" s="9">
        <v>680</v>
      </c>
      <c r="O245" s="10">
        <f t="shared" si="130"/>
        <v>8484360</v>
      </c>
      <c r="P245" s="5">
        <f>ROUND(O245/产出与消耗!S37,4)</f>
        <v>0.19420000000000001</v>
      </c>
      <c r="Q245" s="9">
        <v>320</v>
      </c>
      <c r="R245" s="10">
        <f t="shared" si="131"/>
        <v>3992640</v>
      </c>
      <c r="S245" s="5">
        <f>ROUND(R245/产出与消耗!S59,4)</f>
        <v>0.1066</v>
      </c>
      <c r="T245" s="8">
        <f t="shared" si="133"/>
        <v>0.49219999999999997</v>
      </c>
    </row>
    <row r="246" spans="1:20">
      <c r="A246" s="17" t="s">
        <v>196</v>
      </c>
      <c r="B246">
        <v>14</v>
      </c>
      <c r="C246">
        <f>MAX(ROUND(C247-(C248-C247)/(产出与消耗!$K$18-产出与消耗!$K$17)*(产出与消耗!$K$17-产出与消耗!$K$16)*1.048,0),0)</f>
        <v>16352</v>
      </c>
      <c r="D246" s="9">
        <v>12</v>
      </c>
      <c r="E246">
        <f>ROUND(D246*C246/3600/建筑!I141,2)</f>
        <v>18.170000000000002</v>
      </c>
      <c r="F246" s="9">
        <v>13</v>
      </c>
      <c r="G246" s="10">
        <f t="shared" si="128"/>
        <v>212576</v>
      </c>
      <c r="K246" s="9">
        <v>670</v>
      </c>
      <c r="L246" s="10">
        <f t="shared" si="129"/>
        <v>10955840</v>
      </c>
      <c r="M246" s="5">
        <f>ROUND(L246/产出与消耗!S16,4)</f>
        <v>0.1201</v>
      </c>
      <c r="N246" s="9">
        <v>680</v>
      </c>
      <c r="O246" s="10">
        <f t="shared" si="130"/>
        <v>11119360</v>
      </c>
      <c r="P246" s="5">
        <f>ROUND(O246/产出与消耗!S38,4)</f>
        <v>0.12189999999999999</v>
      </c>
      <c r="Q246" s="9">
        <v>320</v>
      </c>
      <c r="R246" s="10">
        <f t="shared" si="131"/>
        <v>5232640</v>
      </c>
      <c r="S246" s="5">
        <f>ROUND(R246/产出与消耗!S60,4)</f>
        <v>6.6900000000000001E-2</v>
      </c>
      <c r="T246" s="8">
        <f t="shared" si="133"/>
        <v>0.30890000000000001</v>
      </c>
    </row>
    <row r="247" spans="1:20">
      <c r="B247">
        <v>15</v>
      </c>
      <c r="C247">
        <f>MAX(ROUND(C248-(C249-C248)/(产出与消耗!$K$19-产出与消耗!$K$18)*(产出与消耗!$K$18-产出与消耗!$K$17)*1.048,0),0)</f>
        <v>20618</v>
      </c>
      <c r="D247" s="9">
        <v>12</v>
      </c>
      <c r="E247">
        <f>ROUND(D247*C247/3600/建筑!I142,2)</f>
        <v>22.91</v>
      </c>
      <c r="F247" s="9">
        <v>13</v>
      </c>
      <c r="G247" s="10">
        <f t="shared" si="128"/>
        <v>268034</v>
      </c>
      <c r="K247" s="9">
        <v>670</v>
      </c>
      <c r="L247" s="10">
        <f t="shared" si="129"/>
        <v>13814060</v>
      </c>
      <c r="M247" s="5">
        <f>ROUND(L247/产出与消耗!S17,4)</f>
        <v>9.2299999999999993E-2</v>
      </c>
      <c r="N247" s="9">
        <v>680</v>
      </c>
      <c r="O247" s="10">
        <f t="shared" si="130"/>
        <v>14020240</v>
      </c>
      <c r="P247" s="5">
        <f>ROUND(O247/产出与消耗!S39,4)</f>
        <v>9.3700000000000006E-2</v>
      </c>
      <c r="Q247" s="9">
        <v>320</v>
      </c>
      <c r="R247" s="10">
        <f t="shared" si="131"/>
        <v>6597760</v>
      </c>
      <c r="S247" s="5">
        <f>ROUND(R247/产出与消耗!S61,4)</f>
        <v>5.1400000000000001E-2</v>
      </c>
      <c r="T247" s="8">
        <f t="shared" si="133"/>
        <v>0.2374</v>
      </c>
    </row>
    <row r="248" spans="1:20">
      <c r="B248">
        <v>16</v>
      </c>
      <c r="C248">
        <f>MAX(ROUND(C249-(C250-C249)/(产出与消耗!$K$20-产出与消耗!$K$19)*(产出与消耗!$K$19-产出与消耗!$K$18)*1.048,0),0)</f>
        <v>24689</v>
      </c>
      <c r="D248" s="9">
        <v>12</v>
      </c>
      <c r="E248">
        <f>ROUND(D248*C248/3600/建筑!I143,2)</f>
        <v>20.57</v>
      </c>
      <c r="F248" s="9">
        <v>13</v>
      </c>
      <c r="G248" s="10">
        <f t="shared" si="128"/>
        <v>320957</v>
      </c>
      <c r="K248" s="9">
        <v>670</v>
      </c>
      <c r="L248" s="10">
        <f t="shared" si="129"/>
        <v>16541630</v>
      </c>
      <c r="M248" s="5">
        <f>ROUND(L248/产出与消耗!S18,4)</f>
        <v>6.0900000000000003E-2</v>
      </c>
      <c r="N248" s="9">
        <v>680</v>
      </c>
      <c r="O248" s="10">
        <f t="shared" si="130"/>
        <v>16788520</v>
      </c>
      <c r="P248" s="5">
        <f>ROUND(O248/产出与消耗!S40,4)</f>
        <v>6.1800000000000001E-2</v>
      </c>
      <c r="Q248" s="9">
        <v>320</v>
      </c>
      <c r="R248" s="10">
        <f t="shared" si="131"/>
        <v>7900480</v>
      </c>
      <c r="S248" s="5">
        <f>ROUND(R248/产出与消耗!S62,4)</f>
        <v>3.39E-2</v>
      </c>
      <c r="T248" s="8">
        <f t="shared" si="133"/>
        <v>0.15660000000000002</v>
      </c>
    </row>
    <row r="249" spans="1:20">
      <c r="B249">
        <v>17</v>
      </c>
      <c r="C249">
        <f>MAX(ROUND(C250-(C251-C250)/(产出与消耗!$K$21-产出与消耗!$K$20)*(产出与消耗!$K$20-产出与消耗!$K$19)*1.048,0),0)</f>
        <v>28962</v>
      </c>
      <c r="D249" s="9">
        <v>12</v>
      </c>
      <c r="E249">
        <f>ROUND(D249*C249/3600/建筑!I144,2)</f>
        <v>24.14</v>
      </c>
      <c r="F249" s="9">
        <v>13</v>
      </c>
      <c r="G249" s="10">
        <f t="shared" si="128"/>
        <v>376506</v>
      </c>
      <c r="K249" s="9">
        <v>670</v>
      </c>
      <c r="L249" s="10">
        <f t="shared" si="129"/>
        <v>19404540</v>
      </c>
      <c r="M249" s="5">
        <f>ROUND(L249/产出与消耗!S19,4)</f>
        <v>4.7800000000000002E-2</v>
      </c>
      <c r="N249" s="9">
        <v>680</v>
      </c>
      <c r="O249" s="10">
        <f t="shared" si="130"/>
        <v>19694160</v>
      </c>
      <c r="P249" s="5">
        <f>ROUND(O249/产出与消耗!S41,4)</f>
        <v>4.8500000000000001E-2</v>
      </c>
      <c r="Q249" s="9">
        <v>320</v>
      </c>
      <c r="R249" s="10">
        <f t="shared" si="131"/>
        <v>9267840</v>
      </c>
      <c r="S249" s="5">
        <f>ROUND(R249/产出与消耗!S63,4)</f>
        <v>2.6599999999999999E-2</v>
      </c>
      <c r="T249" s="8">
        <f t="shared" si="133"/>
        <v>0.1229</v>
      </c>
    </row>
    <row r="250" spans="1:20">
      <c r="B250">
        <v>18</v>
      </c>
      <c r="C250">
        <f>MAX(ROUND(C251-(C252-C251)/(产出与消耗!$K$22-产出与消耗!$K$21)*(产出与消耗!$K$21-产出与消耗!$K$20)*1.048,0),0)</f>
        <v>33534</v>
      </c>
      <c r="D250" s="9">
        <v>12</v>
      </c>
      <c r="E250">
        <f>ROUND(D250*C250/3600/建筑!I145,2)</f>
        <v>27.95</v>
      </c>
      <c r="F250" s="9">
        <v>13</v>
      </c>
      <c r="G250" s="10">
        <f t="shared" si="128"/>
        <v>435942</v>
      </c>
      <c r="K250" s="9">
        <v>670</v>
      </c>
      <c r="L250" s="10">
        <f t="shared" si="129"/>
        <v>22467780</v>
      </c>
      <c r="M250" s="5">
        <f>ROUND(L250/产出与消耗!S20,4)</f>
        <v>3.3099999999999997E-2</v>
      </c>
      <c r="N250" s="9">
        <v>680</v>
      </c>
      <c r="O250" s="10">
        <f t="shared" si="130"/>
        <v>22803120</v>
      </c>
      <c r="P250" s="5">
        <f>ROUND(O250/产出与消耗!S42,4)</f>
        <v>3.3599999999999998E-2</v>
      </c>
      <c r="Q250" s="9">
        <v>320</v>
      </c>
      <c r="R250" s="10">
        <f t="shared" si="131"/>
        <v>10730880</v>
      </c>
      <c r="S250" s="5">
        <f>ROUND(R250/产出与消耗!S64,4)</f>
        <v>1.8499999999999999E-2</v>
      </c>
      <c r="T250" s="8">
        <f t="shared" si="133"/>
        <v>8.5199999999999998E-2</v>
      </c>
    </row>
    <row r="251" spans="1:20">
      <c r="A251" s="18" t="s">
        <v>197</v>
      </c>
      <c r="B251">
        <v>19</v>
      </c>
      <c r="C251">
        <f>ROUND(产出与消耗!$K$21*C252/产出与消耗!$K$22,0)</f>
        <v>38250</v>
      </c>
      <c r="D251" s="9">
        <v>12</v>
      </c>
      <c r="E251">
        <f>ROUND(D251*C251/3600/建筑!I146,2)</f>
        <v>31.88</v>
      </c>
      <c r="F251" s="9">
        <v>13</v>
      </c>
      <c r="G251" s="10">
        <f t="shared" si="128"/>
        <v>497250</v>
      </c>
      <c r="K251" s="9">
        <v>670</v>
      </c>
      <c r="L251" s="10">
        <f t="shared" si="129"/>
        <v>25627500</v>
      </c>
      <c r="M251" s="5">
        <f>ROUND(L251/产出与消耗!S21,4)</f>
        <v>2.3599999999999999E-2</v>
      </c>
      <c r="N251" s="9">
        <v>680</v>
      </c>
      <c r="O251" s="10">
        <f t="shared" si="130"/>
        <v>26010000</v>
      </c>
      <c r="P251" s="5">
        <f>ROUND(O251/产出与消耗!S43,4)</f>
        <v>2.4E-2</v>
      </c>
      <c r="Q251" s="9">
        <v>320</v>
      </c>
      <c r="R251" s="10">
        <f t="shared" si="131"/>
        <v>12240000</v>
      </c>
      <c r="S251" s="5">
        <f>ROUND(R251/产出与消耗!S65,4)</f>
        <v>1.32E-2</v>
      </c>
      <c r="T251" s="8">
        <f t="shared" si="133"/>
        <v>6.0800000000000007E-2</v>
      </c>
    </row>
    <row r="252" spans="1:20">
      <c r="B252">
        <v>20</v>
      </c>
      <c r="C252">
        <v>45000</v>
      </c>
      <c r="D252" s="9">
        <v>12</v>
      </c>
      <c r="E252">
        <f>ROUND(D252*C252/3600/建筑!I147,2)</f>
        <v>30</v>
      </c>
      <c r="F252" s="9">
        <v>13</v>
      </c>
      <c r="G252" s="10">
        <f t="shared" si="128"/>
        <v>585000</v>
      </c>
      <c r="K252" s="9">
        <v>670</v>
      </c>
      <c r="L252" s="10">
        <f t="shared" si="129"/>
        <v>30150000</v>
      </c>
      <c r="M252" s="5">
        <f>ROUND(L252/产出与消耗!S22,4)</f>
        <v>1.7299999999999999E-2</v>
      </c>
      <c r="N252" s="9">
        <v>680</v>
      </c>
      <c r="O252" s="10">
        <f t="shared" si="130"/>
        <v>30600000</v>
      </c>
      <c r="P252" s="5">
        <f>ROUND(O252/产出与消耗!S44,4)</f>
        <v>1.7500000000000002E-2</v>
      </c>
      <c r="Q252" s="9">
        <v>320</v>
      </c>
      <c r="R252" s="10">
        <f t="shared" si="131"/>
        <v>14400000</v>
      </c>
      <c r="S252" s="5">
        <f>ROUND(R252/产出与消耗!S66,4)</f>
        <v>9.5999999999999992E-3</v>
      </c>
      <c r="T252" s="8">
        <f t="shared" si="133"/>
        <v>4.4399999999999995E-2</v>
      </c>
    </row>
  </sheetData>
  <phoneticPr fontId="8" type="noConversion"/>
  <pageMargins left="0.69930555555555596" right="0.69930555555555596" top="0.75" bottom="0.75" header="0.3" footer="0.3"/>
  <pageSetup paperSize="9" orientation="portrait"/>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tabSelected="1" workbookViewId="0"/>
  </sheetViews>
  <sheetFormatPr defaultColWidth="9" defaultRowHeight="13.5"/>
  <sheetData/>
  <phoneticPr fontId="8" type="noConversion"/>
  <pageMargins left="0.69930555555555596" right="0.69930555555555596" top="0.75" bottom="0.75" header="0.3" footer="0.3"/>
  <pageSetup paperSize="9"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Y410"/>
  <sheetViews>
    <sheetView topLeftCell="A70" workbookViewId="0">
      <selection activeCell="H28" sqref="H28"/>
    </sheetView>
  </sheetViews>
  <sheetFormatPr defaultColWidth="9" defaultRowHeight="13.5"/>
  <cols>
    <col min="2" max="2" width="10.625" customWidth="1"/>
    <col min="14" max="14" width="10.25" customWidth="1"/>
    <col min="23" max="23" width="8.625" customWidth="1"/>
  </cols>
  <sheetData>
    <row r="1" spans="1:24" s="7" customFormat="1" ht="27">
      <c r="A1" s="7" t="s">
        <v>262</v>
      </c>
      <c r="B1" s="7" t="s">
        <v>103</v>
      </c>
      <c r="C1" s="7" t="s">
        <v>263</v>
      </c>
      <c r="D1" s="7" t="s">
        <v>264</v>
      </c>
      <c r="E1" s="7" t="s">
        <v>265</v>
      </c>
      <c r="F1" s="7" t="s">
        <v>389</v>
      </c>
      <c r="G1" s="7" t="s">
        <v>400</v>
      </c>
      <c r="H1" s="7" t="s">
        <v>1048</v>
      </c>
      <c r="I1" s="7" t="s">
        <v>266</v>
      </c>
      <c r="J1" s="7" t="s">
        <v>1037</v>
      </c>
      <c r="K1" s="7" t="s">
        <v>1038</v>
      </c>
      <c r="L1" s="7" t="s">
        <v>1039</v>
      </c>
      <c r="M1" s="7" t="s">
        <v>1040</v>
      </c>
      <c r="N1" s="7" t="s">
        <v>1041</v>
      </c>
      <c r="O1" s="7" t="s">
        <v>1042</v>
      </c>
      <c r="P1" s="7" t="s">
        <v>267</v>
      </c>
      <c r="Q1" s="7" t="s">
        <v>1049</v>
      </c>
      <c r="R1" s="7" t="s">
        <v>268</v>
      </c>
      <c r="S1" s="7" t="s">
        <v>1050</v>
      </c>
      <c r="T1" s="7" t="s">
        <v>269</v>
      </c>
      <c r="U1" s="7" t="s">
        <v>392</v>
      </c>
      <c r="V1" s="7" t="s">
        <v>358</v>
      </c>
      <c r="W1" s="7" t="s">
        <v>365</v>
      </c>
      <c r="X1" s="7" t="s">
        <v>270</v>
      </c>
    </row>
    <row r="2" spans="1:24">
      <c r="A2">
        <v>1</v>
      </c>
      <c r="B2" t="s">
        <v>385</v>
      </c>
      <c r="C2" s="79">
        <v>40</v>
      </c>
      <c r="D2" s="79">
        <v>70</v>
      </c>
      <c r="E2" s="79">
        <v>30</v>
      </c>
      <c r="F2" s="79">
        <v>50</v>
      </c>
      <c r="G2" s="23">
        <f>SUM(C2:E2)</f>
        <v>140</v>
      </c>
      <c r="H2" s="23">
        <f t="shared" ref="H2:H65" si="0">G2/COUNT(C2:E2)</f>
        <v>46.666666666666664</v>
      </c>
      <c r="I2" s="23">
        <f>SUM(C2:F2)</f>
        <v>190</v>
      </c>
      <c r="J2" s="23">
        <f t="shared" ref="J2:J65" si="1">ROUND(POWER(C2,2.3)/674,4)</f>
        <v>7.1791999999999998</v>
      </c>
      <c r="K2" s="23">
        <f t="shared" ref="K2:K65" si="2">ROUND(POWER(D2,2.3)/674,4)</f>
        <v>26.005500000000001</v>
      </c>
      <c r="L2" s="23">
        <f t="shared" ref="L2:L65" si="3">ROUND(POWER(E2,2.3)/674,4)</f>
        <v>3.7044000000000001</v>
      </c>
      <c r="M2" s="23">
        <f t="shared" ref="M2:M65" si="4">ROUND(POWER(F2,2.3)/674,4)</f>
        <v>11.994199999999999</v>
      </c>
      <c r="N2" s="23">
        <f t="shared" ref="N2:N65" si="5">SUM(J2:L2)</f>
        <v>36.889099999999999</v>
      </c>
      <c r="O2" s="23">
        <f t="shared" ref="O2:O65" si="6">SUM(J2:M2)</f>
        <v>48.883299999999998</v>
      </c>
      <c r="P2">
        <v>1</v>
      </c>
      <c r="Q2">
        <f>commanderStars(N2,P2,FALSE)</f>
        <v>1</v>
      </c>
      <c r="R2">
        <f>commanderStars(O2,P2,TRUE)</f>
        <v>1</v>
      </c>
      <c r="S2">
        <f>R2-Q2</f>
        <v>0</v>
      </c>
      <c r="V2" t="s">
        <v>1043</v>
      </c>
      <c r="X2" t="s">
        <v>386</v>
      </c>
    </row>
    <row r="3" spans="1:24">
      <c r="A3">
        <v>2</v>
      </c>
      <c r="B3" s="12" t="s">
        <v>387</v>
      </c>
      <c r="C3" s="79">
        <v>60</v>
      </c>
      <c r="D3" s="79">
        <v>40</v>
      </c>
      <c r="E3" s="79">
        <v>90</v>
      </c>
      <c r="F3" s="79">
        <v>70</v>
      </c>
      <c r="G3" s="23">
        <f t="shared" ref="G3:G28" si="7">SUM(C3:E3)</f>
        <v>190</v>
      </c>
      <c r="H3" s="23">
        <f t="shared" si="0"/>
        <v>63.333333333333336</v>
      </c>
      <c r="I3" s="23">
        <f t="shared" ref="I3:I28" si="8">SUM(C3:F3)</f>
        <v>260</v>
      </c>
      <c r="J3" s="23">
        <f t="shared" si="1"/>
        <v>18.242699999999999</v>
      </c>
      <c r="K3" s="23">
        <f t="shared" si="2"/>
        <v>7.1791999999999998</v>
      </c>
      <c r="L3" s="23">
        <f t="shared" si="3"/>
        <v>46.3551</v>
      </c>
      <c r="M3" s="23">
        <f t="shared" si="4"/>
        <v>26.005500000000001</v>
      </c>
      <c r="N3" s="23">
        <f t="shared" si="5"/>
        <v>71.777000000000001</v>
      </c>
      <c r="O3" s="23">
        <f t="shared" si="6"/>
        <v>97.782499999999999</v>
      </c>
      <c r="P3">
        <v>1</v>
      </c>
      <c r="Q3">
        <f t="shared" ref="Q3:Q66" si="9">commanderStars(N3,P3,FALSE)</f>
        <v>2</v>
      </c>
      <c r="R3">
        <f t="shared" ref="R3:R66" si="10">commanderStars(O3,P3,TRUE)</f>
        <v>2</v>
      </c>
      <c r="S3">
        <f t="shared" ref="S3:S66" si="11">R3-Q3</f>
        <v>0</v>
      </c>
      <c r="V3" t="s">
        <v>1043</v>
      </c>
    </row>
    <row r="4" spans="1:24">
      <c r="A4">
        <v>3</v>
      </c>
      <c r="B4" s="12" t="s">
        <v>938</v>
      </c>
      <c r="C4" s="79">
        <v>40</v>
      </c>
      <c r="D4" s="79">
        <v>30</v>
      </c>
      <c r="E4" s="79">
        <v>70</v>
      </c>
      <c r="F4" s="79">
        <v>60</v>
      </c>
      <c r="G4" s="23">
        <f t="shared" si="7"/>
        <v>140</v>
      </c>
      <c r="H4" s="23">
        <f t="shared" si="0"/>
        <v>46.666666666666664</v>
      </c>
      <c r="I4" s="23">
        <f t="shared" si="8"/>
        <v>200</v>
      </c>
      <c r="J4" s="23">
        <f t="shared" si="1"/>
        <v>7.1791999999999998</v>
      </c>
      <c r="K4" s="23">
        <f t="shared" si="2"/>
        <v>3.7044000000000001</v>
      </c>
      <c r="L4" s="23">
        <f t="shared" si="3"/>
        <v>26.005500000000001</v>
      </c>
      <c r="M4" s="23">
        <f t="shared" si="4"/>
        <v>18.242699999999999</v>
      </c>
      <c r="N4" s="23">
        <f t="shared" si="5"/>
        <v>36.889099999999999</v>
      </c>
      <c r="O4" s="23">
        <f t="shared" si="6"/>
        <v>55.131799999999998</v>
      </c>
      <c r="P4">
        <v>1</v>
      </c>
      <c r="Q4">
        <f t="shared" si="9"/>
        <v>1</v>
      </c>
      <c r="R4">
        <f t="shared" si="10"/>
        <v>1</v>
      </c>
      <c r="S4">
        <f t="shared" si="11"/>
        <v>0</v>
      </c>
      <c r="U4" t="s">
        <v>393</v>
      </c>
      <c r="V4" t="s">
        <v>1043</v>
      </c>
    </row>
    <row r="5" spans="1:24">
      <c r="A5">
        <v>4</v>
      </c>
      <c r="B5" s="12" t="s">
        <v>939</v>
      </c>
      <c r="C5" s="79">
        <v>80</v>
      </c>
      <c r="D5" s="79">
        <v>60</v>
      </c>
      <c r="E5" s="79">
        <v>50</v>
      </c>
      <c r="F5" s="79">
        <v>60</v>
      </c>
      <c r="G5" s="23">
        <f t="shared" si="7"/>
        <v>190</v>
      </c>
      <c r="H5" s="23">
        <f t="shared" si="0"/>
        <v>63.333333333333336</v>
      </c>
      <c r="I5" s="23">
        <f t="shared" si="8"/>
        <v>250</v>
      </c>
      <c r="J5" s="23">
        <f t="shared" si="1"/>
        <v>35.354700000000001</v>
      </c>
      <c r="K5" s="23">
        <f t="shared" si="2"/>
        <v>18.242699999999999</v>
      </c>
      <c r="L5" s="23">
        <f t="shared" si="3"/>
        <v>11.994199999999999</v>
      </c>
      <c r="M5" s="23">
        <f t="shared" si="4"/>
        <v>18.242699999999999</v>
      </c>
      <c r="N5" s="23">
        <f t="shared" si="5"/>
        <v>65.5916</v>
      </c>
      <c r="O5" s="23">
        <f t="shared" si="6"/>
        <v>83.834299999999999</v>
      </c>
      <c r="P5">
        <v>1</v>
      </c>
      <c r="Q5">
        <f t="shared" si="9"/>
        <v>2</v>
      </c>
      <c r="R5">
        <f t="shared" si="10"/>
        <v>2</v>
      </c>
      <c r="S5">
        <f t="shared" si="11"/>
        <v>0</v>
      </c>
      <c r="V5" t="s">
        <v>1043</v>
      </c>
      <c r="X5" t="s">
        <v>280</v>
      </c>
    </row>
    <row r="6" spans="1:24">
      <c r="A6">
        <v>5</v>
      </c>
      <c r="B6" s="12" t="s">
        <v>940</v>
      </c>
      <c r="C6" s="79">
        <v>60</v>
      </c>
      <c r="D6" s="79">
        <v>40</v>
      </c>
      <c r="E6" s="79">
        <v>90</v>
      </c>
      <c r="F6" s="79">
        <v>100</v>
      </c>
      <c r="G6" s="23">
        <f t="shared" si="7"/>
        <v>190</v>
      </c>
      <c r="H6" s="23">
        <f t="shared" si="0"/>
        <v>63.333333333333336</v>
      </c>
      <c r="I6" s="23">
        <f t="shared" si="8"/>
        <v>290</v>
      </c>
      <c r="J6" s="23">
        <f t="shared" si="1"/>
        <v>18.242699999999999</v>
      </c>
      <c r="K6" s="23">
        <f t="shared" si="2"/>
        <v>7.1791999999999998</v>
      </c>
      <c r="L6" s="23">
        <f t="shared" si="3"/>
        <v>46.3551</v>
      </c>
      <c r="M6" s="23">
        <f t="shared" si="4"/>
        <v>59.066299999999998</v>
      </c>
      <c r="N6" s="23">
        <f t="shared" si="5"/>
        <v>71.777000000000001</v>
      </c>
      <c r="O6" s="23">
        <f t="shared" si="6"/>
        <v>130.8433</v>
      </c>
      <c r="P6">
        <v>1</v>
      </c>
      <c r="Q6">
        <f t="shared" si="9"/>
        <v>2</v>
      </c>
      <c r="R6">
        <f t="shared" si="10"/>
        <v>3</v>
      </c>
      <c r="S6">
        <f t="shared" si="11"/>
        <v>1</v>
      </c>
      <c r="V6" t="s">
        <v>1043</v>
      </c>
    </row>
    <row r="7" spans="1:24">
      <c r="A7">
        <v>6</v>
      </c>
      <c r="B7" s="12" t="s">
        <v>941</v>
      </c>
      <c r="C7" s="79">
        <v>40</v>
      </c>
      <c r="D7" s="79">
        <v>40</v>
      </c>
      <c r="E7" s="79">
        <v>60</v>
      </c>
      <c r="F7" s="79">
        <v>70</v>
      </c>
      <c r="G7" s="23">
        <f t="shared" si="7"/>
        <v>140</v>
      </c>
      <c r="H7" s="23">
        <f t="shared" si="0"/>
        <v>46.666666666666664</v>
      </c>
      <c r="I7" s="23">
        <f t="shared" si="8"/>
        <v>210</v>
      </c>
      <c r="J7" s="23">
        <f t="shared" si="1"/>
        <v>7.1791999999999998</v>
      </c>
      <c r="K7" s="23">
        <f t="shared" si="2"/>
        <v>7.1791999999999998</v>
      </c>
      <c r="L7" s="23">
        <f t="shared" si="3"/>
        <v>18.242699999999999</v>
      </c>
      <c r="M7" s="23">
        <f t="shared" si="4"/>
        <v>26.005500000000001</v>
      </c>
      <c r="N7" s="23">
        <f t="shared" si="5"/>
        <v>32.601100000000002</v>
      </c>
      <c r="O7" s="23">
        <f t="shared" si="6"/>
        <v>58.6066</v>
      </c>
      <c r="P7">
        <v>1</v>
      </c>
      <c r="Q7">
        <f t="shared" si="9"/>
        <v>1</v>
      </c>
      <c r="R7">
        <f t="shared" si="10"/>
        <v>1</v>
      </c>
      <c r="S7">
        <f t="shared" si="11"/>
        <v>0</v>
      </c>
      <c r="V7" t="s">
        <v>1043</v>
      </c>
      <c r="X7" t="s">
        <v>281</v>
      </c>
    </row>
    <row r="8" spans="1:24">
      <c r="A8">
        <v>7</v>
      </c>
      <c r="B8" s="12" t="s">
        <v>942</v>
      </c>
      <c r="C8" s="79">
        <v>70</v>
      </c>
      <c r="D8" s="79">
        <v>90</v>
      </c>
      <c r="E8" s="79">
        <v>60</v>
      </c>
      <c r="F8" s="79">
        <v>60</v>
      </c>
      <c r="G8" s="23">
        <f t="shared" si="7"/>
        <v>220</v>
      </c>
      <c r="H8" s="23">
        <f t="shared" si="0"/>
        <v>73.333333333333329</v>
      </c>
      <c r="I8" s="23">
        <f t="shared" si="8"/>
        <v>280</v>
      </c>
      <c r="J8" s="23">
        <f t="shared" si="1"/>
        <v>26.005500000000001</v>
      </c>
      <c r="K8" s="23">
        <f t="shared" si="2"/>
        <v>46.3551</v>
      </c>
      <c r="L8" s="23">
        <f t="shared" si="3"/>
        <v>18.242699999999999</v>
      </c>
      <c r="M8" s="23">
        <f t="shared" si="4"/>
        <v>18.242699999999999</v>
      </c>
      <c r="N8" s="23">
        <f t="shared" si="5"/>
        <v>90.603300000000004</v>
      </c>
      <c r="O8" s="23">
        <f t="shared" si="6"/>
        <v>108.846</v>
      </c>
      <c r="P8">
        <v>1</v>
      </c>
      <c r="Q8">
        <f t="shared" si="9"/>
        <v>3</v>
      </c>
      <c r="R8">
        <f t="shared" si="10"/>
        <v>2</v>
      </c>
      <c r="S8">
        <f t="shared" si="11"/>
        <v>-1</v>
      </c>
      <c r="V8" t="s">
        <v>1043</v>
      </c>
      <c r="X8" t="s">
        <v>282</v>
      </c>
    </row>
    <row r="9" spans="1:24">
      <c r="A9">
        <v>8</v>
      </c>
      <c r="B9" s="12" t="s">
        <v>943</v>
      </c>
      <c r="C9" s="79">
        <v>75</v>
      </c>
      <c r="D9" s="79">
        <v>80</v>
      </c>
      <c r="E9" s="79">
        <v>40</v>
      </c>
      <c r="F9" s="79">
        <v>60</v>
      </c>
      <c r="G9" s="23">
        <f t="shared" si="7"/>
        <v>195</v>
      </c>
      <c r="H9" s="23">
        <f t="shared" si="0"/>
        <v>65</v>
      </c>
      <c r="I9" s="23">
        <f t="shared" si="8"/>
        <v>255</v>
      </c>
      <c r="J9" s="23">
        <f t="shared" si="1"/>
        <v>30.477599999999999</v>
      </c>
      <c r="K9" s="23">
        <f t="shared" si="2"/>
        <v>35.354700000000001</v>
      </c>
      <c r="L9" s="23">
        <f t="shared" si="3"/>
        <v>7.1791999999999998</v>
      </c>
      <c r="M9" s="23">
        <f t="shared" si="4"/>
        <v>18.242699999999999</v>
      </c>
      <c r="N9" s="23">
        <f t="shared" si="5"/>
        <v>73.011499999999998</v>
      </c>
      <c r="O9" s="23">
        <f t="shared" si="6"/>
        <v>91.254199999999997</v>
      </c>
      <c r="P9">
        <v>1</v>
      </c>
      <c r="Q9">
        <f t="shared" si="9"/>
        <v>2</v>
      </c>
      <c r="R9">
        <f t="shared" si="10"/>
        <v>2</v>
      </c>
      <c r="S9">
        <f t="shared" si="11"/>
        <v>0</v>
      </c>
      <c r="V9" t="s">
        <v>1043</v>
      </c>
      <c r="W9" t="s">
        <v>367</v>
      </c>
      <c r="X9" t="s">
        <v>363</v>
      </c>
    </row>
    <row r="10" spans="1:24">
      <c r="A10">
        <v>9</v>
      </c>
      <c r="B10" s="12" t="s">
        <v>944</v>
      </c>
      <c r="C10" s="79">
        <v>85</v>
      </c>
      <c r="D10" s="79">
        <v>90</v>
      </c>
      <c r="E10" s="79">
        <v>50</v>
      </c>
      <c r="F10" s="79">
        <v>40</v>
      </c>
      <c r="G10" s="23">
        <f t="shared" si="7"/>
        <v>225</v>
      </c>
      <c r="H10" s="23">
        <f t="shared" si="0"/>
        <v>75</v>
      </c>
      <c r="I10" s="23">
        <f t="shared" si="8"/>
        <v>265</v>
      </c>
      <c r="J10" s="23">
        <f t="shared" si="1"/>
        <v>40.6447</v>
      </c>
      <c r="K10" s="23">
        <f t="shared" si="2"/>
        <v>46.3551</v>
      </c>
      <c r="L10" s="23">
        <f t="shared" si="3"/>
        <v>11.994199999999999</v>
      </c>
      <c r="M10" s="23">
        <f t="shared" si="4"/>
        <v>7.1791999999999998</v>
      </c>
      <c r="N10" s="23">
        <f t="shared" si="5"/>
        <v>98.994</v>
      </c>
      <c r="O10" s="23">
        <f t="shared" si="6"/>
        <v>106.17319999999999</v>
      </c>
      <c r="P10">
        <v>1</v>
      </c>
      <c r="Q10">
        <f t="shared" si="9"/>
        <v>3</v>
      </c>
      <c r="R10">
        <f t="shared" si="10"/>
        <v>2</v>
      </c>
      <c r="S10">
        <f t="shared" si="11"/>
        <v>-1</v>
      </c>
      <c r="V10" t="s">
        <v>1043</v>
      </c>
      <c r="W10" t="s">
        <v>366</v>
      </c>
      <c r="X10" t="s">
        <v>364</v>
      </c>
    </row>
    <row r="11" spans="1:24">
      <c r="A11">
        <v>10</v>
      </c>
      <c r="B11" s="12" t="s">
        <v>945</v>
      </c>
      <c r="C11" s="79">
        <v>100</v>
      </c>
      <c r="D11" s="79">
        <v>55</v>
      </c>
      <c r="E11" s="79">
        <v>90</v>
      </c>
      <c r="F11" s="79">
        <v>130</v>
      </c>
      <c r="G11" s="23">
        <f t="shared" si="7"/>
        <v>245</v>
      </c>
      <c r="H11" s="23">
        <f t="shared" si="0"/>
        <v>81.666666666666671</v>
      </c>
      <c r="I11" s="23">
        <f t="shared" si="8"/>
        <v>375</v>
      </c>
      <c r="J11" s="23">
        <f t="shared" si="1"/>
        <v>59.066299999999998</v>
      </c>
      <c r="K11" s="23">
        <f t="shared" si="2"/>
        <v>14.9339</v>
      </c>
      <c r="L11" s="23">
        <f t="shared" si="3"/>
        <v>46.3551</v>
      </c>
      <c r="M11" s="23">
        <f t="shared" si="4"/>
        <v>107.9965</v>
      </c>
      <c r="N11" s="23">
        <f t="shared" si="5"/>
        <v>120.3553</v>
      </c>
      <c r="O11" s="23">
        <f t="shared" si="6"/>
        <v>228.3518</v>
      </c>
      <c r="P11">
        <v>1</v>
      </c>
      <c r="Q11">
        <f t="shared" si="9"/>
        <v>3</v>
      </c>
      <c r="R11">
        <f t="shared" si="10"/>
        <v>4</v>
      </c>
      <c r="S11">
        <f t="shared" si="11"/>
        <v>1</v>
      </c>
      <c r="V11" t="s">
        <v>1043</v>
      </c>
      <c r="W11" t="s">
        <v>384</v>
      </c>
      <c r="X11" t="s">
        <v>383</v>
      </c>
    </row>
    <row r="12" spans="1:24" s="12" customFormat="1">
      <c r="A12">
        <v>11</v>
      </c>
      <c r="B12" s="12" t="s">
        <v>946</v>
      </c>
      <c r="C12" s="79">
        <v>40</v>
      </c>
      <c r="D12" s="79">
        <v>50</v>
      </c>
      <c r="E12" s="79">
        <v>40</v>
      </c>
      <c r="F12" s="79">
        <v>30</v>
      </c>
      <c r="G12" s="23">
        <f t="shared" si="7"/>
        <v>130</v>
      </c>
      <c r="H12" s="23">
        <f t="shared" si="0"/>
        <v>43.333333333333336</v>
      </c>
      <c r="I12" s="23">
        <f t="shared" si="8"/>
        <v>160</v>
      </c>
      <c r="J12" s="23">
        <f t="shared" si="1"/>
        <v>7.1791999999999998</v>
      </c>
      <c r="K12" s="23">
        <f t="shared" si="2"/>
        <v>11.994199999999999</v>
      </c>
      <c r="L12" s="23">
        <f t="shared" si="3"/>
        <v>7.1791999999999998</v>
      </c>
      <c r="M12" s="23">
        <f t="shared" si="4"/>
        <v>3.7044000000000001</v>
      </c>
      <c r="N12" s="23">
        <f t="shared" si="5"/>
        <v>26.352600000000002</v>
      </c>
      <c r="O12" s="23">
        <f t="shared" si="6"/>
        <v>30.057000000000002</v>
      </c>
      <c r="P12">
        <v>1</v>
      </c>
      <c r="Q12">
        <f t="shared" si="9"/>
        <v>1</v>
      </c>
      <c r="R12">
        <f t="shared" si="10"/>
        <v>1</v>
      </c>
      <c r="S12">
        <f t="shared" si="11"/>
        <v>0</v>
      </c>
      <c r="V12" t="s">
        <v>1043</v>
      </c>
      <c r="X12" s="12" t="s">
        <v>359</v>
      </c>
    </row>
    <row r="13" spans="1:24" s="12" customFormat="1">
      <c r="A13">
        <v>12</v>
      </c>
      <c r="B13" s="12" t="s">
        <v>947</v>
      </c>
      <c r="C13" s="79">
        <v>80</v>
      </c>
      <c r="D13" s="79">
        <v>60</v>
      </c>
      <c r="E13" s="79">
        <v>60</v>
      </c>
      <c r="F13" s="79">
        <v>80</v>
      </c>
      <c r="G13" s="23">
        <f t="shared" si="7"/>
        <v>200</v>
      </c>
      <c r="H13" s="23">
        <f t="shared" si="0"/>
        <v>66.666666666666671</v>
      </c>
      <c r="I13" s="23">
        <f t="shared" si="8"/>
        <v>280</v>
      </c>
      <c r="J13" s="23">
        <f t="shared" si="1"/>
        <v>35.354700000000001</v>
      </c>
      <c r="K13" s="23">
        <f t="shared" si="2"/>
        <v>18.242699999999999</v>
      </c>
      <c r="L13" s="23">
        <f t="shared" si="3"/>
        <v>18.242699999999999</v>
      </c>
      <c r="M13" s="23">
        <f t="shared" si="4"/>
        <v>35.354700000000001</v>
      </c>
      <c r="N13" s="23">
        <f t="shared" si="5"/>
        <v>71.840100000000007</v>
      </c>
      <c r="O13" s="23">
        <f t="shared" si="6"/>
        <v>107.19480000000001</v>
      </c>
      <c r="P13">
        <v>1</v>
      </c>
      <c r="Q13">
        <f t="shared" si="9"/>
        <v>2</v>
      </c>
      <c r="R13">
        <f t="shared" si="10"/>
        <v>2</v>
      </c>
      <c r="S13">
        <f t="shared" si="11"/>
        <v>0</v>
      </c>
      <c r="V13" t="s">
        <v>1043</v>
      </c>
      <c r="W13" s="12" t="s">
        <v>368</v>
      </c>
      <c r="X13" s="12" t="s">
        <v>360</v>
      </c>
    </row>
    <row r="14" spans="1:24" s="12" customFormat="1">
      <c r="A14">
        <v>13</v>
      </c>
      <c r="B14" s="12" t="s">
        <v>948</v>
      </c>
      <c r="C14" s="79">
        <v>60</v>
      </c>
      <c r="D14" s="79">
        <v>50</v>
      </c>
      <c r="E14" s="79">
        <v>85</v>
      </c>
      <c r="F14" s="79">
        <v>80</v>
      </c>
      <c r="G14" s="23">
        <f t="shared" si="7"/>
        <v>195</v>
      </c>
      <c r="H14" s="23">
        <f t="shared" si="0"/>
        <v>65</v>
      </c>
      <c r="I14" s="23">
        <f t="shared" si="8"/>
        <v>275</v>
      </c>
      <c r="J14" s="23">
        <f t="shared" si="1"/>
        <v>18.242699999999999</v>
      </c>
      <c r="K14" s="23">
        <f t="shared" si="2"/>
        <v>11.994199999999999</v>
      </c>
      <c r="L14" s="23">
        <f t="shared" si="3"/>
        <v>40.6447</v>
      </c>
      <c r="M14" s="23">
        <f t="shared" si="4"/>
        <v>35.354700000000001</v>
      </c>
      <c r="N14" s="23">
        <f t="shared" si="5"/>
        <v>70.881599999999992</v>
      </c>
      <c r="O14" s="23">
        <f t="shared" si="6"/>
        <v>106.2363</v>
      </c>
      <c r="P14">
        <v>1</v>
      </c>
      <c r="Q14">
        <f t="shared" si="9"/>
        <v>2</v>
      </c>
      <c r="R14">
        <f t="shared" si="10"/>
        <v>2</v>
      </c>
      <c r="S14">
        <f t="shared" si="11"/>
        <v>0</v>
      </c>
      <c r="V14" t="s">
        <v>1043</v>
      </c>
      <c r="W14" s="12" t="s">
        <v>369</v>
      </c>
      <c r="X14" s="12" t="s">
        <v>361</v>
      </c>
    </row>
    <row r="15" spans="1:24" s="12" customFormat="1">
      <c r="A15">
        <v>14</v>
      </c>
      <c r="B15" s="12" t="s">
        <v>949</v>
      </c>
      <c r="C15" s="79">
        <v>75</v>
      </c>
      <c r="D15" s="79">
        <v>60</v>
      </c>
      <c r="E15" s="79">
        <v>80</v>
      </c>
      <c r="F15" s="79">
        <v>70</v>
      </c>
      <c r="G15" s="23">
        <f t="shared" si="7"/>
        <v>215</v>
      </c>
      <c r="H15" s="23">
        <f t="shared" si="0"/>
        <v>71.666666666666671</v>
      </c>
      <c r="I15" s="23">
        <f t="shared" si="8"/>
        <v>285</v>
      </c>
      <c r="J15" s="23">
        <f t="shared" si="1"/>
        <v>30.477599999999999</v>
      </c>
      <c r="K15" s="23">
        <f t="shared" si="2"/>
        <v>18.242699999999999</v>
      </c>
      <c r="L15" s="23">
        <f t="shared" si="3"/>
        <v>35.354700000000001</v>
      </c>
      <c r="M15" s="23">
        <f t="shared" si="4"/>
        <v>26.005500000000001</v>
      </c>
      <c r="N15" s="23">
        <f t="shared" si="5"/>
        <v>84.074999999999989</v>
      </c>
      <c r="O15" s="23">
        <f t="shared" si="6"/>
        <v>110.08049999999999</v>
      </c>
      <c r="P15">
        <v>1</v>
      </c>
      <c r="Q15">
        <f t="shared" si="9"/>
        <v>2</v>
      </c>
      <c r="R15">
        <f t="shared" si="10"/>
        <v>2</v>
      </c>
      <c r="S15">
        <f t="shared" si="11"/>
        <v>0</v>
      </c>
      <c r="V15" t="s">
        <v>1043</v>
      </c>
      <c r="W15" s="12" t="s">
        <v>370</v>
      </c>
      <c r="X15" s="12" t="s">
        <v>362</v>
      </c>
    </row>
    <row r="16" spans="1:24" s="12" customFormat="1">
      <c r="A16">
        <v>15</v>
      </c>
      <c r="B16" s="12" t="s">
        <v>371</v>
      </c>
      <c r="C16" s="79">
        <v>80</v>
      </c>
      <c r="D16" s="79">
        <v>80</v>
      </c>
      <c r="E16" s="79">
        <v>40</v>
      </c>
      <c r="F16" s="79">
        <v>90</v>
      </c>
      <c r="G16" s="23">
        <f t="shared" si="7"/>
        <v>200</v>
      </c>
      <c r="H16" s="23">
        <f t="shared" si="0"/>
        <v>66.666666666666671</v>
      </c>
      <c r="I16" s="23">
        <f t="shared" si="8"/>
        <v>290</v>
      </c>
      <c r="J16" s="23">
        <f t="shared" si="1"/>
        <v>35.354700000000001</v>
      </c>
      <c r="K16" s="23">
        <f t="shared" si="2"/>
        <v>35.354700000000001</v>
      </c>
      <c r="L16" s="23">
        <f t="shared" si="3"/>
        <v>7.1791999999999998</v>
      </c>
      <c r="M16" s="23">
        <f t="shared" si="4"/>
        <v>46.3551</v>
      </c>
      <c r="N16" s="23">
        <f t="shared" si="5"/>
        <v>77.888599999999997</v>
      </c>
      <c r="O16" s="23">
        <f t="shared" si="6"/>
        <v>124.24369999999999</v>
      </c>
      <c r="P16">
        <v>1</v>
      </c>
      <c r="Q16">
        <f t="shared" si="9"/>
        <v>2</v>
      </c>
      <c r="R16">
        <f t="shared" si="10"/>
        <v>3</v>
      </c>
      <c r="S16">
        <f t="shared" si="11"/>
        <v>1</v>
      </c>
      <c r="V16" t="s">
        <v>1043</v>
      </c>
      <c r="W16" s="12" t="s">
        <v>373</v>
      </c>
      <c r="X16" s="12" t="s">
        <v>372</v>
      </c>
    </row>
    <row r="17" spans="1:24" s="12" customFormat="1">
      <c r="A17">
        <v>16</v>
      </c>
      <c r="B17" s="12" t="s">
        <v>374</v>
      </c>
      <c r="C17" s="79">
        <v>80</v>
      </c>
      <c r="D17" s="79">
        <v>40</v>
      </c>
      <c r="E17" s="79">
        <v>80</v>
      </c>
      <c r="F17" s="79">
        <v>110</v>
      </c>
      <c r="G17" s="23">
        <f t="shared" si="7"/>
        <v>200</v>
      </c>
      <c r="H17" s="23">
        <f t="shared" si="0"/>
        <v>66.666666666666671</v>
      </c>
      <c r="I17" s="23">
        <f t="shared" si="8"/>
        <v>310</v>
      </c>
      <c r="J17" s="23">
        <f t="shared" si="1"/>
        <v>35.354700000000001</v>
      </c>
      <c r="K17" s="23">
        <f t="shared" si="2"/>
        <v>7.1791999999999998</v>
      </c>
      <c r="L17" s="23">
        <f t="shared" si="3"/>
        <v>35.354700000000001</v>
      </c>
      <c r="M17" s="23">
        <f t="shared" si="4"/>
        <v>73.543300000000002</v>
      </c>
      <c r="N17" s="23">
        <f t="shared" si="5"/>
        <v>77.888599999999997</v>
      </c>
      <c r="O17" s="23">
        <f t="shared" si="6"/>
        <v>151.43189999999998</v>
      </c>
      <c r="P17">
        <v>1</v>
      </c>
      <c r="Q17">
        <f t="shared" si="9"/>
        <v>2</v>
      </c>
      <c r="R17">
        <f t="shared" si="10"/>
        <v>3</v>
      </c>
      <c r="S17">
        <f t="shared" si="11"/>
        <v>1</v>
      </c>
      <c r="V17" t="s">
        <v>1043</v>
      </c>
      <c r="W17" s="12" t="s">
        <v>376</v>
      </c>
      <c r="X17" s="12" t="s">
        <v>375</v>
      </c>
    </row>
    <row r="18" spans="1:24" s="12" customFormat="1">
      <c r="A18">
        <v>17</v>
      </c>
      <c r="B18" s="12" t="s">
        <v>377</v>
      </c>
      <c r="C18" s="79">
        <v>100</v>
      </c>
      <c r="D18" s="79">
        <v>130</v>
      </c>
      <c r="E18" s="79">
        <v>60</v>
      </c>
      <c r="F18" s="79">
        <v>70</v>
      </c>
      <c r="G18" s="23">
        <f t="shared" si="7"/>
        <v>290</v>
      </c>
      <c r="H18" s="23">
        <f t="shared" si="0"/>
        <v>96.666666666666671</v>
      </c>
      <c r="I18" s="23">
        <f t="shared" si="8"/>
        <v>360</v>
      </c>
      <c r="J18" s="23">
        <f t="shared" si="1"/>
        <v>59.066299999999998</v>
      </c>
      <c r="K18" s="23">
        <f t="shared" si="2"/>
        <v>107.9965</v>
      </c>
      <c r="L18" s="23">
        <f t="shared" si="3"/>
        <v>18.242699999999999</v>
      </c>
      <c r="M18" s="23">
        <f t="shared" si="4"/>
        <v>26.005500000000001</v>
      </c>
      <c r="N18" s="23">
        <f t="shared" si="5"/>
        <v>185.30549999999999</v>
      </c>
      <c r="O18" s="23">
        <f t="shared" si="6"/>
        <v>211.31100000000001</v>
      </c>
      <c r="P18">
        <v>1</v>
      </c>
      <c r="Q18">
        <f t="shared" si="9"/>
        <v>5</v>
      </c>
      <c r="R18">
        <f t="shared" si="10"/>
        <v>4</v>
      </c>
      <c r="S18">
        <f t="shared" si="11"/>
        <v>-1</v>
      </c>
      <c r="V18" t="s">
        <v>1043</v>
      </c>
      <c r="W18" s="12" t="s">
        <v>379</v>
      </c>
      <c r="X18" s="12" t="s">
        <v>378</v>
      </c>
    </row>
    <row r="19" spans="1:24" s="12" customFormat="1">
      <c r="A19">
        <v>18</v>
      </c>
      <c r="B19" s="12" t="s">
        <v>380</v>
      </c>
      <c r="C19" s="79">
        <v>100</v>
      </c>
      <c r="D19" s="79">
        <v>80</v>
      </c>
      <c r="E19" s="79">
        <v>80</v>
      </c>
      <c r="F19" s="79">
        <v>110</v>
      </c>
      <c r="G19" s="23">
        <f t="shared" si="7"/>
        <v>260</v>
      </c>
      <c r="H19" s="23">
        <f t="shared" si="0"/>
        <v>86.666666666666671</v>
      </c>
      <c r="I19" s="23">
        <f t="shared" si="8"/>
        <v>370</v>
      </c>
      <c r="J19" s="23">
        <f t="shared" si="1"/>
        <v>59.066299999999998</v>
      </c>
      <c r="K19" s="23">
        <f t="shared" si="2"/>
        <v>35.354700000000001</v>
      </c>
      <c r="L19" s="23">
        <f t="shared" si="3"/>
        <v>35.354700000000001</v>
      </c>
      <c r="M19" s="23">
        <f t="shared" si="4"/>
        <v>73.543300000000002</v>
      </c>
      <c r="N19" s="23">
        <f t="shared" si="5"/>
        <v>129.7757</v>
      </c>
      <c r="O19" s="23">
        <f t="shared" si="6"/>
        <v>203.31900000000002</v>
      </c>
      <c r="P19">
        <v>1</v>
      </c>
      <c r="Q19">
        <f t="shared" si="9"/>
        <v>3</v>
      </c>
      <c r="R19">
        <f t="shared" si="10"/>
        <v>4</v>
      </c>
      <c r="S19">
        <f t="shared" si="11"/>
        <v>1</v>
      </c>
      <c r="V19" t="s">
        <v>1043</v>
      </c>
      <c r="W19" s="12" t="s">
        <v>382</v>
      </c>
      <c r="X19" s="12" t="s">
        <v>381</v>
      </c>
    </row>
    <row r="20" spans="1:24" s="12" customFormat="1">
      <c r="A20">
        <v>19</v>
      </c>
      <c r="B20" s="12" t="s">
        <v>388</v>
      </c>
      <c r="C20" s="79">
        <v>60</v>
      </c>
      <c r="D20" s="79">
        <v>60</v>
      </c>
      <c r="E20" s="79">
        <v>100</v>
      </c>
      <c r="F20" s="79">
        <v>60</v>
      </c>
      <c r="G20" s="23">
        <f t="shared" si="7"/>
        <v>220</v>
      </c>
      <c r="H20" s="23">
        <f t="shared" si="0"/>
        <v>73.333333333333329</v>
      </c>
      <c r="I20" s="23">
        <f t="shared" si="8"/>
        <v>280</v>
      </c>
      <c r="J20" s="23">
        <f t="shared" si="1"/>
        <v>18.242699999999999</v>
      </c>
      <c r="K20" s="23">
        <f t="shared" si="2"/>
        <v>18.242699999999999</v>
      </c>
      <c r="L20" s="23">
        <f t="shared" si="3"/>
        <v>59.066299999999998</v>
      </c>
      <c r="M20" s="23">
        <f t="shared" si="4"/>
        <v>18.242699999999999</v>
      </c>
      <c r="N20" s="23">
        <f t="shared" si="5"/>
        <v>95.551699999999997</v>
      </c>
      <c r="O20" s="23">
        <f t="shared" si="6"/>
        <v>113.7944</v>
      </c>
      <c r="P20">
        <v>1</v>
      </c>
      <c r="Q20">
        <f t="shared" si="9"/>
        <v>3</v>
      </c>
      <c r="R20">
        <f t="shared" si="10"/>
        <v>2</v>
      </c>
      <c r="S20">
        <f t="shared" si="11"/>
        <v>-1</v>
      </c>
      <c r="V20" t="s">
        <v>1043</v>
      </c>
    </row>
    <row r="21" spans="1:24" s="12" customFormat="1">
      <c r="A21">
        <v>20</v>
      </c>
      <c r="B21" s="12" t="s">
        <v>390</v>
      </c>
      <c r="C21" s="79">
        <v>65</v>
      </c>
      <c r="D21" s="79">
        <v>50</v>
      </c>
      <c r="E21" s="79">
        <v>95</v>
      </c>
      <c r="F21" s="79">
        <v>70</v>
      </c>
      <c r="G21" s="23">
        <f t="shared" si="7"/>
        <v>210</v>
      </c>
      <c r="H21" s="23">
        <f t="shared" si="0"/>
        <v>70</v>
      </c>
      <c r="I21" s="23">
        <f t="shared" si="8"/>
        <v>280</v>
      </c>
      <c r="J21" s="23">
        <f t="shared" si="1"/>
        <v>21.930099999999999</v>
      </c>
      <c r="K21" s="23">
        <f t="shared" si="2"/>
        <v>11.994199999999999</v>
      </c>
      <c r="L21" s="23">
        <f t="shared" si="3"/>
        <v>52.493400000000001</v>
      </c>
      <c r="M21" s="23">
        <f t="shared" si="4"/>
        <v>26.005500000000001</v>
      </c>
      <c r="N21" s="23">
        <f t="shared" si="5"/>
        <v>86.417699999999996</v>
      </c>
      <c r="O21" s="23">
        <f t="shared" si="6"/>
        <v>112.42319999999999</v>
      </c>
      <c r="P21">
        <v>1</v>
      </c>
      <c r="Q21">
        <f t="shared" si="9"/>
        <v>2</v>
      </c>
      <c r="R21">
        <f t="shared" si="10"/>
        <v>2</v>
      </c>
      <c r="S21">
        <f t="shared" si="11"/>
        <v>0</v>
      </c>
      <c r="V21" t="s">
        <v>1043</v>
      </c>
    </row>
    <row r="22" spans="1:24" s="12" customFormat="1">
      <c r="A22">
        <v>21</v>
      </c>
      <c r="B22" s="12" t="s">
        <v>391</v>
      </c>
      <c r="C22" s="79">
        <v>40</v>
      </c>
      <c r="D22" s="79">
        <v>30</v>
      </c>
      <c r="E22" s="79">
        <v>110</v>
      </c>
      <c r="F22" s="79">
        <v>80</v>
      </c>
      <c r="G22" s="23">
        <f t="shared" si="7"/>
        <v>180</v>
      </c>
      <c r="H22" s="23">
        <f t="shared" si="0"/>
        <v>60</v>
      </c>
      <c r="I22" s="23">
        <f t="shared" si="8"/>
        <v>260</v>
      </c>
      <c r="J22" s="23">
        <f t="shared" si="1"/>
        <v>7.1791999999999998</v>
      </c>
      <c r="K22" s="23">
        <f t="shared" si="2"/>
        <v>3.7044000000000001</v>
      </c>
      <c r="L22" s="23">
        <f t="shared" si="3"/>
        <v>73.543300000000002</v>
      </c>
      <c r="M22" s="23">
        <f t="shared" si="4"/>
        <v>35.354700000000001</v>
      </c>
      <c r="N22" s="23">
        <f t="shared" si="5"/>
        <v>84.426900000000003</v>
      </c>
      <c r="O22" s="23">
        <f t="shared" si="6"/>
        <v>119.7816</v>
      </c>
      <c r="P22">
        <v>1</v>
      </c>
      <c r="Q22">
        <f t="shared" si="9"/>
        <v>2</v>
      </c>
      <c r="R22">
        <f t="shared" si="10"/>
        <v>2</v>
      </c>
      <c r="S22">
        <f t="shared" si="11"/>
        <v>0</v>
      </c>
      <c r="U22" s="12" t="s">
        <v>394</v>
      </c>
      <c r="V22" t="s">
        <v>1043</v>
      </c>
    </row>
    <row r="23" spans="1:24" s="12" customFormat="1">
      <c r="A23">
        <v>22</v>
      </c>
      <c r="B23" s="12" t="s">
        <v>395</v>
      </c>
      <c r="C23" s="79">
        <v>40</v>
      </c>
      <c r="D23" s="79">
        <v>40</v>
      </c>
      <c r="E23" s="79">
        <v>80</v>
      </c>
      <c r="F23" s="79">
        <v>70</v>
      </c>
      <c r="G23" s="23">
        <f t="shared" si="7"/>
        <v>160</v>
      </c>
      <c r="H23" s="23">
        <f t="shared" si="0"/>
        <v>53.333333333333336</v>
      </c>
      <c r="I23" s="23">
        <f t="shared" si="8"/>
        <v>230</v>
      </c>
      <c r="J23" s="23">
        <f t="shared" si="1"/>
        <v>7.1791999999999998</v>
      </c>
      <c r="K23" s="23">
        <f t="shared" si="2"/>
        <v>7.1791999999999998</v>
      </c>
      <c r="L23" s="23">
        <f t="shared" si="3"/>
        <v>35.354700000000001</v>
      </c>
      <c r="M23" s="23">
        <f t="shared" si="4"/>
        <v>26.005500000000001</v>
      </c>
      <c r="N23" s="23">
        <f t="shared" si="5"/>
        <v>49.713099999999997</v>
      </c>
      <c r="O23" s="23">
        <f t="shared" si="6"/>
        <v>75.718599999999995</v>
      </c>
      <c r="P23">
        <v>1</v>
      </c>
      <c r="Q23">
        <f t="shared" si="9"/>
        <v>2</v>
      </c>
      <c r="R23">
        <f t="shared" si="10"/>
        <v>2</v>
      </c>
      <c r="S23">
        <f t="shared" si="11"/>
        <v>0</v>
      </c>
      <c r="V23" t="s">
        <v>1043</v>
      </c>
    </row>
    <row r="24" spans="1:24" s="12" customFormat="1">
      <c r="A24">
        <v>23</v>
      </c>
      <c r="B24" s="12" t="s">
        <v>396</v>
      </c>
      <c r="C24" s="79">
        <v>85</v>
      </c>
      <c r="D24" s="79">
        <v>60</v>
      </c>
      <c r="E24" s="79">
        <v>120</v>
      </c>
      <c r="F24" s="79">
        <v>90</v>
      </c>
      <c r="G24" s="23">
        <f t="shared" si="7"/>
        <v>265</v>
      </c>
      <c r="H24" s="23">
        <f t="shared" si="0"/>
        <v>88.333333333333329</v>
      </c>
      <c r="I24" s="23">
        <f t="shared" si="8"/>
        <v>355</v>
      </c>
      <c r="J24" s="23">
        <f t="shared" si="1"/>
        <v>40.6447</v>
      </c>
      <c r="K24" s="23">
        <f t="shared" si="2"/>
        <v>18.242699999999999</v>
      </c>
      <c r="L24" s="23">
        <f t="shared" si="3"/>
        <v>89.837400000000002</v>
      </c>
      <c r="M24" s="23">
        <f t="shared" si="4"/>
        <v>46.3551</v>
      </c>
      <c r="N24" s="23">
        <f t="shared" si="5"/>
        <v>148.72480000000002</v>
      </c>
      <c r="O24" s="23">
        <f t="shared" si="6"/>
        <v>195.07990000000001</v>
      </c>
      <c r="P24">
        <v>1</v>
      </c>
      <c r="Q24">
        <f t="shared" si="9"/>
        <v>4</v>
      </c>
      <c r="R24">
        <f t="shared" si="10"/>
        <v>4</v>
      </c>
      <c r="S24">
        <f t="shared" si="11"/>
        <v>0</v>
      </c>
      <c r="V24" t="s">
        <v>1043</v>
      </c>
    </row>
    <row r="25" spans="1:24" s="12" customFormat="1">
      <c r="A25">
        <v>24</v>
      </c>
      <c r="B25" s="12" t="s">
        <v>397</v>
      </c>
      <c r="C25" s="79">
        <v>80</v>
      </c>
      <c r="D25" s="79">
        <v>90</v>
      </c>
      <c r="E25" s="79">
        <v>50</v>
      </c>
      <c r="F25" s="79">
        <v>80</v>
      </c>
      <c r="G25" s="23">
        <f t="shared" si="7"/>
        <v>220</v>
      </c>
      <c r="H25" s="23">
        <f t="shared" si="0"/>
        <v>73.333333333333329</v>
      </c>
      <c r="I25" s="23">
        <f t="shared" si="8"/>
        <v>300</v>
      </c>
      <c r="J25" s="23">
        <f t="shared" si="1"/>
        <v>35.354700000000001</v>
      </c>
      <c r="K25" s="23">
        <f t="shared" si="2"/>
        <v>46.3551</v>
      </c>
      <c r="L25" s="23">
        <f t="shared" si="3"/>
        <v>11.994199999999999</v>
      </c>
      <c r="M25" s="23">
        <f t="shared" si="4"/>
        <v>35.354700000000001</v>
      </c>
      <c r="N25" s="23">
        <f t="shared" si="5"/>
        <v>93.704000000000008</v>
      </c>
      <c r="O25" s="23">
        <f t="shared" si="6"/>
        <v>129.05870000000002</v>
      </c>
      <c r="P25">
        <v>1</v>
      </c>
      <c r="Q25">
        <f t="shared" si="9"/>
        <v>3</v>
      </c>
      <c r="R25">
        <f t="shared" si="10"/>
        <v>3</v>
      </c>
      <c r="S25">
        <f t="shared" si="11"/>
        <v>0</v>
      </c>
      <c r="V25" t="s">
        <v>1043</v>
      </c>
    </row>
    <row r="26" spans="1:24" s="12" customFormat="1">
      <c r="A26">
        <v>25</v>
      </c>
      <c r="B26" s="12" t="s">
        <v>398</v>
      </c>
      <c r="C26" s="79">
        <v>75</v>
      </c>
      <c r="D26" s="79">
        <v>70</v>
      </c>
      <c r="E26" s="79">
        <v>55</v>
      </c>
      <c r="F26" s="79">
        <v>70</v>
      </c>
      <c r="G26" s="23">
        <f t="shared" si="7"/>
        <v>200</v>
      </c>
      <c r="H26" s="23">
        <f t="shared" si="0"/>
        <v>66.666666666666671</v>
      </c>
      <c r="I26" s="23">
        <f t="shared" si="8"/>
        <v>270</v>
      </c>
      <c r="J26" s="23">
        <f t="shared" si="1"/>
        <v>30.477599999999999</v>
      </c>
      <c r="K26" s="23">
        <f t="shared" si="2"/>
        <v>26.005500000000001</v>
      </c>
      <c r="L26" s="23">
        <f t="shared" si="3"/>
        <v>14.9339</v>
      </c>
      <c r="M26" s="23">
        <f t="shared" si="4"/>
        <v>26.005500000000001</v>
      </c>
      <c r="N26" s="23">
        <f t="shared" si="5"/>
        <v>71.417000000000002</v>
      </c>
      <c r="O26" s="23">
        <f t="shared" si="6"/>
        <v>97.422499999999999</v>
      </c>
      <c r="P26">
        <v>1</v>
      </c>
      <c r="Q26">
        <f t="shared" si="9"/>
        <v>2</v>
      </c>
      <c r="R26">
        <f t="shared" si="10"/>
        <v>2</v>
      </c>
      <c r="S26">
        <f t="shared" si="11"/>
        <v>0</v>
      </c>
      <c r="V26" t="s">
        <v>1043</v>
      </c>
    </row>
    <row r="27" spans="1:24" s="12" customFormat="1">
      <c r="A27">
        <v>26</v>
      </c>
      <c r="B27" s="12" t="s">
        <v>399</v>
      </c>
      <c r="C27" s="79">
        <v>65</v>
      </c>
      <c r="D27" s="79">
        <v>50</v>
      </c>
      <c r="E27" s="79">
        <v>85</v>
      </c>
      <c r="F27" s="79">
        <v>60</v>
      </c>
      <c r="G27" s="23">
        <f t="shared" si="7"/>
        <v>200</v>
      </c>
      <c r="H27" s="23">
        <f t="shared" si="0"/>
        <v>66.666666666666671</v>
      </c>
      <c r="I27" s="23">
        <f t="shared" si="8"/>
        <v>260</v>
      </c>
      <c r="J27" s="23">
        <f t="shared" si="1"/>
        <v>21.930099999999999</v>
      </c>
      <c r="K27" s="23">
        <f t="shared" si="2"/>
        <v>11.994199999999999</v>
      </c>
      <c r="L27" s="23">
        <f t="shared" si="3"/>
        <v>40.6447</v>
      </c>
      <c r="M27" s="23">
        <f t="shared" si="4"/>
        <v>18.242699999999999</v>
      </c>
      <c r="N27" s="23">
        <f t="shared" si="5"/>
        <v>74.569000000000003</v>
      </c>
      <c r="O27" s="23">
        <f t="shared" si="6"/>
        <v>92.811700000000002</v>
      </c>
      <c r="P27">
        <v>1</v>
      </c>
      <c r="Q27">
        <f t="shared" si="9"/>
        <v>2</v>
      </c>
      <c r="R27">
        <f t="shared" si="10"/>
        <v>2</v>
      </c>
      <c r="S27">
        <f t="shared" si="11"/>
        <v>0</v>
      </c>
      <c r="V27" t="s">
        <v>1043</v>
      </c>
    </row>
    <row r="28" spans="1:24" s="12" customFormat="1">
      <c r="A28">
        <v>27</v>
      </c>
      <c r="B28" s="12" t="s">
        <v>442</v>
      </c>
      <c r="C28" s="79">
        <v>105</v>
      </c>
      <c r="D28" s="79">
        <v>85</v>
      </c>
      <c r="E28" s="79">
        <v>135</v>
      </c>
      <c r="F28" s="79">
        <v>80</v>
      </c>
      <c r="G28" s="23">
        <f t="shared" si="7"/>
        <v>325</v>
      </c>
      <c r="H28" s="23">
        <f t="shared" si="0"/>
        <v>108.33333333333333</v>
      </c>
      <c r="I28" s="23">
        <f t="shared" si="8"/>
        <v>405</v>
      </c>
      <c r="J28" s="23">
        <f t="shared" si="1"/>
        <v>66.080799999999996</v>
      </c>
      <c r="K28" s="23">
        <f t="shared" si="2"/>
        <v>40.6447</v>
      </c>
      <c r="L28" s="23">
        <f t="shared" si="3"/>
        <v>117.7898</v>
      </c>
      <c r="M28" s="23">
        <f t="shared" si="4"/>
        <v>35.354700000000001</v>
      </c>
      <c r="N28" s="23">
        <f t="shared" si="5"/>
        <v>224.5153</v>
      </c>
      <c r="O28" s="23">
        <f t="shared" si="6"/>
        <v>259.87</v>
      </c>
      <c r="P28">
        <v>1</v>
      </c>
      <c r="Q28">
        <f t="shared" si="9"/>
        <v>5</v>
      </c>
      <c r="R28">
        <f t="shared" si="10"/>
        <v>5</v>
      </c>
      <c r="S28">
        <f t="shared" si="11"/>
        <v>0</v>
      </c>
      <c r="V28" t="s">
        <v>1043</v>
      </c>
    </row>
    <row r="29" spans="1:24">
      <c r="A29">
        <v>28</v>
      </c>
      <c r="B29" s="12" t="s">
        <v>950</v>
      </c>
      <c r="C29" s="79">
        <v>70</v>
      </c>
      <c r="D29" s="79">
        <v>60</v>
      </c>
      <c r="E29" s="79">
        <v>50</v>
      </c>
      <c r="F29" s="79">
        <v>80</v>
      </c>
      <c r="G29" s="23">
        <f t="shared" ref="G29:G51" si="12">SUM(C29:E29)</f>
        <v>180</v>
      </c>
      <c r="H29" s="23">
        <f t="shared" si="0"/>
        <v>60</v>
      </c>
      <c r="I29" s="23">
        <f t="shared" ref="I29:I51" si="13">SUM(C29:F29)</f>
        <v>260</v>
      </c>
      <c r="J29" s="23">
        <f t="shared" si="1"/>
        <v>26.005500000000001</v>
      </c>
      <c r="K29" s="23">
        <f t="shared" si="2"/>
        <v>18.242699999999999</v>
      </c>
      <c r="L29" s="23">
        <f t="shared" si="3"/>
        <v>11.994199999999999</v>
      </c>
      <c r="M29" s="23">
        <f t="shared" si="4"/>
        <v>35.354700000000001</v>
      </c>
      <c r="N29" s="23">
        <f t="shared" si="5"/>
        <v>56.242399999999996</v>
      </c>
      <c r="O29" s="23">
        <f t="shared" si="6"/>
        <v>91.597099999999998</v>
      </c>
      <c r="P29">
        <v>1</v>
      </c>
      <c r="Q29">
        <f t="shared" si="9"/>
        <v>2</v>
      </c>
      <c r="R29">
        <f t="shared" si="10"/>
        <v>2</v>
      </c>
      <c r="S29">
        <f t="shared" si="11"/>
        <v>0</v>
      </c>
      <c r="V29" t="s">
        <v>1045</v>
      </c>
    </row>
    <row r="30" spans="1:24">
      <c r="A30">
        <v>29</v>
      </c>
      <c r="B30" s="12" t="s">
        <v>951</v>
      </c>
      <c r="C30" s="79">
        <v>50</v>
      </c>
      <c r="D30" s="79">
        <v>80</v>
      </c>
      <c r="E30" s="79">
        <v>40</v>
      </c>
      <c r="F30" s="79">
        <v>50</v>
      </c>
      <c r="G30" s="23">
        <f t="shared" si="12"/>
        <v>170</v>
      </c>
      <c r="H30" s="23">
        <f t="shared" si="0"/>
        <v>56.666666666666664</v>
      </c>
      <c r="I30" s="23">
        <f t="shared" si="13"/>
        <v>220</v>
      </c>
      <c r="J30" s="23">
        <f t="shared" si="1"/>
        <v>11.994199999999999</v>
      </c>
      <c r="K30" s="23">
        <f t="shared" si="2"/>
        <v>35.354700000000001</v>
      </c>
      <c r="L30" s="23">
        <f t="shared" si="3"/>
        <v>7.1791999999999998</v>
      </c>
      <c r="M30" s="23">
        <f t="shared" si="4"/>
        <v>11.994199999999999</v>
      </c>
      <c r="N30" s="23">
        <f t="shared" si="5"/>
        <v>54.528100000000002</v>
      </c>
      <c r="O30" s="23">
        <f t="shared" si="6"/>
        <v>66.522300000000001</v>
      </c>
      <c r="P30">
        <v>1</v>
      </c>
      <c r="Q30">
        <f t="shared" si="9"/>
        <v>2</v>
      </c>
      <c r="R30">
        <f t="shared" si="10"/>
        <v>2</v>
      </c>
      <c r="S30">
        <f t="shared" si="11"/>
        <v>0</v>
      </c>
      <c r="V30" t="s">
        <v>1045</v>
      </c>
      <c r="X30" t="s">
        <v>403</v>
      </c>
    </row>
    <row r="31" spans="1:24">
      <c r="A31">
        <v>30</v>
      </c>
      <c r="B31" s="12" t="s">
        <v>952</v>
      </c>
      <c r="C31" s="79">
        <v>90</v>
      </c>
      <c r="D31" s="79">
        <v>95</v>
      </c>
      <c r="E31" s="79">
        <v>60</v>
      </c>
      <c r="F31" s="79">
        <v>75</v>
      </c>
      <c r="G31" s="23">
        <f t="shared" si="12"/>
        <v>245</v>
      </c>
      <c r="H31" s="23">
        <f t="shared" si="0"/>
        <v>81.666666666666671</v>
      </c>
      <c r="I31" s="23">
        <f t="shared" si="13"/>
        <v>320</v>
      </c>
      <c r="J31" s="23">
        <f t="shared" si="1"/>
        <v>46.3551</v>
      </c>
      <c r="K31" s="23">
        <f t="shared" si="2"/>
        <v>52.493400000000001</v>
      </c>
      <c r="L31" s="23">
        <f t="shared" si="3"/>
        <v>18.242699999999999</v>
      </c>
      <c r="M31" s="23">
        <f t="shared" si="4"/>
        <v>30.477599999999999</v>
      </c>
      <c r="N31" s="23">
        <f t="shared" si="5"/>
        <v>117.0912</v>
      </c>
      <c r="O31" s="23">
        <f t="shared" si="6"/>
        <v>147.56880000000001</v>
      </c>
      <c r="P31">
        <v>1</v>
      </c>
      <c r="Q31">
        <f t="shared" si="9"/>
        <v>3</v>
      </c>
      <c r="R31">
        <f t="shared" si="10"/>
        <v>3</v>
      </c>
      <c r="S31">
        <f t="shared" si="11"/>
        <v>0</v>
      </c>
      <c r="V31" t="s">
        <v>1045</v>
      </c>
    </row>
    <row r="32" spans="1:24">
      <c r="A32">
        <v>31</v>
      </c>
      <c r="B32" s="12" t="s">
        <v>953</v>
      </c>
      <c r="C32" s="79">
        <v>55</v>
      </c>
      <c r="D32" s="79">
        <v>65</v>
      </c>
      <c r="E32" s="79">
        <v>60</v>
      </c>
      <c r="F32" s="79">
        <v>55</v>
      </c>
      <c r="G32" s="23">
        <f t="shared" si="12"/>
        <v>180</v>
      </c>
      <c r="H32" s="23">
        <f t="shared" si="0"/>
        <v>60</v>
      </c>
      <c r="I32" s="23">
        <f t="shared" si="13"/>
        <v>235</v>
      </c>
      <c r="J32" s="23">
        <f t="shared" si="1"/>
        <v>14.9339</v>
      </c>
      <c r="K32" s="23">
        <f t="shared" si="2"/>
        <v>21.930099999999999</v>
      </c>
      <c r="L32" s="23">
        <f t="shared" si="3"/>
        <v>18.242699999999999</v>
      </c>
      <c r="M32" s="23">
        <f t="shared" si="4"/>
        <v>14.9339</v>
      </c>
      <c r="N32" s="23">
        <f t="shared" si="5"/>
        <v>55.106699999999996</v>
      </c>
      <c r="O32" s="23">
        <f t="shared" si="6"/>
        <v>70.040599999999998</v>
      </c>
      <c r="P32">
        <v>1</v>
      </c>
      <c r="Q32">
        <f t="shared" si="9"/>
        <v>2</v>
      </c>
      <c r="R32">
        <f t="shared" si="10"/>
        <v>2</v>
      </c>
      <c r="S32">
        <f t="shared" si="11"/>
        <v>0</v>
      </c>
      <c r="V32" t="s">
        <v>1045</v>
      </c>
      <c r="X32" t="s">
        <v>407</v>
      </c>
    </row>
    <row r="33" spans="1:24">
      <c r="A33">
        <v>32</v>
      </c>
      <c r="B33" s="12" t="s">
        <v>954</v>
      </c>
      <c r="C33" s="79">
        <v>75</v>
      </c>
      <c r="D33" s="79">
        <v>80</v>
      </c>
      <c r="E33" s="79">
        <v>50</v>
      </c>
      <c r="F33" s="79">
        <v>60</v>
      </c>
      <c r="G33" s="23">
        <f t="shared" si="12"/>
        <v>205</v>
      </c>
      <c r="H33" s="23">
        <f t="shared" si="0"/>
        <v>68.333333333333329</v>
      </c>
      <c r="I33" s="23">
        <f t="shared" si="13"/>
        <v>265</v>
      </c>
      <c r="J33" s="23">
        <f t="shared" si="1"/>
        <v>30.477599999999999</v>
      </c>
      <c r="K33" s="23">
        <f t="shared" si="2"/>
        <v>35.354700000000001</v>
      </c>
      <c r="L33" s="23">
        <f t="shared" si="3"/>
        <v>11.994199999999999</v>
      </c>
      <c r="M33" s="23">
        <f t="shared" si="4"/>
        <v>18.242699999999999</v>
      </c>
      <c r="N33" s="23">
        <f t="shared" si="5"/>
        <v>77.82650000000001</v>
      </c>
      <c r="O33" s="23">
        <f t="shared" si="6"/>
        <v>96.069200000000009</v>
      </c>
      <c r="P33">
        <v>1</v>
      </c>
      <c r="Q33">
        <f t="shared" si="9"/>
        <v>2</v>
      </c>
      <c r="R33">
        <f t="shared" si="10"/>
        <v>2</v>
      </c>
      <c r="S33">
        <f t="shared" si="11"/>
        <v>0</v>
      </c>
      <c r="V33" t="s">
        <v>1045</v>
      </c>
      <c r="X33" t="s">
        <v>401</v>
      </c>
    </row>
    <row r="34" spans="1:24">
      <c r="A34">
        <v>33</v>
      </c>
      <c r="B34" s="12" t="s">
        <v>408</v>
      </c>
      <c r="C34" s="79">
        <v>85</v>
      </c>
      <c r="D34" s="79">
        <v>75</v>
      </c>
      <c r="E34" s="79">
        <v>40</v>
      </c>
      <c r="F34" s="79">
        <v>60</v>
      </c>
      <c r="G34" s="23">
        <f t="shared" si="12"/>
        <v>200</v>
      </c>
      <c r="H34" s="23">
        <f t="shared" si="0"/>
        <v>66.666666666666671</v>
      </c>
      <c r="I34" s="23">
        <f t="shared" si="13"/>
        <v>260</v>
      </c>
      <c r="J34" s="23">
        <f t="shared" si="1"/>
        <v>40.6447</v>
      </c>
      <c r="K34" s="23">
        <f t="shared" si="2"/>
        <v>30.477599999999999</v>
      </c>
      <c r="L34" s="23">
        <f t="shared" si="3"/>
        <v>7.1791999999999998</v>
      </c>
      <c r="M34" s="23">
        <f t="shared" si="4"/>
        <v>18.242699999999999</v>
      </c>
      <c r="N34" s="23">
        <f t="shared" si="5"/>
        <v>78.30149999999999</v>
      </c>
      <c r="O34" s="23">
        <f t="shared" si="6"/>
        <v>96.544199999999989</v>
      </c>
      <c r="P34">
        <v>1</v>
      </c>
      <c r="Q34">
        <f t="shared" si="9"/>
        <v>2</v>
      </c>
      <c r="R34">
        <f t="shared" si="10"/>
        <v>2</v>
      </c>
      <c r="S34">
        <f t="shared" si="11"/>
        <v>0</v>
      </c>
      <c r="V34" t="s">
        <v>1045</v>
      </c>
      <c r="X34" t="s">
        <v>417</v>
      </c>
    </row>
    <row r="35" spans="1:24">
      <c r="A35">
        <v>34</v>
      </c>
      <c r="B35" s="12" t="s">
        <v>955</v>
      </c>
      <c r="C35" s="79">
        <v>75</v>
      </c>
      <c r="D35" s="79">
        <v>50</v>
      </c>
      <c r="E35" s="79">
        <v>70</v>
      </c>
      <c r="F35" s="79">
        <v>85</v>
      </c>
      <c r="G35" s="23">
        <f t="shared" si="12"/>
        <v>195</v>
      </c>
      <c r="H35" s="23">
        <f t="shared" si="0"/>
        <v>65</v>
      </c>
      <c r="I35" s="23">
        <f t="shared" si="13"/>
        <v>280</v>
      </c>
      <c r="J35" s="23">
        <f t="shared" si="1"/>
        <v>30.477599999999999</v>
      </c>
      <c r="K35" s="23">
        <f t="shared" si="2"/>
        <v>11.994199999999999</v>
      </c>
      <c r="L35" s="23">
        <f t="shared" si="3"/>
        <v>26.005500000000001</v>
      </c>
      <c r="M35" s="23">
        <f t="shared" si="4"/>
        <v>40.6447</v>
      </c>
      <c r="N35" s="23">
        <f t="shared" si="5"/>
        <v>68.4773</v>
      </c>
      <c r="O35" s="23">
        <f t="shared" si="6"/>
        <v>109.122</v>
      </c>
      <c r="P35">
        <v>1</v>
      </c>
      <c r="Q35">
        <f t="shared" si="9"/>
        <v>2</v>
      </c>
      <c r="R35">
        <f t="shared" si="10"/>
        <v>2</v>
      </c>
      <c r="S35">
        <f t="shared" si="11"/>
        <v>0</v>
      </c>
      <c r="V35" t="s">
        <v>1045</v>
      </c>
      <c r="X35" t="s">
        <v>404</v>
      </c>
    </row>
    <row r="36" spans="1:24">
      <c r="A36">
        <v>35</v>
      </c>
      <c r="B36" s="12" t="s">
        <v>956</v>
      </c>
      <c r="C36" s="79">
        <v>100</v>
      </c>
      <c r="D36" s="79">
        <v>70</v>
      </c>
      <c r="E36" s="79">
        <v>65</v>
      </c>
      <c r="F36" s="79">
        <v>100</v>
      </c>
      <c r="G36" s="23">
        <f t="shared" si="12"/>
        <v>235</v>
      </c>
      <c r="H36" s="23">
        <f t="shared" si="0"/>
        <v>78.333333333333329</v>
      </c>
      <c r="I36" s="23">
        <f t="shared" si="13"/>
        <v>335</v>
      </c>
      <c r="J36" s="23">
        <f t="shared" si="1"/>
        <v>59.066299999999998</v>
      </c>
      <c r="K36" s="23">
        <f t="shared" si="2"/>
        <v>26.005500000000001</v>
      </c>
      <c r="L36" s="23">
        <f t="shared" si="3"/>
        <v>21.930099999999999</v>
      </c>
      <c r="M36" s="23">
        <f t="shared" si="4"/>
        <v>59.066299999999998</v>
      </c>
      <c r="N36" s="23">
        <f t="shared" si="5"/>
        <v>107.00189999999999</v>
      </c>
      <c r="O36" s="23">
        <f t="shared" si="6"/>
        <v>166.06819999999999</v>
      </c>
      <c r="P36">
        <v>1</v>
      </c>
      <c r="Q36">
        <f t="shared" si="9"/>
        <v>3</v>
      </c>
      <c r="R36">
        <f t="shared" si="10"/>
        <v>3</v>
      </c>
      <c r="S36">
        <f t="shared" si="11"/>
        <v>0</v>
      </c>
      <c r="V36" t="s">
        <v>1045</v>
      </c>
    </row>
    <row r="37" spans="1:24" s="12" customFormat="1">
      <c r="A37">
        <v>36</v>
      </c>
      <c r="B37" s="12" t="s">
        <v>957</v>
      </c>
      <c r="C37" s="79">
        <v>75</v>
      </c>
      <c r="D37" s="79">
        <v>50</v>
      </c>
      <c r="E37" s="79">
        <v>85</v>
      </c>
      <c r="F37" s="79">
        <v>95</v>
      </c>
      <c r="G37" s="23">
        <f t="shared" si="12"/>
        <v>210</v>
      </c>
      <c r="H37" s="23">
        <f t="shared" si="0"/>
        <v>70</v>
      </c>
      <c r="I37" s="23">
        <f t="shared" si="13"/>
        <v>305</v>
      </c>
      <c r="J37" s="23">
        <f t="shared" si="1"/>
        <v>30.477599999999999</v>
      </c>
      <c r="K37" s="23">
        <f t="shared" si="2"/>
        <v>11.994199999999999</v>
      </c>
      <c r="L37" s="23">
        <f t="shared" si="3"/>
        <v>40.6447</v>
      </c>
      <c r="M37" s="23">
        <f t="shared" si="4"/>
        <v>52.493400000000001</v>
      </c>
      <c r="N37" s="23">
        <f t="shared" si="5"/>
        <v>83.116500000000002</v>
      </c>
      <c r="O37" s="23">
        <f t="shared" si="6"/>
        <v>135.60990000000001</v>
      </c>
      <c r="P37">
        <v>1</v>
      </c>
      <c r="Q37">
        <f t="shared" si="9"/>
        <v>2</v>
      </c>
      <c r="R37">
        <f t="shared" si="10"/>
        <v>3</v>
      </c>
      <c r="S37">
        <f t="shared" si="11"/>
        <v>1</v>
      </c>
      <c r="V37" t="s">
        <v>1045</v>
      </c>
      <c r="X37" s="12" t="s">
        <v>402</v>
      </c>
    </row>
    <row r="38" spans="1:24" s="12" customFormat="1">
      <c r="A38">
        <v>37</v>
      </c>
      <c r="B38" s="12" t="s">
        <v>958</v>
      </c>
      <c r="C38" s="79">
        <v>65</v>
      </c>
      <c r="D38" s="79">
        <v>60</v>
      </c>
      <c r="E38" s="79">
        <v>90</v>
      </c>
      <c r="F38" s="79">
        <v>70</v>
      </c>
      <c r="G38" s="23">
        <f t="shared" si="12"/>
        <v>215</v>
      </c>
      <c r="H38" s="23">
        <f t="shared" si="0"/>
        <v>71.666666666666671</v>
      </c>
      <c r="I38" s="23">
        <f t="shared" si="13"/>
        <v>285</v>
      </c>
      <c r="J38" s="23">
        <f t="shared" si="1"/>
        <v>21.930099999999999</v>
      </c>
      <c r="K38" s="23">
        <f t="shared" si="2"/>
        <v>18.242699999999999</v>
      </c>
      <c r="L38" s="23">
        <f t="shared" si="3"/>
        <v>46.3551</v>
      </c>
      <c r="M38" s="23">
        <f t="shared" si="4"/>
        <v>26.005500000000001</v>
      </c>
      <c r="N38" s="23">
        <f t="shared" si="5"/>
        <v>86.527899999999988</v>
      </c>
      <c r="O38" s="23">
        <f t="shared" si="6"/>
        <v>112.53339999999999</v>
      </c>
      <c r="P38">
        <v>1</v>
      </c>
      <c r="Q38">
        <f t="shared" si="9"/>
        <v>2</v>
      </c>
      <c r="R38">
        <f t="shared" si="10"/>
        <v>2</v>
      </c>
      <c r="S38">
        <f t="shared" si="11"/>
        <v>0</v>
      </c>
      <c r="V38" t="s">
        <v>1045</v>
      </c>
      <c r="X38" s="12" t="s">
        <v>405</v>
      </c>
    </row>
    <row r="39" spans="1:24" s="12" customFormat="1">
      <c r="A39">
        <v>38</v>
      </c>
      <c r="B39" s="12" t="s">
        <v>959</v>
      </c>
      <c r="C39" s="79">
        <v>60</v>
      </c>
      <c r="D39" s="79">
        <v>60</v>
      </c>
      <c r="E39" s="79">
        <v>60</v>
      </c>
      <c r="F39" s="79">
        <v>65</v>
      </c>
      <c r="G39" s="23">
        <f t="shared" si="12"/>
        <v>180</v>
      </c>
      <c r="H39" s="23">
        <f t="shared" si="0"/>
        <v>60</v>
      </c>
      <c r="I39" s="23">
        <f t="shared" si="13"/>
        <v>245</v>
      </c>
      <c r="J39" s="23">
        <f t="shared" si="1"/>
        <v>18.242699999999999</v>
      </c>
      <c r="K39" s="23">
        <f t="shared" si="2"/>
        <v>18.242699999999999</v>
      </c>
      <c r="L39" s="23">
        <f t="shared" si="3"/>
        <v>18.242699999999999</v>
      </c>
      <c r="M39" s="23">
        <f t="shared" si="4"/>
        <v>21.930099999999999</v>
      </c>
      <c r="N39" s="23">
        <f t="shared" si="5"/>
        <v>54.728099999999998</v>
      </c>
      <c r="O39" s="23">
        <f t="shared" si="6"/>
        <v>76.658199999999994</v>
      </c>
      <c r="P39">
        <v>1</v>
      </c>
      <c r="Q39">
        <f t="shared" si="9"/>
        <v>2</v>
      </c>
      <c r="R39">
        <f t="shared" si="10"/>
        <v>2</v>
      </c>
      <c r="S39">
        <f t="shared" si="11"/>
        <v>0</v>
      </c>
      <c r="V39" t="s">
        <v>1045</v>
      </c>
      <c r="X39" s="12" t="s">
        <v>406</v>
      </c>
    </row>
    <row r="40" spans="1:24" s="12" customFormat="1">
      <c r="A40">
        <v>39</v>
      </c>
      <c r="B40" s="12" t="s">
        <v>960</v>
      </c>
      <c r="C40" s="79">
        <v>65</v>
      </c>
      <c r="D40" s="79">
        <v>80</v>
      </c>
      <c r="E40" s="79">
        <v>55</v>
      </c>
      <c r="F40" s="79">
        <v>55</v>
      </c>
      <c r="G40" s="23">
        <f t="shared" si="12"/>
        <v>200</v>
      </c>
      <c r="H40" s="23">
        <f t="shared" si="0"/>
        <v>66.666666666666671</v>
      </c>
      <c r="I40" s="23">
        <f t="shared" si="13"/>
        <v>255</v>
      </c>
      <c r="J40" s="23">
        <f t="shared" si="1"/>
        <v>21.930099999999999</v>
      </c>
      <c r="K40" s="23">
        <f t="shared" si="2"/>
        <v>35.354700000000001</v>
      </c>
      <c r="L40" s="23">
        <f t="shared" si="3"/>
        <v>14.9339</v>
      </c>
      <c r="M40" s="23">
        <f t="shared" si="4"/>
        <v>14.9339</v>
      </c>
      <c r="N40" s="23">
        <f t="shared" si="5"/>
        <v>72.218699999999998</v>
      </c>
      <c r="O40" s="23">
        <f t="shared" si="6"/>
        <v>87.152599999999993</v>
      </c>
      <c r="P40">
        <v>1</v>
      </c>
      <c r="Q40">
        <f t="shared" si="9"/>
        <v>2</v>
      </c>
      <c r="R40">
        <f t="shared" si="10"/>
        <v>2</v>
      </c>
      <c r="S40">
        <f t="shared" si="11"/>
        <v>0</v>
      </c>
      <c r="V40" t="s">
        <v>1045</v>
      </c>
      <c r="X40" s="12" t="s">
        <v>409</v>
      </c>
    </row>
    <row r="41" spans="1:24" s="12" customFormat="1">
      <c r="A41">
        <v>40</v>
      </c>
      <c r="B41" s="12" t="s">
        <v>408</v>
      </c>
      <c r="C41" s="79">
        <v>80</v>
      </c>
      <c r="D41" s="79">
        <v>70</v>
      </c>
      <c r="E41" s="79">
        <v>60</v>
      </c>
      <c r="F41" s="79">
        <v>55</v>
      </c>
      <c r="G41" s="23">
        <f t="shared" si="12"/>
        <v>210</v>
      </c>
      <c r="H41" s="23">
        <f t="shared" si="0"/>
        <v>70</v>
      </c>
      <c r="I41" s="23">
        <f t="shared" si="13"/>
        <v>265</v>
      </c>
      <c r="J41" s="23">
        <f t="shared" si="1"/>
        <v>35.354700000000001</v>
      </c>
      <c r="K41" s="23">
        <f t="shared" si="2"/>
        <v>26.005500000000001</v>
      </c>
      <c r="L41" s="23">
        <f t="shared" si="3"/>
        <v>18.242699999999999</v>
      </c>
      <c r="M41" s="23">
        <f t="shared" si="4"/>
        <v>14.9339</v>
      </c>
      <c r="N41" s="23">
        <f t="shared" si="5"/>
        <v>79.602900000000005</v>
      </c>
      <c r="O41" s="23">
        <f t="shared" si="6"/>
        <v>94.536799999999999</v>
      </c>
      <c r="P41">
        <v>1</v>
      </c>
      <c r="Q41">
        <f t="shared" si="9"/>
        <v>2</v>
      </c>
      <c r="R41">
        <f t="shared" si="10"/>
        <v>2</v>
      </c>
      <c r="S41">
        <f t="shared" si="11"/>
        <v>0</v>
      </c>
      <c r="V41" t="s">
        <v>1045</v>
      </c>
      <c r="X41" s="12" t="s">
        <v>410</v>
      </c>
    </row>
    <row r="42" spans="1:24" s="12" customFormat="1">
      <c r="A42">
        <v>41</v>
      </c>
      <c r="B42" s="12" t="s">
        <v>411</v>
      </c>
      <c r="C42" s="79">
        <v>65</v>
      </c>
      <c r="D42" s="79">
        <v>35</v>
      </c>
      <c r="E42" s="79">
        <v>60</v>
      </c>
      <c r="F42" s="79">
        <v>80</v>
      </c>
      <c r="G42" s="23">
        <f t="shared" si="12"/>
        <v>160</v>
      </c>
      <c r="H42" s="23">
        <f t="shared" si="0"/>
        <v>53.333333333333336</v>
      </c>
      <c r="I42" s="23">
        <f t="shared" si="13"/>
        <v>240</v>
      </c>
      <c r="J42" s="23">
        <f t="shared" si="1"/>
        <v>21.930099999999999</v>
      </c>
      <c r="K42" s="23">
        <f t="shared" si="2"/>
        <v>5.2808000000000002</v>
      </c>
      <c r="L42" s="23">
        <f t="shared" si="3"/>
        <v>18.242699999999999</v>
      </c>
      <c r="M42" s="23">
        <f t="shared" si="4"/>
        <v>35.354700000000001</v>
      </c>
      <c r="N42" s="23">
        <f t="shared" si="5"/>
        <v>45.453599999999994</v>
      </c>
      <c r="O42" s="23">
        <f t="shared" si="6"/>
        <v>80.808300000000003</v>
      </c>
      <c r="P42">
        <v>1</v>
      </c>
      <c r="Q42">
        <f t="shared" si="9"/>
        <v>2</v>
      </c>
      <c r="R42">
        <f t="shared" si="10"/>
        <v>2</v>
      </c>
      <c r="S42">
        <f t="shared" si="11"/>
        <v>0</v>
      </c>
      <c r="V42" t="s">
        <v>1045</v>
      </c>
    </row>
    <row r="43" spans="1:24" s="12" customFormat="1">
      <c r="A43">
        <v>42</v>
      </c>
      <c r="B43" s="12" t="s">
        <v>413</v>
      </c>
      <c r="C43" s="79">
        <v>60</v>
      </c>
      <c r="D43" s="79">
        <v>55</v>
      </c>
      <c r="E43" s="79">
        <v>70</v>
      </c>
      <c r="F43" s="79">
        <v>55</v>
      </c>
      <c r="G43" s="23">
        <f t="shared" si="12"/>
        <v>185</v>
      </c>
      <c r="H43" s="23">
        <f t="shared" si="0"/>
        <v>61.666666666666664</v>
      </c>
      <c r="I43" s="23">
        <f t="shared" si="13"/>
        <v>240</v>
      </c>
      <c r="J43" s="23">
        <f t="shared" si="1"/>
        <v>18.242699999999999</v>
      </c>
      <c r="K43" s="23">
        <f t="shared" si="2"/>
        <v>14.9339</v>
      </c>
      <c r="L43" s="23">
        <f t="shared" si="3"/>
        <v>26.005500000000001</v>
      </c>
      <c r="M43" s="23">
        <f t="shared" si="4"/>
        <v>14.9339</v>
      </c>
      <c r="N43" s="23">
        <f t="shared" si="5"/>
        <v>59.182100000000005</v>
      </c>
      <c r="O43" s="23">
        <f t="shared" si="6"/>
        <v>74.116</v>
      </c>
      <c r="P43">
        <v>1</v>
      </c>
      <c r="Q43">
        <f t="shared" si="9"/>
        <v>2</v>
      </c>
      <c r="R43">
        <f t="shared" si="10"/>
        <v>2</v>
      </c>
      <c r="S43">
        <f t="shared" si="11"/>
        <v>0</v>
      </c>
      <c r="V43" t="s">
        <v>1045</v>
      </c>
    </row>
    <row r="44" spans="1:24" s="12" customFormat="1">
      <c r="A44">
        <v>43</v>
      </c>
      <c r="B44" s="12" t="s">
        <v>414</v>
      </c>
      <c r="C44" s="79">
        <v>55</v>
      </c>
      <c r="D44" s="79">
        <v>70</v>
      </c>
      <c r="E44" s="79">
        <v>55</v>
      </c>
      <c r="F44" s="79">
        <v>40</v>
      </c>
      <c r="G44" s="23">
        <f t="shared" si="12"/>
        <v>180</v>
      </c>
      <c r="H44" s="23">
        <f t="shared" si="0"/>
        <v>60</v>
      </c>
      <c r="I44" s="23">
        <f t="shared" si="13"/>
        <v>220</v>
      </c>
      <c r="J44" s="23">
        <f t="shared" si="1"/>
        <v>14.9339</v>
      </c>
      <c r="K44" s="23">
        <f t="shared" si="2"/>
        <v>26.005500000000001</v>
      </c>
      <c r="L44" s="23">
        <f t="shared" si="3"/>
        <v>14.9339</v>
      </c>
      <c r="M44" s="23">
        <f t="shared" si="4"/>
        <v>7.1791999999999998</v>
      </c>
      <c r="N44" s="23">
        <f t="shared" si="5"/>
        <v>55.8733</v>
      </c>
      <c r="O44" s="23">
        <f t="shared" si="6"/>
        <v>63.052500000000002</v>
      </c>
      <c r="P44">
        <v>1</v>
      </c>
      <c r="Q44">
        <f t="shared" si="9"/>
        <v>2</v>
      </c>
      <c r="R44">
        <f t="shared" si="10"/>
        <v>2</v>
      </c>
      <c r="S44">
        <f t="shared" si="11"/>
        <v>0</v>
      </c>
      <c r="V44" t="s">
        <v>1045</v>
      </c>
    </row>
    <row r="45" spans="1:24" s="12" customFormat="1">
      <c r="A45">
        <v>44</v>
      </c>
      <c r="B45" s="12" t="s">
        <v>415</v>
      </c>
      <c r="C45" s="79">
        <v>60</v>
      </c>
      <c r="D45" s="79">
        <v>45</v>
      </c>
      <c r="E45" s="79">
        <v>70</v>
      </c>
      <c r="F45" s="79">
        <v>85</v>
      </c>
      <c r="G45" s="23">
        <f t="shared" si="12"/>
        <v>175</v>
      </c>
      <c r="H45" s="23">
        <f t="shared" si="0"/>
        <v>58.333333333333336</v>
      </c>
      <c r="I45" s="23">
        <f t="shared" si="13"/>
        <v>260</v>
      </c>
      <c r="J45" s="23">
        <f t="shared" si="1"/>
        <v>18.242699999999999</v>
      </c>
      <c r="K45" s="23">
        <f t="shared" si="2"/>
        <v>9.4130000000000003</v>
      </c>
      <c r="L45" s="23">
        <f t="shared" si="3"/>
        <v>26.005500000000001</v>
      </c>
      <c r="M45" s="23">
        <f t="shared" si="4"/>
        <v>40.6447</v>
      </c>
      <c r="N45" s="23">
        <f t="shared" si="5"/>
        <v>53.661200000000001</v>
      </c>
      <c r="O45" s="23">
        <f t="shared" si="6"/>
        <v>94.305900000000008</v>
      </c>
      <c r="P45">
        <v>1</v>
      </c>
      <c r="Q45">
        <f t="shared" si="9"/>
        <v>2</v>
      </c>
      <c r="R45">
        <f t="shared" si="10"/>
        <v>2</v>
      </c>
      <c r="S45">
        <f t="shared" si="11"/>
        <v>0</v>
      </c>
      <c r="V45" t="s">
        <v>1045</v>
      </c>
    </row>
    <row r="46" spans="1:24" s="12" customFormat="1">
      <c r="A46">
        <v>45</v>
      </c>
      <c r="B46" s="12" t="s">
        <v>416</v>
      </c>
      <c r="C46" s="79">
        <v>75</v>
      </c>
      <c r="D46" s="79">
        <v>85</v>
      </c>
      <c r="E46" s="79">
        <v>45</v>
      </c>
      <c r="F46" s="79">
        <v>55</v>
      </c>
      <c r="G46" s="23">
        <f t="shared" si="12"/>
        <v>205</v>
      </c>
      <c r="H46" s="23">
        <f t="shared" si="0"/>
        <v>68.333333333333329</v>
      </c>
      <c r="I46" s="23">
        <f t="shared" si="13"/>
        <v>260</v>
      </c>
      <c r="J46" s="23">
        <f t="shared" si="1"/>
        <v>30.477599999999999</v>
      </c>
      <c r="K46" s="23">
        <f t="shared" si="2"/>
        <v>40.6447</v>
      </c>
      <c r="L46" s="23">
        <f t="shared" si="3"/>
        <v>9.4130000000000003</v>
      </c>
      <c r="M46" s="23">
        <f t="shared" si="4"/>
        <v>14.9339</v>
      </c>
      <c r="N46" s="23">
        <f t="shared" si="5"/>
        <v>80.535299999999992</v>
      </c>
      <c r="O46" s="23">
        <f t="shared" si="6"/>
        <v>95.469199999999987</v>
      </c>
      <c r="P46">
        <v>1</v>
      </c>
      <c r="Q46">
        <f t="shared" si="9"/>
        <v>2</v>
      </c>
      <c r="R46">
        <f t="shared" si="10"/>
        <v>2</v>
      </c>
      <c r="S46">
        <f t="shared" si="11"/>
        <v>0</v>
      </c>
      <c r="V46" t="s">
        <v>1045</v>
      </c>
    </row>
    <row r="47" spans="1:24" s="12" customFormat="1">
      <c r="A47">
        <v>46</v>
      </c>
      <c r="B47" s="12" t="s">
        <v>418</v>
      </c>
      <c r="C47" s="79">
        <v>65</v>
      </c>
      <c r="D47" s="79">
        <v>75</v>
      </c>
      <c r="E47" s="79">
        <v>50</v>
      </c>
      <c r="F47" s="79">
        <v>50</v>
      </c>
      <c r="G47" s="23">
        <f t="shared" si="12"/>
        <v>190</v>
      </c>
      <c r="H47" s="23">
        <f t="shared" si="0"/>
        <v>63.333333333333336</v>
      </c>
      <c r="I47" s="23">
        <f t="shared" si="13"/>
        <v>240</v>
      </c>
      <c r="J47" s="23">
        <f t="shared" si="1"/>
        <v>21.930099999999999</v>
      </c>
      <c r="K47" s="23">
        <f t="shared" si="2"/>
        <v>30.477599999999999</v>
      </c>
      <c r="L47" s="23">
        <f t="shared" si="3"/>
        <v>11.994199999999999</v>
      </c>
      <c r="M47" s="23">
        <f t="shared" si="4"/>
        <v>11.994199999999999</v>
      </c>
      <c r="N47" s="23">
        <f t="shared" si="5"/>
        <v>64.401899999999998</v>
      </c>
      <c r="O47" s="23">
        <f t="shared" si="6"/>
        <v>76.39609999999999</v>
      </c>
      <c r="P47">
        <v>1</v>
      </c>
      <c r="Q47">
        <f t="shared" si="9"/>
        <v>2</v>
      </c>
      <c r="R47">
        <f t="shared" si="10"/>
        <v>2</v>
      </c>
      <c r="S47">
        <f t="shared" si="11"/>
        <v>0</v>
      </c>
      <c r="V47" t="s">
        <v>1045</v>
      </c>
    </row>
    <row r="48" spans="1:24" s="12" customFormat="1">
      <c r="A48">
        <v>47</v>
      </c>
      <c r="B48" s="12" t="s">
        <v>419</v>
      </c>
      <c r="C48" s="79">
        <v>80</v>
      </c>
      <c r="D48" s="79">
        <v>60</v>
      </c>
      <c r="E48" s="79">
        <v>100</v>
      </c>
      <c r="F48" s="79">
        <v>70</v>
      </c>
      <c r="G48" s="23">
        <f t="shared" si="12"/>
        <v>240</v>
      </c>
      <c r="H48" s="23">
        <f t="shared" si="0"/>
        <v>80</v>
      </c>
      <c r="I48" s="23">
        <f t="shared" si="13"/>
        <v>310</v>
      </c>
      <c r="J48" s="23">
        <f t="shared" si="1"/>
        <v>35.354700000000001</v>
      </c>
      <c r="K48" s="23">
        <f t="shared" si="2"/>
        <v>18.242699999999999</v>
      </c>
      <c r="L48" s="23">
        <f t="shared" si="3"/>
        <v>59.066299999999998</v>
      </c>
      <c r="M48" s="23">
        <f t="shared" si="4"/>
        <v>26.005500000000001</v>
      </c>
      <c r="N48" s="23">
        <f t="shared" si="5"/>
        <v>112.66370000000001</v>
      </c>
      <c r="O48" s="23">
        <f t="shared" si="6"/>
        <v>138.66920000000002</v>
      </c>
      <c r="P48">
        <v>1</v>
      </c>
      <c r="Q48">
        <f t="shared" si="9"/>
        <v>3</v>
      </c>
      <c r="R48">
        <f t="shared" si="10"/>
        <v>3</v>
      </c>
      <c r="S48">
        <f t="shared" si="11"/>
        <v>0</v>
      </c>
      <c r="V48" t="s">
        <v>1045</v>
      </c>
    </row>
    <row r="49" spans="1:25" s="12" customFormat="1">
      <c r="A49">
        <v>48</v>
      </c>
      <c r="B49" s="12" t="s">
        <v>420</v>
      </c>
      <c r="C49" s="79">
        <v>70</v>
      </c>
      <c r="D49" s="79">
        <v>65</v>
      </c>
      <c r="E49" s="79">
        <v>55</v>
      </c>
      <c r="F49" s="79">
        <v>45</v>
      </c>
      <c r="G49" s="23">
        <f t="shared" si="12"/>
        <v>190</v>
      </c>
      <c r="H49" s="23">
        <f t="shared" si="0"/>
        <v>63.333333333333336</v>
      </c>
      <c r="I49" s="23">
        <f t="shared" si="13"/>
        <v>235</v>
      </c>
      <c r="J49" s="23">
        <f t="shared" si="1"/>
        <v>26.005500000000001</v>
      </c>
      <c r="K49" s="23">
        <f t="shared" si="2"/>
        <v>21.930099999999999</v>
      </c>
      <c r="L49" s="23">
        <f t="shared" si="3"/>
        <v>14.9339</v>
      </c>
      <c r="M49" s="23">
        <f t="shared" si="4"/>
        <v>9.4130000000000003</v>
      </c>
      <c r="N49" s="23">
        <f t="shared" si="5"/>
        <v>62.869500000000002</v>
      </c>
      <c r="O49" s="23">
        <f t="shared" si="6"/>
        <v>72.282499999999999</v>
      </c>
      <c r="P49">
        <v>1</v>
      </c>
      <c r="Q49">
        <f t="shared" si="9"/>
        <v>2</v>
      </c>
      <c r="R49">
        <f t="shared" si="10"/>
        <v>2</v>
      </c>
      <c r="S49">
        <f t="shared" si="11"/>
        <v>0</v>
      </c>
      <c r="V49" t="s">
        <v>1045</v>
      </c>
      <c r="X49" s="12" t="s">
        <v>421</v>
      </c>
    </row>
    <row r="50" spans="1:25" s="12" customFormat="1">
      <c r="A50">
        <v>49</v>
      </c>
      <c r="B50" s="12" t="s">
        <v>438</v>
      </c>
      <c r="C50" s="79">
        <v>75</v>
      </c>
      <c r="D50" s="79">
        <v>65</v>
      </c>
      <c r="E50" s="79">
        <v>70</v>
      </c>
      <c r="F50" s="79">
        <v>50</v>
      </c>
      <c r="G50" s="23">
        <f t="shared" si="12"/>
        <v>210</v>
      </c>
      <c r="H50" s="23">
        <f t="shared" si="0"/>
        <v>70</v>
      </c>
      <c r="I50" s="23">
        <f t="shared" si="13"/>
        <v>260</v>
      </c>
      <c r="J50" s="23">
        <f t="shared" si="1"/>
        <v>30.477599999999999</v>
      </c>
      <c r="K50" s="23">
        <f t="shared" si="2"/>
        <v>21.930099999999999</v>
      </c>
      <c r="L50" s="23">
        <f t="shared" si="3"/>
        <v>26.005500000000001</v>
      </c>
      <c r="M50" s="23">
        <f t="shared" si="4"/>
        <v>11.994199999999999</v>
      </c>
      <c r="N50" s="23">
        <f t="shared" si="5"/>
        <v>78.413200000000003</v>
      </c>
      <c r="O50" s="23">
        <f t="shared" si="6"/>
        <v>90.407399999999996</v>
      </c>
      <c r="P50">
        <v>1</v>
      </c>
      <c r="Q50">
        <f t="shared" si="9"/>
        <v>2</v>
      </c>
      <c r="R50">
        <f t="shared" si="10"/>
        <v>2</v>
      </c>
      <c r="S50">
        <f t="shared" si="11"/>
        <v>0</v>
      </c>
      <c r="V50" t="s">
        <v>1045</v>
      </c>
      <c r="X50" s="12" t="s">
        <v>439</v>
      </c>
    </row>
    <row r="51" spans="1:25" s="12" customFormat="1">
      <c r="A51">
        <v>50</v>
      </c>
      <c r="B51" s="12" t="s">
        <v>412</v>
      </c>
      <c r="C51" s="79">
        <v>50</v>
      </c>
      <c r="D51" s="79">
        <v>30</v>
      </c>
      <c r="E51" s="79">
        <v>70</v>
      </c>
      <c r="F51" s="79">
        <v>60</v>
      </c>
      <c r="G51" s="23">
        <f t="shared" si="12"/>
        <v>150</v>
      </c>
      <c r="H51" s="23">
        <f t="shared" si="0"/>
        <v>50</v>
      </c>
      <c r="I51" s="23">
        <f t="shared" si="13"/>
        <v>210</v>
      </c>
      <c r="J51" s="23">
        <f t="shared" si="1"/>
        <v>11.994199999999999</v>
      </c>
      <c r="K51" s="23">
        <f t="shared" si="2"/>
        <v>3.7044000000000001</v>
      </c>
      <c r="L51" s="23">
        <f t="shared" si="3"/>
        <v>26.005500000000001</v>
      </c>
      <c r="M51" s="23">
        <f t="shared" si="4"/>
        <v>18.242699999999999</v>
      </c>
      <c r="N51" s="23">
        <f t="shared" si="5"/>
        <v>41.704099999999997</v>
      </c>
      <c r="O51" s="23">
        <f t="shared" si="6"/>
        <v>59.946799999999996</v>
      </c>
      <c r="P51">
        <v>1</v>
      </c>
      <c r="Q51">
        <f t="shared" si="9"/>
        <v>1</v>
      </c>
      <c r="R51">
        <f t="shared" si="10"/>
        <v>1</v>
      </c>
      <c r="S51">
        <f t="shared" si="11"/>
        <v>0</v>
      </c>
      <c r="U51" s="12" t="s">
        <v>423</v>
      </c>
      <c r="V51" t="s">
        <v>1045</v>
      </c>
    </row>
    <row r="52" spans="1:25">
      <c r="A52">
        <v>51</v>
      </c>
      <c r="B52" s="12" t="s">
        <v>425</v>
      </c>
      <c r="C52" s="79">
        <v>65</v>
      </c>
      <c r="D52" s="79">
        <v>50</v>
      </c>
      <c r="E52" s="79">
        <v>85</v>
      </c>
      <c r="F52" s="79">
        <v>80</v>
      </c>
      <c r="G52" s="23">
        <f t="shared" ref="G52:G94" si="14">SUM(C52:E52)</f>
        <v>200</v>
      </c>
      <c r="H52" s="23">
        <f t="shared" si="0"/>
        <v>66.666666666666671</v>
      </c>
      <c r="I52" s="23">
        <f t="shared" ref="I52:I94" si="15">SUM(C52:F52)</f>
        <v>280</v>
      </c>
      <c r="J52" s="23">
        <f t="shared" si="1"/>
        <v>21.930099999999999</v>
      </c>
      <c r="K52" s="23">
        <f t="shared" si="2"/>
        <v>11.994199999999999</v>
      </c>
      <c r="L52" s="23">
        <f t="shared" si="3"/>
        <v>40.6447</v>
      </c>
      <c r="M52" s="23">
        <f t="shared" si="4"/>
        <v>35.354700000000001</v>
      </c>
      <c r="N52" s="23">
        <f t="shared" si="5"/>
        <v>74.569000000000003</v>
      </c>
      <c r="O52" s="23">
        <f t="shared" si="6"/>
        <v>109.9237</v>
      </c>
      <c r="P52">
        <v>1</v>
      </c>
      <c r="Q52">
        <f t="shared" si="9"/>
        <v>2</v>
      </c>
      <c r="R52">
        <f t="shared" si="10"/>
        <v>2</v>
      </c>
      <c r="S52">
        <f t="shared" si="11"/>
        <v>0</v>
      </c>
      <c r="V52" t="s">
        <v>1044</v>
      </c>
    </row>
    <row r="53" spans="1:25">
      <c r="A53">
        <v>52</v>
      </c>
      <c r="B53" s="12" t="s">
        <v>426</v>
      </c>
      <c r="C53" s="79">
        <v>100</v>
      </c>
      <c r="D53" s="79">
        <v>85</v>
      </c>
      <c r="E53" s="79">
        <v>70</v>
      </c>
      <c r="F53" s="79">
        <v>50</v>
      </c>
      <c r="G53" s="23">
        <f t="shared" si="14"/>
        <v>255</v>
      </c>
      <c r="H53" s="23">
        <f t="shared" si="0"/>
        <v>85</v>
      </c>
      <c r="I53" s="23">
        <f t="shared" si="15"/>
        <v>305</v>
      </c>
      <c r="J53" s="23">
        <f t="shared" si="1"/>
        <v>59.066299999999998</v>
      </c>
      <c r="K53" s="23">
        <f t="shared" si="2"/>
        <v>40.6447</v>
      </c>
      <c r="L53" s="23">
        <f t="shared" si="3"/>
        <v>26.005500000000001</v>
      </c>
      <c r="M53" s="23">
        <f t="shared" si="4"/>
        <v>11.994199999999999</v>
      </c>
      <c r="N53" s="23">
        <f t="shared" si="5"/>
        <v>125.7165</v>
      </c>
      <c r="O53" s="23">
        <f t="shared" si="6"/>
        <v>137.7107</v>
      </c>
      <c r="P53">
        <v>1</v>
      </c>
      <c r="Q53">
        <f t="shared" si="9"/>
        <v>3</v>
      </c>
      <c r="R53">
        <f t="shared" si="10"/>
        <v>3</v>
      </c>
      <c r="S53">
        <f t="shared" si="11"/>
        <v>0</v>
      </c>
      <c r="V53" t="s">
        <v>1044</v>
      </c>
      <c r="W53" t="s">
        <v>428</v>
      </c>
      <c r="X53" t="s">
        <v>427</v>
      </c>
    </row>
    <row r="54" spans="1:25">
      <c r="A54">
        <v>53</v>
      </c>
      <c r="B54" s="12" t="s">
        <v>436</v>
      </c>
      <c r="C54" s="79">
        <v>75</v>
      </c>
      <c r="D54" s="79">
        <v>90</v>
      </c>
      <c r="E54" s="79">
        <v>60</v>
      </c>
      <c r="F54" s="79">
        <v>55</v>
      </c>
      <c r="G54" s="23">
        <f t="shared" si="14"/>
        <v>225</v>
      </c>
      <c r="H54" s="23">
        <f t="shared" si="0"/>
        <v>75</v>
      </c>
      <c r="I54" s="23">
        <f t="shared" si="15"/>
        <v>280</v>
      </c>
      <c r="J54" s="23">
        <f t="shared" si="1"/>
        <v>30.477599999999999</v>
      </c>
      <c r="K54" s="23">
        <f t="shared" si="2"/>
        <v>46.3551</v>
      </c>
      <c r="L54" s="23">
        <f t="shared" si="3"/>
        <v>18.242699999999999</v>
      </c>
      <c r="M54" s="23">
        <f t="shared" si="4"/>
        <v>14.9339</v>
      </c>
      <c r="N54" s="23">
        <f t="shared" si="5"/>
        <v>95.075400000000002</v>
      </c>
      <c r="O54" s="23">
        <f t="shared" si="6"/>
        <v>110.0093</v>
      </c>
      <c r="P54">
        <v>1</v>
      </c>
      <c r="Q54">
        <f t="shared" si="9"/>
        <v>3</v>
      </c>
      <c r="R54">
        <f t="shared" si="10"/>
        <v>2</v>
      </c>
      <c r="S54">
        <f t="shared" si="11"/>
        <v>-1</v>
      </c>
      <c r="V54" t="s">
        <v>1044</v>
      </c>
      <c r="X54" t="s">
        <v>437</v>
      </c>
    </row>
    <row r="55" spans="1:25">
      <c r="A55">
        <v>54</v>
      </c>
      <c r="B55" s="12" t="s">
        <v>440</v>
      </c>
      <c r="C55" s="79">
        <v>95</v>
      </c>
      <c r="D55" s="79">
        <v>85</v>
      </c>
      <c r="E55" s="79">
        <v>120</v>
      </c>
      <c r="F55" s="79">
        <v>70</v>
      </c>
      <c r="G55" s="23">
        <f t="shared" si="14"/>
        <v>300</v>
      </c>
      <c r="H55" s="23">
        <f t="shared" si="0"/>
        <v>100</v>
      </c>
      <c r="I55" s="23">
        <f t="shared" si="15"/>
        <v>370</v>
      </c>
      <c r="J55" s="23">
        <f t="shared" si="1"/>
        <v>52.493400000000001</v>
      </c>
      <c r="K55" s="23">
        <f t="shared" si="2"/>
        <v>40.6447</v>
      </c>
      <c r="L55" s="23">
        <f t="shared" si="3"/>
        <v>89.837400000000002</v>
      </c>
      <c r="M55" s="23">
        <f t="shared" si="4"/>
        <v>26.005500000000001</v>
      </c>
      <c r="N55" s="23">
        <f t="shared" si="5"/>
        <v>182.97550000000001</v>
      </c>
      <c r="O55" s="23">
        <f t="shared" si="6"/>
        <v>208.98100000000002</v>
      </c>
      <c r="P55">
        <v>1</v>
      </c>
      <c r="Q55">
        <f t="shared" si="9"/>
        <v>5</v>
      </c>
      <c r="R55">
        <f t="shared" si="10"/>
        <v>4</v>
      </c>
      <c r="S55">
        <f t="shared" si="11"/>
        <v>-1</v>
      </c>
      <c r="V55" t="s">
        <v>1044</v>
      </c>
      <c r="X55" t="s">
        <v>447</v>
      </c>
    </row>
    <row r="56" spans="1:25">
      <c r="A56">
        <v>55</v>
      </c>
      <c r="B56" s="12" t="s">
        <v>441</v>
      </c>
      <c r="C56" s="79">
        <v>60</v>
      </c>
      <c r="D56" s="79">
        <v>50</v>
      </c>
      <c r="E56" s="79">
        <v>100</v>
      </c>
      <c r="F56" s="79">
        <v>75</v>
      </c>
      <c r="G56" s="23">
        <f t="shared" si="14"/>
        <v>210</v>
      </c>
      <c r="H56" s="23">
        <f t="shared" si="0"/>
        <v>70</v>
      </c>
      <c r="I56" s="23">
        <f t="shared" si="15"/>
        <v>285</v>
      </c>
      <c r="J56" s="23">
        <f t="shared" si="1"/>
        <v>18.242699999999999</v>
      </c>
      <c r="K56" s="23">
        <f t="shared" si="2"/>
        <v>11.994199999999999</v>
      </c>
      <c r="L56" s="23">
        <f t="shared" si="3"/>
        <v>59.066299999999998</v>
      </c>
      <c r="M56" s="23">
        <f t="shared" si="4"/>
        <v>30.477599999999999</v>
      </c>
      <c r="N56" s="23">
        <f t="shared" si="5"/>
        <v>89.303200000000004</v>
      </c>
      <c r="O56" s="23">
        <f t="shared" si="6"/>
        <v>119.7808</v>
      </c>
      <c r="P56">
        <v>1</v>
      </c>
      <c r="Q56">
        <f t="shared" si="9"/>
        <v>2</v>
      </c>
      <c r="R56">
        <f t="shared" si="10"/>
        <v>2</v>
      </c>
      <c r="S56">
        <f t="shared" si="11"/>
        <v>0</v>
      </c>
      <c r="V56" t="s">
        <v>1044</v>
      </c>
      <c r="X56" t="s">
        <v>448</v>
      </c>
    </row>
    <row r="57" spans="1:25">
      <c r="A57">
        <v>56</v>
      </c>
      <c r="B57" t="s">
        <v>431</v>
      </c>
      <c r="C57" s="79">
        <v>70</v>
      </c>
      <c r="D57" s="79">
        <v>45</v>
      </c>
      <c r="E57" s="79">
        <v>80</v>
      </c>
      <c r="F57" s="79">
        <v>60</v>
      </c>
      <c r="G57" s="23">
        <f t="shared" si="14"/>
        <v>195</v>
      </c>
      <c r="H57" s="23">
        <f t="shared" si="0"/>
        <v>65</v>
      </c>
      <c r="I57" s="23">
        <f t="shared" si="15"/>
        <v>255</v>
      </c>
      <c r="J57" s="23">
        <f t="shared" si="1"/>
        <v>26.005500000000001</v>
      </c>
      <c r="K57" s="23">
        <f t="shared" si="2"/>
        <v>9.4130000000000003</v>
      </c>
      <c r="L57" s="23">
        <f t="shared" si="3"/>
        <v>35.354700000000001</v>
      </c>
      <c r="M57" s="23">
        <f t="shared" si="4"/>
        <v>18.242699999999999</v>
      </c>
      <c r="N57" s="23">
        <f t="shared" si="5"/>
        <v>70.773200000000003</v>
      </c>
      <c r="O57" s="23">
        <f t="shared" si="6"/>
        <v>89.015900000000002</v>
      </c>
      <c r="P57">
        <v>1</v>
      </c>
      <c r="Q57">
        <f t="shared" si="9"/>
        <v>2</v>
      </c>
      <c r="R57">
        <f t="shared" si="10"/>
        <v>2</v>
      </c>
      <c r="S57">
        <f t="shared" si="11"/>
        <v>0</v>
      </c>
      <c r="V57" t="s">
        <v>1044</v>
      </c>
      <c r="W57" t="s">
        <v>434</v>
      </c>
      <c r="X57" t="s">
        <v>432</v>
      </c>
      <c r="Y57" t="s">
        <v>433</v>
      </c>
    </row>
    <row r="58" spans="1:25">
      <c r="A58">
        <v>57</v>
      </c>
      <c r="B58" s="12" t="s">
        <v>445</v>
      </c>
      <c r="C58" s="79">
        <v>85</v>
      </c>
      <c r="D58" s="79">
        <v>70</v>
      </c>
      <c r="E58" s="79">
        <v>50</v>
      </c>
      <c r="F58" s="79">
        <v>70</v>
      </c>
      <c r="G58" s="23">
        <f t="shared" si="14"/>
        <v>205</v>
      </c>
      <c r="H58" s="23">
        <f t="shared" si="0"/>
        <v>68.333333333333329</v>
      </c>
      <c r="I58" s="23">
        <f t="shared" si="15"/>
        <v>275</v>
      </c>
      <c r="J58" s="23">
        <f t="shared" si="1"/>
        <v>40.6447</v>
      </c>
      <c r="K58" s="23">
        <f t="shared" si="2"/>
        <v>26.005500000000001</v>
      </c>
      <c r="L58" s="23">
        <f t="shared" si="3"/>
        <v>11.994199999999999</v>
      </c>
      <c r="M58" s="23">
        <f t="shared" si="4"/>
        <v>26.005500000000001</v>
      </c>
      <c r="N58" s="23">
        <f t="shared" si="5"/>
        <v>78.64439999999999</v>
      </c>
      <c r="O58" s="23">
        <f t="shared" si="6"/>
        <v>104.64989999999999</v>
      </c>
      <c r="P58">
        <v>1</v>
      </c>
      <c r="Q58">
        <f t="shared" si="9"/>
        <v>2</v>
      </c>
      <c r="R58">
        <f t="shared" si="10"/>
        <v>2</v>
      </c>
      <c r="S58">
        <f t="shared" si="11"/>
        <v>0</v>
      </c>
      <c r="V58" t="s">
        <v>1044</v>
      </c>
      <c r="X58" t="s">
        <v>446</v>
      </c>
    </row>
    <row r="59" spans="1:25">
      <c r="A59">
        <v>58</v>
      </c>
      <c r="B59" s="12" t="s">
        <v>283</v>
      </c>
      <c r="C59" s="79">
        <v>100</v>
      </c>
      <c r="D59" s="79">
        <v>90</v>
      </c>
      <c r="E59" s="79">
        <v>60</v>
      </c>
      <c r="F59" s="79">
        <v>80</v>
      </c>
      <c r="G59" s="23">
        <f t="shared" si="14"/>
        <v>250</v>
      </c>
      <c r="H59" s="23">
        <f t="shared" si="0"/>
        <v>83.333333333333329</v>
      </c>
      <c r="I59" s="23">
        <f t="shared" si="15"/>
        <v>330</v>
      </c>
      <c r="J59" s="23">
        <f t="shared" si="1"/>
        <v>59.066299999999998</v>
      </c>
      <c r="K59" s="23">
        <f t="shared" si="2"/>
        <v>46.3551</v>
      </c>
      <c r="L59" s="23">
        <f t="shared" si="3"/>
        <v>18.242699999999999</v>
      </c>
      <c r="M59" s="23">
        <f t="shared" si="4"/>
        <v>35.354700000000001</v>
      </c>
      <c r="N59" s="23">
        <f t="shared" si="5"/>
        <v>123.6641</v>
      </c>
      <c r="O59" s="23">
        <f t="shared" si="6"/>
        <v>159.0188</v>
      </c>
      <c r="P59">
        <v>1</v>
      </c>
      <c r="Q59">
        <f t="shared" si="9"/>
        <v>3</v>
      </c>
      <c r="R59">
        <f t="shared" si="10"/>
        <v>3</v>
      </c>
      <c r="S59">
        <f t="shared" si="11"/>
        <v>0</v>
      </c>
      <c r="V59" t="s">
        <v>1044</v>
      </c>
      <c r="X59" t="s">
        <v>430</v>
      </c>
    </row>
    <row r="60" spans="1:25">
      <c r="A60">
        <v>59</v>
      </c>
      <c r="B60" s="12" t="s">
        <v>284</v>
      </c>
      <c r="C60" s="79">
        <v>110</v>
      </c>
      <c r="D60" s="79">
        <v>80</v>
      </c>
      <c r="E60" s="79">
        <v>75</v>
      </c>
      <c r="F60" s="79">
        <v>80</v>
      </c>
      <c r="G60" s="23">
        <f t="shared" si="14"/>
        <v>265</v>
      </c>
      <c r="H60" s="23">
        <f t="shared" si="0"/>
        <v>88.333333333333329</v>
      </c>
      <c r="I60" s="23">
        <f t="shared" si="15"/>
        <v>345</v>
      </c>
      <c r="J60" s="23">
        <f t="shared" si="1"/>
        <v>73.543300000000002</v>
      </c>
      <c r="K60" s="23">
        <f t="shared" si="2"/>
        <v>35.354700000000001</v>
      </c>
      <c r="L60" s="23">
        <f t="shared" si="3"/>
        <v>30.477599999999999</v>
      </c>
      <c r="M60" s="23">
        <f t="shared" si="4"/>
        <v>35.354700000000001</v>
      </c>
      <c r="N60" s="23">
        <f t="shared" si="5"/>
        <v>139.37559999999999</v>
      </c>
      <c r="O60" s="23">
        <f t="shared" si="6"/>
        <v>174.7303</v>
      </c>
      <c r="P60">
        <v>1</v>
      </c>
      <c r="Q60">
        <f t="shared" si="9"/>
        <v>4</v>
      </c>
      <c r="R60">
        <f t="shared" si="10"/>
        <v>3</v>
      </c>
      <c r="S60">
        <f t="shared" si="11"/>
        <v>-1</v>
      </c>
      <c r="V60" t="s">
        <v>1044</v>
      </c>
      <c r="X60" t="s">
        <v>429</v>
      </c>
    </row>
    <row r="61" spans="1:25">
      <c r="A61">
        <v>60</v>
      </c>
      <c r="B61" s="12" t="s">
        <v>443</v>
      </c>
      <c r="C61" s="79">
        <v>70</v>
      </c>
      <c r="D61" s="79">
        <v>50</v>
      </c>
      <c r="E61" s="79">
        <v>100</v>
      </c>
      <c r="F61" s="79">
        <v>70</v>
      </c>
      <c r="G61" s="23">
        <f t="shared" si="14"/>
        <v>220</v>
      </c>
      <c r="H61" s="23">
        <f t="shared" si="0"/>
        <v>73.333333333333329</v>
      </c>
      <c r="I61" s="23">
        <f t="shared" si="15"/>
        <v>290</v>
      </c>
      <c r="J61" s="23">
        <f t="shared" si="1"/>
        <v>26.005500000000001</v>
      </c>
      <c r="K61" s="23">
        <f t="shared" si="2"/>
        <v>11.994199999999999</v>
      </c>
      <c r="L61" s="23">
        <f t="shared" si="3"/>
        <v>59.066299999999998</v>
      </c>
      <c r="M61" s="23">
        <f t="shared" si="4"/>
        <v>26.005500000000001</v>
      </c>
      <c r="N61" s="23">
        <f t="shared" si="5"/>
        <v>97.066000000000003</v>
      </c>
      <c r="O61" s="23">
        <f t="shared" si="6"/>
        <v>123.0715</v>
      </c>
      <c r="P61">
        <v>1</v>
      </c>
      <c r="Q61">
        <f t="shared" si="9"/>
        <v>3</v>
      </c>
      <c r="R61">
        <f t="shared" si="10"/>
        <v>3</v>
      </c>
      <c r="S61">
        <f t="shared" si="11"/>
        <v>0</v>
      </c>
      <c r="V61" t="s">
        <v>1044</v>
      </c>
      <c r="X61" t="s">
        <v>450</v>
      </c>
    </row>
    <row r="62" spans="1:25">
      <c r="A62">
        <v>61</v>
      </c>
      <c r="B62" s="12" t="s">
        <v>452</v>
      </c>
      <c r="C62" s="79">
        <v>50</v>
      </c>
      <c r="D62" s="79">
        <v>75</v>
      </c>
      <c r="E62" s="79">
        <v>55</v>
      </c>
      <c r="F62" s="79">
        <v>60</v>
      </c>
      <c r="G62" s="23">
        <f t="shared" si="14"/>
        <v>180</v>
      </c>
      <c r="H62" s="23">
        <f t="shared" si="0"/>
        <v>60</v>
      </c>
      <c r="I62" s="23">
        <f t="shared" si="15"/>
        <v>240</v>
      </c>
      <c r="J62" s="23">
        <f t="shared" si="1"/>
        <v>11.994199999999999</v>
      </c>
      <c r="K62" s="23">
        <f t="shared" si="2"/>
        <v>30.477599999999999</v>
      </c>
      <c r="L62" s="23">
        <f t="shared" si="3"/>
        <v>14.9339</v>
      </c>
      <c r="M62" s="23">
        <f t="shared" si="4"/>
        <v>18.242699999999999</v>
      </c>
      <c r="N62" s="23">
        <f t="shared" si="5"/>
        <v>57.405700000000003</v>
      </c>
      <c r="O62" s="23">
        <f t="shared" si="6"/>
        <v>75.648400000000009</v>
      </c>
      <c r="P62">
        <v>1</v>
      </c>
      <c r="Q62">
        <f t="shared" si="9"/>
        <v>2</v>
      </c>
      <c r="R62">
        <f t="shared" si="10"/>
        <v>2</v>
      </c>
      <c r="S62">
        <f t="shared" si="11"/>
        <v>0</v>
      </c>
      <c r="V62" t="s">
        <v>1044</v>
      </c>
      <c r="X62" t="s">
        <v>444</v>
      </c>
    </row>
    <row r="63" spans="1:25">
      <c r="A63">
        <v>62</v>
      </c>
      <c r="B63" t="s">
        <v>454</v>
      </c>
      <c r="C63" s="79">
        <v>80</v>
      </c>
      <c r="D63" s="79">
        <v>85</v>
      </c>
      <c r="E63" s="79">
        <v>50</v>
      </c>
      <c r="F63" s="79">
        <v>70</v>
      </c>
      <c r="G63" s="23">
        <f t="shared" si="14"/>
        <v>215</v>
      </c>
      <c r="H63" s="23">
        <f t="shared" si="0"/>
        <v>71.666666666666671</v>
      </c>
      <c r="I63" s="23">
        <f t="shared" si="15"/>
        <v>285</v>
      </c>
      <c r="J63" s="23">
        <f t="shared" si="1"/>
        <v>35.354700000000001</v>
      </c>
      <c r="K63" s="23">
        <f t="shared" si="2"/>
        <v>40.6447</v>
      </c>
      <c r="L63" s="23">
        <f t="shared" si="3"/>
        <v>11.994199999999999</v>
      </c>
      <c r="M63" s="23">
        <f t="shared" si="4"/>
        <v>26.005500000000001</v>
      </c>
      <c r="N63" s="23">
        <f t="shared" si="5"/>
        <v>87.993600000000015</v>
      </c>
      <c r="O63" s="23">
        <f t="shared" si="6"/>
        <v>113.99910000000001</v>
      </c>
      <c r="P63">
        <v>1</v>
      </c>
      <c r="Q63">
        <f t="shared" si="9"/>
        <v>2</v>
      </c>
      <c r="R63">
        <f t="shared" si="10"/>
        <v>2</v>
      </c>
      <c r="S63">
        <f t="shared" si="11"/>
        <v>0</v>
      </c>
      <c r="V63" t="s">
        <v>1044</v>
      </c>
      <c r="X63" t="s">
        <v>449</v>
      </c>
    </row>
    <row r="64" spans="1:25">
      <c r="A64">
        <v>63</v>
      </c>
      <c r="B64" t="s">
        <v>451</v>
      </c>
      <c r="C64" s="79">
        <v>70</v>
      </c>
      <c r="D64" s="79">
        <v>65</v>
      </c>
      <c r="E64" s="79">
        <v>60</v>
      </c>
      <c r="F64" s="79">
        <v>60</v>
      </c>
      <c r="G64" s="23">
        <f t="shared" si="14"/>
        <v>195</v>
      </c>
      <c r="H64" s="23">
        <f t="shared" si="0"/>
        <v>65</v>
      </c>
      <c r="I64" s="23">
        <f t="shared" si="15"/>
        <v>255</v>
      </c>
      <c r="J64" s="23">
        <f t="shared" si="1"/>
        <v>26.005500000000001</v>
      </c>
      <c r="K64" s="23">
        <f t="shared" si="2"/>
        <v>21.930099999999999</v>
      </c>
      <c r="L64" s="23">
        <f t="shared" si="3"/>
        <v>18.242699999999999</v>
      </c>
      <c r="M64" s="23">
        <f t="shared" si="4"/>
        <v>18.242699999999999</v>
      </c>
      <c r="N64" s="23">
        <f t="shared" si="5"/>
        <v>66.178300000000007</v>
      </c>
      <c r="O64" s="23">
        <f t="shared" si="6"/>
        <v>84.421000000000006</v>
      </c>
      <c r="P64">
        <v>1</v>
      </c>
      <c r="Q64">
        <f t="shared" si="9"/>
        <v>2</v>
      </c>
      <c r="R64">
        <f t="shared" si="10"/>
        <v>2</v>
      </c>
      <c r="S64">
        <f t="shared" si="11"/>
        <v>0</v>
      </c>
      <c r="V64" t="s">
        <v>1044</v>
      </c>
      <c r="X64" t="s">
        <v>453</v>
      </c>
    </row>
    <row r="65" spans="1:24">
      <c r="A65">
        <v>64</v>
      </c>
      <c r="B65" s="12" t="s">
        <v>456</v>
      </c>
      <c r="C65" s="79">
        <v>95</v>
      </c>
      <c r="D65" s="79">
        <v>75</v>
      </c>
      <c r="E65" s="79">
        <v>80</v>
      </c>
      <c r="F65" s="79">
        <v>65</v>
      </c>
      <c r="G65" s="23">
        <f t="shared" si="14"/>
        <v>250</v>
      </c>
      <c r="H65" s="23">
        <f t="shared" si="0"/>
        <v>83.333333333333329</v>
      </c>
      <c r="I65" s="23">
        <f t="shared" si="15"/>
        <v>315</v>
      </c>
      <c r="J65" s="23">
        <f t="shared" si="1"/>
        <v>52.493400000000001</v>
      </c>
      <c r="K65" s="23">
        <f t="shared" si="2"/>
        <v>30.477599999999999</v>
      </c>
      <c r="L65" s="23">
        <f t="shared" si="3"/>
        <v>35.354700000000001</v>
      </c>
      <c r="M65" s="23">
        <f t="shared" si="4"/>
        <v>21.930099999999999</v>
      </c>
      <c r="N65" s="23">
        <f t="shared" si="5"/>
        <v>118.32570000000001</v>
      </c>
      <c r="O65" s="23">
        <f t="shared" si="6"/>
        <v>140.25580000000002</v>
      </c>
      <c r="P65">
        <v>1</v>
      </c>
      <c r="Q65">
        <f t="shared" si="9"/>
        <v>3</v>
      </c>
      <c r="R65">
        <f t="shared" si="10"/>
        <v>3</v>
      </c>
      <c r="S65">
        <f t="shared" si="11"/>
        <v>0</v>
      </c>
      <c r="V65" t="s">
        <v>1044</v>
      </c>
      <c r="X65" t="s">
        <v>457</v>
      </c>
    </row>
    <row r="66" spans="1:24">
      <c r="A66">
        <v>65</v>
      </c>
      <c r="B66" s="12" t="s">
        <v>458</v>
      </c>
      <c r="C66" s="79">
        <v>70</v>
      </c>
      <c r="D66" s="79">
        <v>85</v>
      </c>
      <c r="E66" s="79">
        <v>65</v>
      </c>
      <c r="F66" s="79">
        <v>60</v>
      </c>
      <c r="G66" s="23">
        <f t="shared" si="14"/>
        <v>220</v>
      </c>
      <c r="H66" s="23">
        <f t="shared" ref="H66:H129" si="16">G66/COUNT(C66:E66)</f>
        <v>73.333333333333329</v>
      </c>
      <c r="I66" s="23">
        <f t="shared" si="15"/>
        <v>280</v>
      </c>
      <c r="J66" s="23">
        <f t="shared" ref="J66:J129" si="17">ROUND(POWER(C66,2.3)/674,4)</f>
        <v>26.005500000000001</v>
      </c>
      <c r="K66" s="23">
        <f t="shared" ref="K66:K129" si="18">ROUND(POWER(D66,2.3)/674,4)</f>
        <v>40.6447</v>
      </c>
      <c r="L66" s="23">
        <f t="shared" ref="L66:L129" si="19">ROUND(POWER(E66,2.3)/674,4)</f>
        <v>21.930099999999999</v>
      </c>
      <c r="M66" s="23">
        <f t="shared" ref="M66:M129" si="20">ROUND(POWER(F66,2.3)/674,4)</f>
        <v>18.242699999999999</v>
      </c>
      <c r="N66" s="23">
        <f t="shared" ref="N66:N129" si="21">SUM(J66:L66)</f>
        <v>88.580299999999994</v>
      </c>
      <c r="O66" s="23">
        <f t="shared" ref="O66:O129" si="22">SUM(J66:M66)</f>
        <v>106.82299999999999</v>
      </c>
      <c r="P66">
        <v>1</v>
      </c>
      <c r="Q66">
        <f t="shared" si="9"/>
        <v>2</v>
      </c>
      <c r="R66">
        <f t="shared" si="10"/>
        <v>2</v>
      </c>
      <c r="S66">
        <f t="shared" si="11"/>
        <v>0</v>
      </c>
      <c r="V66" t="s">
        <v>1044</v>
      </c>
      <c r="X66" t="s">
        <v>459</v>
      </c>
    </row>
    <row r="67" spans="1:24">
      <c r="A67">
        <v>66</v>
      </c>
      <c r="B67" s="12" t="s">
        <v>460</v>
      </c>
      <c r="C67" s="79">
        <v>65</v>
      </c>
      <c r="D67" s="79">
        <v>85</v>
      </c>
      <c r="E67" s="79">
        <v>60</v>
      </c>
      <c r="F67" s="79">
        <v>70</v>
      </c>
      <c r="G67" s="23">
        <f t="shared" si="14"/>
        <v>210</v>
      </c>
      <c r="H67" s="23">
        <f t="shared" si="16"/>
        <v>70</v>
      </c>
      <c r="I67" s="23">
        <f t="shared" si="15"/>
        <v>280</v>
      </c>
      <c r="J67" s="23">
        <f t="shared" si="17"/>
        <v>21.930099999999999</v>
      </c>
      <c r="K67" s="23">
        <f t="shared" si="18"/>
        <v>40.6447</v>
      </c>
      <c r="L67" s="23">
        <f t="shared" si="19"/>
        <v>18.242699999999999</v>
      </c>
      <c r="M67" s="23">
        <f t="shared" si="20"/>
        <v>26.005500000000001</v>
      </c>
      <c r="N67" s="23">
        <f t="shared" si="21"/>
        <v>80.817499999999995</v>
      </c>
      <c r="O67" s="23">
        <f t="shared" si="22"/>
        <v>106.82299999999999</v>
      </c>
      <c r="P67">
        <v>1</v>
      </c>
      <c r="Q67">
        <f t="shared" ref="Q67:Q130" si="23">commanderStars(N67,P67,FALSE)</f>
        <v>2</v>
      </c>
      <c r="R67">
        <f t="shared" ref="R67:R130" si="24">commanderStars(O67,P67,TRUE)</f>
        <v>2</v>
      </c>
      <c r="S67">
        <f t="shared" ref="S67:S130" si="25">R67-Q67</f>
        <v>0</v>
      </c>
      <c r="V67" t="s">
        <v>1044</v>
      </c>
      <c r="X67" t="s">
        <v>461</v>
      </c>
    </row>
    <row r="68" spans="1:24">
      <c r="A68">
        <v>67</v>
      </c>
      <c r="B68" s="12" t="s">
        <v>462</v>
      </c>
      <c r="C68" s="79">
        <v>60</v>
      </c>
      <c r="D68" s="79">
        <v>70</v>
      </c>
      <c r="E68" s="79">
        <v>80</v>
      </c>
      <c r="F68" s="79">
        <v>60</v>
      </c>
      <c r="G68" s="23">
        <f t="shared" si="14"/>
        <v>210</v>
      </c>
      <c r="H68" s="23">
        <f t="shared" si="16"/>
        <v>70</v>
      </c>
      <c r="I68" s="23">
        <f t="shared" si="15"/>
        <v>270</v>
      </c>
      <c r="J68" s="23">
        <f t="shared" si="17"/>
        <v>18.242699999999999</v>
      </c>
      <c r="K68" s="23">
        <f t="shared" si="18"/>
        <v>26.005500000000001</v>
      </c>
      <c r="L68" s="23">
        <f t="shared" si="19"/>
        <v>35.354700000000001</v>
      </c>
      <c r="M68" s="23">
        <f t="shared" si="20"/>
        <v>18.242699999999999</v>
      </c>
      <c r="N68" s="23">
        <f t="shared" si="21"/>
        <v>79.602900000000005</v>
      </c>
      <c r="O68" s="23">
        <f t="shared" si="22"/>
        <v>97.845600000000005</v>
      </c>
      <c r="P68">
        <v>1</v>
      </c>
      <c r="Q68">
        <f t="shared" si="23"/>
        <v>2</v>
      </c>
      <c r="R68">
        <f t="shared" si="24"/>
        <v>2</v>
      </c>
      <c r="S68">
        <f t="shared" si="25"/>
        <v>0</v>
      </c>
      <c r="V68" t="s">
        <v>1044</v>
      </c>
      <c r="X68" t="s">
        <v>463</v>
      </c>
    </row>
    <row r="69" spans="1:24">
      <c r="A69">
        <v>68</v>
      </c>
      <c r="B69" s="12" t="s">
        <v>464</v>
      </c>
      <c r="C69" s="79">
        <v>80</v>
      </c>
      <c r="D69" s="79">
        <v>70</v>
      </c>
      <c r="E69" s="79">
        <v>75</v>
      </c>
      <c r="F69" s="79">
        <v>50</v>
      </c>
      <c r="G69" s="23">
        <f t="shared" si="14"/>
        <v>225</v>
      </c>
      <c r="H69" s="23">
        <f t="shared" si="16"/>
        <v>75</v>
      </c>
      <c r="I69" s="23">
        <f t="shared" si="15"/>
        <v>275</v>
      </c>
      <c r="J69" s="23">
        <f t="shared" si="17"/>
        <v>35.354700000000001</v>
      </c>
      <c r="K69" s="23">
        <f t="shared" si="18"/>
        <v>26.005500000000001</v>
      </c>
      <c r="L69" s="23">
        <f t="shared" si="19"/>
        <v>30.477599999999999</v>
      </c>
      <c r="M69" s="23">
        <f t="shared" si="20"/>
        <v>11.994199999999999</v>
      </c>
      <c r="N69" s="23">
        <f t="shared" si="21"/>
        <v>91.837800000000001</v>
      </c>
      <c r="O69" s="23">
        <f t="shared" si="22"/>
        <v>103.83199999999999</v>
      </c>
      <c r="P69">
        <v>1</v>
      </c>
      <c r="Q69">
        <f t="shared" si="23"/>
        <v>3</v>
      </c>
      <c r="R69">
        <f t="shared" si="24"/>
        <v>2</v>
      </c>
      <c r="S69">
        <f t="shared" si="25"/>
        <v>-1</v>
      </c>
      <c r="V69" t="s">
        <v>1044</v>
      </c>
      <c r="X69" t="s">
        <v>465</v>
      </c>
    </row>
    <row r="70" spans="1:24">
      <c r="A70">
        <v>69</v>
      </c>
      <c r="B70" s="12" t="s">
        <v>466</v>
      </c>
      <c r="C70" s="79">
        <v>80</v>
      </c>
      <c r="D70" s="79">
        <v>70</v>
      </c>
      <c r="E70" s="79">
        <v>60</v>
      </c>
      <c r="F70" s="79">
        <v>70</v>
      </c>
      <c r="G70" s="23">
        <f t="shared" si="14"/>
        <v>210</v>
      </c>
      <c r="H70" s="23">
        <f t="shared" si="16"/>
        <v>70</v>
      </c>
      <c r="I70" s="23">
        <f t="shared" si="15"/>
        <v>280</v>
      </c>
      <c r="J70" s="23">
        <f t="shared" si="17"/>
        <v>35.354700000000001</v>
      </c>
      <c r="K70" s="23">
        <f t="shared" si="18"/>
        <v>26.005500000000001</v>
      </c>
      <c r="L70" s="23">
        <f t="shared" si="19"/>
        <v>18.242699999999999</v>
      </c>
      <c r="M70" s="23">
        <f t="shared" si="20"/>
        <v>26.005500000000001</v>
      </c>
      <c r="N70" s="23">
        <f t="shared" si="21"/>
        <v>79.602900000000005</v>
      </c>
      <c r="O70" s="23">
        <f t="shared" si="22"/>
        <v>105.6084</v>
      </c>
      <c r="P70">
        <v>1</v>
      </c>
      <c r="Q70">
        <f t="shared" si="23"/>
        <v>2</v>
      </c>
      <c r="R70">
        <f t="shared" si="24"/>
        <v>2</v>
      </c>
      <c r="S70">
        <f t="shared" si="25"/>
        <v>0</v>
      </c>
      <c r="V70" t="s">
        <v>1044</v>
      </c>
      <c r="X70" t="s">
        <v>467</v>
      </c>
    </row>
    <row r="71" spans="1:24">
      <c r="A71">
        <v>70</v>
      </c>
      <c r="B71" s="12" t="s">
        <v>468</v>
      </c>
      <c r="C71" s="79">
        <v>70</v>
      </c>
      <c r="D71" s="79">
        <v>75</v>
      </c>
      <c r="E71" s="79">
        <v>80</v>
      </c>
      <c r="F71" s="79">
        <v>50</v>
      </c>
      <c r="G71" s="23">
        <f t="shared" si="14"/>
        <v>225</v>
      </c>
      <c r="H71" s="23">
        <f t="shared" si="16"/>
        <v>75</v>
      </c>
      <c r="I71" s="23">
        <f t="shared" si="15"/>
        <v>275</v>
      </c>
      <c r="J71" s="23">
        <f t="shared" si="17"/>
        <v>26.005500000000001</v>
      </c>
      <c r="K71" s="23">
        <f t="shared" si="18"/>
        <v>30.477599999999999</v>
      </c>
      <c r="L71" s="23">
        <f t="shared" si="19"/>
        <v>35.354700000000001</v>
      </c>
      <c r="M71" s="23">
        <f t="shared" si="20"/>
        <v>11.994199999999999</v>
      </c>
      <c r="N71" s="23">
        <f t="shared" si="21"/>
        <v>91.837800000000001</v>
      </c>
      <c r="O71" s="23">
        <f t="shared" si="22"/>
        <v>103.83199999999999</v>
      </c>
      <c r="P71">
        <v>1</v>
      </c>
      <c r="Q71">
        <f t="shared" si="23"/>
        <v>3</v>
      </c>
      <c r="R71">
        <f t="shared" si="24"/>
        <v>2</v>
      </c>
      <c r="S71">
        <f t="shared" si="25"/>
        <v>-1</v>
      </c>
      <c r="V71" t="s">
        <v>1044</v>
      </c>
      <c r="X71" t="s">
        <v>469</v>
      </c>
    </row>
    <row r="72" spans="1:24">
      <c r="A72">
        <v>71</v>
      </c>
      <c r="B72" s="12" t="s">
        <v>470</v>
      </c>
      <c r="C72" s="79">
        <v>90</v>
      </c>
      <c r="D72" s="79">
        <v>70</v>
      </c>
      <c r="E72" s="79">
        <v>65</v>
      </c>
      <c r="F72" s="79">
        <v>60</v>
      </c>
      <c r="G72" s="23">
        <f t="shared" si="14"/>
        <v>225</v>
      </c>
      <c r="H72" s="23">
        <f t="shared" si="16"/>
        <v>75</v>
      </c>
      <c r="I72" s="23">
        <f t="shared" si="15"/>
        <v>285</v>
      </c>
      <c r="J72" s="23">
        <f t="shared" si="17"/>
        <v>46.3551</v>
      </c>
      <c r="K72" s="23">
        <f t="shared" si="18"/>
        <v>26.005500000000001</v>
      </c>
      <c r="L72" s="23">
        <f t="shared" si="19"/>
        <v>21.930099999999999</v>
      </c>
      <c r="M72" s="23">
        <f t="shared" si="20"/>
        <v>18.242699999999999</v>
      </c>
      <c r="N72" s="23">
        <f t="shared" si="21"/>
        <v>94.290700000000001</v>
      </c>
      <c r="O72" s="23">
        <f t="shared" si="22"/>
        <v>112.5334</v>
      </c>
      <c r="P72">
        <v>1</v>
      </c>
      <c r="Q72">
        <f t="shared" si="23"/>
        <v>3</v>
      </c>
      <c r="R72">
        <f t="shared" si="24"/>
        <v>2</v>
      </c>
      <c r="S72">
        <f t="shared" si="25"/>
        <v>-1</v>
      </c>
      <c r="V72" t="s">
        <v>1044</v>
      </c>
      <c r="X72" t="s">
        <v>471</v>
      </c>
    </row>
    <row r="73" spans="1:24">
      <c r="A73">
        <v>72</v>
      </c>
      <c r="B73" s="12" t="s">
        <v>472</v>
      </c>
      <c r="C73" s="79">
        <v>80</v>
      </c>
      <c r="D73" s="79">
        <v>85</v>
      </c>
      <c r="E73" s="79">
        <v>65</v>
      </c>
      <c r="F73" s="79">
        <v>65</v>
      </c>
      <c r="G73" s="23">
        <f t="shared" si="14"/>
        <v>230</v>
      </c>
      <c r="H73" s="23">
        <f t="shared" si="16"/>
        <v>76.666666666666671</v>
      </c>
      <c r="I73" s="23">
        <f t="shared" si="15"/>
        <v>295</v>
      </c>
      <c r="J73" s="23">
        <f t="shared" si="17"/>
        <v>35.354700000000001</v>
      </c>
      <c r="K73" s="23">
        <f t="shared" si="18"/>
        <v>40.6447</v>
      </c>
      <c r="L73" s="23">
        <f t="shared" si="19"/>
        <v>21.930099999999999</v>
      </c>
      <c r="M73" s="23">
        <f t="shared" si="20"/>
        <v>21.930099999999999</v>
      </c>
      <c r="N73" s="23">
        <f t="shared" si="21"/>
        <v>97.929500000000004</v>
      </c>
      <c r="O73" s="23">
        <f t="shared" si="22"/>
        <v>119.8596</v>
      </c>
      <c r="P73">
        <v>1</v>
      </c>
      <c r="Q73">
        <f t="shared" si="23"/>
        <v>3</v>
      </c>
      <c r="R73">
        <f t="shared" si="24"/>
        <v>2</v>
      </c>
      <c r="S73">
        <f t="shared" si="25"/>
        <v>-1</v>
      </c>
      <c r="V73" t="s">
        <v>1044</v>
      </c>
      <c r="X73" t="s">
        <v>474</v>
      </c>
    </row>
    <row r="74" spans="1:24">
      <c r="A74">
        <v>73</v>
      </c>
      <c r="B74" s="12" t="s">
        <v>473</v>
      </c>
      <c r="C74" s="79">
        <v>75</v>
      </c>
      <c r="D74" s="79">
        <v>90</v>
      </c>
      <c r="E74" s="79">
        <v>65</v>
      </c>
      <c r="F74" s="79">
        <v>55</v>
      </c>
      <c r="G74" s="23">
        <f t="shared" si="14"/>
        <v>230</v>
      </c>
      <c r="H74" s="23">
        <f t="shared" si="16"/>
        <v>76.666666666666671</v>
      </c>
      <c r="I74" s="23">
        <f t="shared" si="15"/>
        <v>285</v>
      </c>
      <c r="J74" s="23">
        <f t="shared" si="17"/>
        <v>30.477599999999999</v>
      </c>
      <c r="K74" s="23">
        <f t="shared" si="18"/>
        <v>46.3551</v>
      </c>
      <c r="L74" s="23">
        <f t="shared" si="19"/>
        <v>21.930099999999999</v>
      </c>
      <c r="M74" s="23">
        <f t="shared" si="20"/>
        <v>14.9339</v>
      </c>
      <c r="N74" s="23">
        <f t="shared" si="21"/>
        <v>98.762799999999999</v>
      </c>
      <c r="O74" s="23">
        <f t="shared" si="22"/>
        <v>113.69669999999999</v>
      </c>
      <c r="P74">
        <v>1</v>
      </c>
      <c r="Q74">
        <f t="shared" si="23"/>
        <v>3</v>
      </c>
      <c r="R74">
        <f t="shared" si="24"/>
        <v>2</v>
      </c>
      <c r="S74">
        <f t="shared" si="25"/>
        <v>-1</v>
      </c>
      <c r="V74" t="s">
        <v>1044</v>
      </c>
      <c r="X74" t="s">
        <v>475</v>
      </c>
    </row>
    <row r="75" spans="1:24">
      <c r="A75">
        <v>74</v>
      </c>
      <c r="B75" s="12" t="s">
        <v>476</v>
      </c>
      <c r="C75" s="79">
        <v>75</v>
      </c>
      <c r="D75" s="79">
        <v>70</v>
      </c>
      <c r="E75" s="79">
        <v>85</v>
      </c>
      <c r="F75" s="79">
        <v>50</v>
      </c>
      <c r="G75" s="23">
        <f t="shared" si="14"/>
        <v>230</v>
      </c>
      <c r="H75" s="23">
        <f t="shared" si="16"/>
        <v>76.666666666666671</v>
      </c>
      <c r="I75" s="23">
        <f t="shared" si="15"/>
        <v>280</v>
      </c>
      <c r="J75" s="23">
        <f t="shared" si="17"/>
        <v>30.477599999999999</v>
      </c>
      <c r="K75" s="23">
        <f t="shared" si="18"/>
        <v>26.005500000000001</v>
      </c>
      <c r="L75" s="23">
        <f t="shared" si="19"/>
        <v>40.6447</v>
      </c>
      <c r="M75" s="23">
        <f t="shared" si="20"/>
        <v>11.994199999999999</v>
      </c>
      <c r="N75" s="23">
        <f t="shared" si="21"/>
        <v>97.127800000000008</v>
      </c>
      <c r="O75" s="23">
        <f t="shared" si="22"/>
        <v>109.12200000000001</v>
      </c>
      <c r="P75">
        <v>1</v>
      </c>
      <c r="Q75">
        <f t="shared" si="23"/>
        <v>3</v>
      </c>
      <c r="R75">
        <f t="shared" si="24"/>
        <v>2</v>
      </c>
      <c r="S75">
        <f t="shared" si="25"/>
        <v>-1</v>
      </c>
      <c r="V75" t="s">
        <v>1044</v>
      </c>
      <c r="X75" t="s">
        <v>477</v>
      </c>
    </row>
    <row r="76" spans="1:24">
      <c r="A76">
        <v>75</v>
      </c>
      <c r="B76" s="12" t="s">
        <v>478</v>
      </c>
      <c r="C76" s="79">
        <v>75</v>
      </c>
      <c r="D76" s="79">
        <v>65</v>
      </c>
      <c r="E76" s="79">
        <v>85</v>
      </c>
      <c r="F76" s="79">
        <v>65</v>
      </c>
      <c r="G76" s="23">
        <f t="shared" si="14"/>
        <v>225</v>
      </c>
      <c r="H76" s="23">
        <f t="shared" si="16"/>
        <v>75</v>
      </c>
      <c r="I76" s="23">
        <f t="shared" si="15"/>
        <v>290</v>
      </c>
      <c r="J76" s="23">
        <f t="shared" si="17"/>
        <v>30.477599999999999</v>
      </c>
      <c r="K76" s="23">
        <f t="shared" si="18"/>
        <v>21.930099999999999</v>
      </c>
      <c r="L76" s="23">
        <f t="shared" si="19"/>
        <v>40.6447</v>
      </c>
      <c r="M76" s="23">
        <f t="shared" si="20"/>
        <v>21.930099999999999</v>
      </c>
      <c r="N76" s="23">
        <f t="shared" si="21"/>
        <v>93.052400000000006</v>
      </c>
      <c r="O76" s="23">
        <f t="shared" si="22"/>
        <v>114.9825</v>
      </c>
      <c r="P76">
        <v>1</v>
      </c>
      <c r="Q76">
        <f t="shared" si="23"/>
        <v>3</v>
      </c>
      <c r="R76">
        <f t="shared" si="24"/>
        <v>2</v>
      </c>
      <c r="S76">
        <f t="shared" si="25"/>
        <v>-1</v>
      </c>
      <c r="V76" t="s">
        <v>1044</v>
      </c>
      <c r="X76" t="s">
        <v>479</v>
      </c>
    </row>
    <row r="77" spans="1:24">
      <c r="A77">
        <v>76</v>
      </c>
      <c r="B77" s="12" t="s">
        <v>480</v>
      </c>
      <c r="C77" s="79">
        <v>85</v>
      </c>
      <c r="D77" s="79">
        <v>75</v>
      </c>
      <c r="E77" s="79">
        <v>60</v>
      </c>
      <c r="F77" s="79">
        <v>70</v>
      </c>
      <c r="G77" s="23">
        <f t="shared" si="14"/>
        <v>220</v>
      </c>
      <c r="H77" s="23">
        <f t="shared" si="16"/>
        <v>73.333333333333329</v>
      </c>
      <c r="I77" s="23">
        <f t="shared" si="15"/>
        <v>290</v>
      </c>
      <c r="J77" s="23">
        <f t="shared" si="17"/>
        <v>40.6447</v>
      </c>
      <c r="K77" s="23">
        <f t="shared" si="18"/>
        <v>30.477599999999999</v>
      </c>
      <c r="L77" s="23">
        <f t="shared" si="19"/>
        <v>18.242699999999999</v>
      </c>
      <c r="M77" s="23">
        <f t="shared" si="20"/>
        <v>26.005500000000001</v>
      </c>
      <c r="N77" s="23">
        <f t="shared" si="21"/>
        <v>89.364999999999995</v>
      </c>
      <c r="O77" s="23">
        <f t="shared" si="22"/>
        <v>115.37049999999999</v>
      </c>
      <c r="P77">
        <v>1</v>
      </c>
      <c r="Q77">
        <f t="shared" si="23"/>
        <v>2</v>
      </c>
      <c r="R77">
        <f t="shared" si="24"/>
        <v>2</v>
      </c>
      <c r="S77">
        <f t="shared" si="25"/>
        <v>0</v>
      </c>
      <c r="V77" t="s">
        <v>1044</v>
      </c>
      <c r="X77" t="s">
        <v>481</v>
      </c>
    </row>
    <row r="78" spans="1:24">
      <c r="A78">
        <v>77</v>
      </c>
      <c r="B78" s="12" t="s">
        <v>482</v>
      </c>
      <c r="C78" s="79">
        <v>80</v>
      </c>
      <c r="D78" s="79">
        <v>80</v>
      </c>
      <c r="E78" s="79">
        <v>65</v>
      </c>
      <c r="F78" s="79">
        <v>65</v>
      </c>
      <c r="G78" s="23">
        <f t="shared" si="14"/>
        <v>225</v>
      </c>
      <c r="H78" s="23">
        <f t="shared" si="16"/>
        <v>75</v>
      </c>
      <c r="I78" s="23">
        <f t="shared" si="15"/>
        <v>290</v>
      </c>
      <c r="J78" s="23">
        <f t="shared" si="17"/>
        <v>35.354700000000001</v>
      </c>
      <c r="K78" s="23">
        <f t="shared" si="18"/>
        <v>35.354700000000001</v>
      </c>
      <c r="L78" s="23">
        <f t="shared" si="19"/>
        <v>21.930099999999999</v>
      </c>
      <c r="M78" s="23">
        <f t="shared" si="20"/>
        <v>21.930099999999999</v>
      </c>
      <c r="N78" s="23">
        <f t="shared" si="21"/>
        <v>92.639499999999998</v>
      </c>
      <c r="O78" s="23">
        <f t="shared" si="22"/>
        <v>114.56959999999999</v>
      </c>
      <c r="P78">
        <v>1</v>
      </c>
      <c r="Q78">
        <f t="shared" si="23"/>
        <v>3</v>
      </c>
      <c r="R78">
        <f t="shared" si="24"/>
        <v>2</v>
      </c>
      <c r="S78">
        <f t="shared" si="25"/>
        <v>-1</v>
      </c>
      <c r="V78" t="s">
        <v>1044</v>
      </c>
      <c r="X78" t="s">
        <v>483</v>
      </c>
    </row>
    <row r="79" spans="1:24">
      <c r="A79">
        <v>78</v>
      </c>
      <c r="B79" s="12" t="s">
        <v>484</v>
      </c>
      <c r="C79" s="79">
        <v>80</v>
      </c>
      <c r="D79" s="79">
        <v>70</v>
      </c>
      <c r="E79" s="79">
        <v>80</v>
      </c>
      <c r="F79" s="79">
        <v>65</v>
      </c>
      <c r="G79" s="23">
        <f t="shared" si="14"/>
        <v>230</v>
      </c>
      <c r="H79" s="23">
        <f t="shared" si="16"/>
        <v>76.666666666666671</v>
      </c>
      <c r="I79" s="23">
        <f t="shared" si="15"/>
        <v>295</v>
      </c>
      <c r="J79" s="23">
        <f t="shared" si="17"/>
        <v>35.354700000000001</v>
      </c>
      <c r="K79" s="23">
        <f t="shared" si="18"/>
        <v>26.005500000000001</v>
      </c>
      <c r="L79" s="23">
        <f t="shared" si="19"/>
        <v>35.354700000000001</v>
      </c>
      <c r="M79" s="23">
        <f t="shared" si="20"/>
        <v>21.930099999999999</v>
      </c>
      <c r="N79" s="23">
        <f t="shared" si="21"/>
        <v>96.7149</v>
      </c>
      <c r="O79" s="23">
        <f t="shared" si="22"/>
        <v>118.645</v>
      </c>
      <c r="P79">
        <v>1</v>
      </c>
      <c r="Q79">
        <f t="shared" si="23"/>
        <v>3</v>
      </c>
      <c r="R79">
        <f t="shared" si="24"/>
        <v>2</v>
      </c>
      <c r="S79">
        <f t="shared" si="25"/>
        <v>-1</v>
      </c>
      <c r="V79" t="s">
        <v>1044</v>
      </c>
      <c r="X79" t="s">
        <v>485</v>
      </c>
    </row>
    <row r="80" spans="1:24">
      <c r="A80">
        <v>79</v>
      </c>
      <c r="B80" s="12" t="s">
        <v>486</v>
      </c>
      <c r="C80" s="79">
        <v>65</v>
      </c>
      <c r="D80" s="79">
        <v>75</v>
      </c>
      <c r="E80" s="79">
        <v>80</v>
      </c>
      <c r="F80" s="79">
        <v>75</v>
      </c>
      <c r="G80" s="23">
        <f t="shared" si="14"/>
        <v>220</v>
      </c>
      <c r="H80" s="23">
        <f t="shared" si="16"/>
        <v>73.333333333333329</v>
      </c>
      <c r="I80" s="23">
        <f t="shared" si="15"/>
        <v>295</v>
      </c>
      <c r="J80" s="23">
        <f t="shared" si="17"/>
        <v>21.930099999999999</v>
      </c>
      <c r="K80" s="23">
        <f t="shared" si="18"/>
        <v>30.477599999999999</v>
      </c>
      <c r="L80" s="23">
        <f t="shared" si="19"/>
        <v>35.354700000000001</v>
      </c>
      <c r="M80" s="23">
        <f t="shared" si="20"/>
        <v>30.477599999999999</v>
      </c>
      <c r="N80" s="23">
        <f t="shared" si="21"/>
        <v>87.7624</v>
      </c>
      <c r="O80" s="23">
        <f t="shared" si="22"/>
        <v>118.24</v>
      </c>
      <c r="P80">
        <v>1</v>
      </c>
      <c r="Q80">
        <f t="shared" si="23"/>
        <v>2</v>
      </c>
      <c r="R80">
        <f t="shared" si="24"/>
        <v>2</v>
      </c>
      <c r="S80">
        <f t="shared" si="25"/>
        <v>0</v>
      </c>
      <c r="V80" t="s">
        <v>1044</v>
      </c>
      <c r="X80" t="s">
        <v>487</v>
      </c>
    </row>
    <row r="81" spans="1:24">
      <c r="A81">
        <v>80</v>
      </c>
      <c r="B81" s="12" t="s">
        <v>488</v>
      </c>
      <c r="C81" s="79">
        <v>85</v>
      </c>
      <c r="D81" s="79">
        <v>80</v>
      </c>
      <c r="E81" s="79">
        <v>65</v>
      </c>
      <c r="F81" s="79">
        <v>65</v>
      </c>
      <c r="G81" s="23">
        <f t="shared" si="14"/>
        <v>230</v>
      </c>
      <c r="H81" s="23">
        <f t="shared" si="16"/>
        <v>76.666666666666671</v>
      </c>
      <c r="I81" s="23">
        <f t="shared" si="15"/>
        <v>295</v>
      </c>
      <c r="J81" s="23">
        <f t="shared" si="17"/>
        <v>40.6447</v>
      </c>
      <c r="K81" s="23">
        <f t="shared" si="18"/>
        <v>35.354700000000001</v>
      </c>
      <c r="L81" s="23">
        <f t="shared" si="19"/>
        <v>21.930099999999999</v>
      </c>
      <c r="M81" s="23">
        <f t="shared" si="20"/>
        <v>21.930099999999999</v>
      </c>
      <c r="N81" s="23">
        <f t="shared" si="21"/>
        <v>97.929500000000004</v>
      </c>
      <c r="O81" s="23">
        <f t="shared" si="22"/>
        <v>119.8596</v>
      </c>
      <c r="P81">
        <v>1</v>
      </c>
      <c r="Q81">
        <f t="shared" si="23"/>
        <v>3</v>
      </c>
      <c r="R81">
        <f t="shared" si="24"/>
        <v>2</v>
      </c>
      <c r="S81">
        <f t="shared" si="25"/>
        <v>-1</v>
      </c>
      <c r="V81" t="s">
        <v>1044</v>
      </c>
      <c r="X81" t="s">
        <v>489</v>
      </c>
    </row>
    <row r="82" spans="1:24">
      <c r="A82">
        <v>81</v>
      </c>
      <c r="B82" s="12" t="s">
        <v>490</v>
      </c>
      <c r="C82" s="79">
        <v>70</v>
      </c>
      <c r="D82" s="79">
        <v>85</v>
      </c>
      <c r="E82" s="79">
        <v>70</v>
      </c>
      <c r="F82" s="79">
        <v>70</v>
      </c>
      <c r="G82" s="23">
        <f t="shared" si="14"/>
        <v>225</v>
      </c>
      <c r="H82" s="23">
        <f t="shared" si="16"/>
        <v>75</v>
      </c>
      <c r="I82" s="23">
        <f t="shared" si="15"/>
        <v>295</v>
      </c>
      <c r="J82" s="23">
        <f t="shared" si="17"/>
        <v>26.005500000000001</v>
      </c>
      <c r="K82" s="23">
        <f t="shared" si="18"/>
        <v>40.6447</v>
      </c>
      <c r="L82" s="23">
        <f t="shared" si="19"/>
        <v>26.005500000000001</v>
      </c>
      <c r="M82" s="23">
        <f t="shared" si="20"/>
        <v>26.005500000000001</v>
      </c>
      <c r="N82" s="23">
        <f t="shared" si="21"/>
        <v>92.655699999999996</v>
      </c>
      <c r="O82" s="23">
        <f t="shared" si="22"/>
        <v>118.66119999999999</v>
      </c>
      <c r="P82">
        <v>1</v>
      </c>
      <c r="Q82">
        <f t="shared" si="23"/>
        <v>3</v>
      </c>
      <c r="R82">
        <f t="shared" si="24"/>
        <v>2</v>
      </c>
      <c r="S82">
        <f t="shared" si="25"/>
        <v>-1</v>
      </c>
      <c r="V82" t="s">
        <v>1044</v>
      </c>
      <c r="X82" t="s">
        <v>491</v>
      </c>
    </row>
    <row r="83" spans="1:24">
      <c r="A83">
        <v>82</v>
      </c>
      <c r="B83" s="12" t="s">
        <v>492</v>
      </c>
      <c r="C83" s="79">
        <v>75</v>
      </c>
      <c r="D83" s="79">
        <v>85</v>
      </c>
      <c r="E83" s="79">
        <v>85</v>
      </c>
      <c r="F83" s="79">
        <v>50</v>
      </c>
      <c r="G83" s="23">
        <f t="shared" si="14"/>
        <v>245</v>
      </c>
      <c r="H83" s="23">
        <f t="shared" si="16"/>
        <v>81.666666666666671</v>
      </c>
      <c r="I83" s="23">
        <f t="shared" si="15"/>
        <v>295</v>
      </c>
      <c r="J83" s="23">
        <f t="shared" si="17"/>
        <v>30.477599999999999</v>
      </c>
      <c r="K83" s="23">
        <f t="shared" si="18"/>
        <v>40.6447</v>
      </c>
      <c r="L83" s="23">
        <f t="shared" si="19"/>
        <v>40.6447</v>
      </c>
      <c r="M83" s="23">
        <f t="shared" si="20"/>
        <v>11.994199999999999</v>
      </c>
      <c r="N83" s="23">
        <f t="shared" si="21"/>
        <v>111.767</v>
      </c>
      <c r="O83" s="23">
        <f t="shared" si="22"/>
        <v>123.7612</v>
      </c>
      <c r="P83">
        <v>1</v>
      </c>
      <c r="Q83">
        <f t="shared" si="23"/>
        <v>3</v>
      </c>
      <c r="R83">
        <f t="shared" si="24"/>
        <v>3</v>
      </c>
      <c r="S83">
        <f t="shared" si="25"/>
        <v>0</v>
      </c>
      <c r="V83" t="s">
        <v>1044</v>
      </c>
      <c r="X83" t="s">
        <v>493</v>
      </c>
    </row>
    <row r="84" spans="1:24">
      <c r="A84">
        <v>83</v>
      </c>
      <c r="B84" s="12" t="s">
        <v>494</v>
      </c>
      <c r="C84" s="79">
        <v>90</v>
      </c>
      <c r="D84" s="79">
        <v>65</v>
      </c>
      <c r="E84" s="79">
        <v>70</v>
      </c>
      <c r="F84" s="79">
        <v>75</v>
      </c>
      <c r="G84" s="23">
        <f t="shared" si="14"/>
        <v>225</v>
      </c>
      <c r="H84" s="23">
        <f t="shared" si="16"/>
        <v>75</v>
      </c>
      <c r="I84" s="23">
        <f t="shared" si="15"/>
        <v>300</v>
      </c>
      <c r="J84" s="23">
        <f t="shared" si="17"/>
        <v>46.3551</v>
      </c>
      <c r="K84" s="23">
        <f t="shared" si="18"/>
        <v>21.930099999999999</v>
      </c>
      <c r="L84" s="23">
        <f t="shared" si="19"/>
        <v>26.005500000000001</v>
      </c>
      <c r="M84" s="23">
        <f t="shared" si="20"/>
        <v>30.477599999999999</v>
      </c>
      <c r="N84" s="23">
        <f t="shared" si="21"/>
        <v>94.290700000000001</v>
      </c>
      <c r="O84" s="23">
        <f t="shared" si="22"/>
        <v>124.7683</v>
      </c>
      <c r="P84">
        <v>1</v>
      </c>
      <c r="Q84">
        <f t="shared" si="23"/>
        <v>3</v>
      </c>
      <c r="R84">
        <f t="shared" si="24"/>
        <v>3</v>
      </c>
      <c r="S84">
        <f t="shared" si="25"/>
        <v>0</v>
      </c>
      <c r="V84" t="s">
        <v>1044</v>
      </c>
      <c r="X84" t="s">
        <v>495</v>
      </c>
    </row>
    <row r="85" spans="1:24">
      <c r="A85">
        <v>84</v>
      </c>
      <c r="B85" s="12" t="s">
        <v>496</v>
      </c>
      <c r="C85" s="79">
        <v>95</v>
      </c>
      <c r="D85" s="79">
        <v>70</v>
      </c>
      <c r="E85" s="79">
        <v>80</v>
      </c>
      <c r="F85" s="79">
        <v>55</v>
      </c>
      <c r="G85" s="23">
        <f t="shared" si="14"/>
        <v>245</v>
      </c>
      <c r="H85" s="23">
        <f t="shared" si="16"/>
        <v>81.666666666666671</v>
      </c>
      <c r="I85" s="23">
        <f t="shared" si="15"/>
        <v>300</v>
      </c>
      <c r="J85" s="23">
        <f t="shared" si="17"/>
        <v>52.493400000000001</v>
      </c>
      <c r="K85" s="23">
        <f t="shared" si="18"/>
        <v>26.005500000000001</v>
      </c>
      <c r="L85" s="23">
        <f t="shared" si="19"/>
        <v>35.354700000000001</v>
      </c>
      <c r="M85" s="23">
        <f t="shared" si="20"/>
        <v>14.9339</v>
      </c>
      <c r="N85" s="23">
        <f t="shared" si="21"/>
        <v>113.8536</v>
      </c>
      <c r="O85" s="23">
        <f t="shared" si="22"/>
        <v>128.78749999999999</v>
      </c>
      <c r="P85">
        <v>1</v>
      </c>
      <c r="Q85">
        <f t="shared" si="23"/>
        <v>3</v>
      </c>
      <c r="R85">
        <f t="shared" si="24"/>
        <v>3</v>
      </c>
      <c r="S85">
        <f t="shared" si="25"/>
        <v>0</v>
      </c>
      <c r="V85" t="s">
        <v>1044</v>
      </c>
      <c r="X85" t="s">
        <v>498</v>
      </c>
    </row>
    <row r="86" spans="1:24">
      <c r="A86">
        <v>85</v>
      </c>
      <c r="B86" s="12" t="s">
        <v>499</v>
      </c>
      <c r="C86" s="79">
        <v>75</v>
      </c>
      <c r="D86" s="79">
        <v>95</v>
      </c>
      <c r="E86" s="79">
        <v>60</v>
      </c>
      <c r="F86" s="79">
        <v>70</v>
      </c>
      <c r="G86" s="23">
        <f t="shared" si="14"/>
        <v>230</v>
      </c>
      <c r="H86" s="23">
        <f t="shared" si="16"/>
        <v>76.666666666666671</v>
      </c>
      <c r="I86" s="23">
        <f t="shared" si="15"/>
        <v>300</v>
      </c>
      <c r="J86" s="23">
        <f t="shared" si="17"/>
        <v>30.477599999999999</v>
      </c>
      <c r="K86" s="23">
        <f t="shared" si="18"/>
        <v>52.493400000000001</v>
      </c>
      <c r="L86" s="23">
        <f t="shared" si="19"/>
        <v>18.242699999999999</v>
      </c>
      <c r="M86" s="23">
        <f t="shared" si="20"/>
        <v>26.005500000000001</v>
      </c>
      <c r="N86" s="23">
        <f t="shared" si="21"/>
        <v>101.2137</v>
      </c>
      <c r="O86" s="23">
        <f t="shared" si="22"/>
        <v>127.2192</v>
      </c>
      <c r="P86">
        <v>1</v>
      </c>
      <c r="Q86">
        <f t="shared" si="23"/>
        <v>3</v>
      </c>
      <c r="R86">
        <f t="shared" si="24"/>
        <v>3</v>
      </c>
      <c r="S86">
        <f t="shared" si="25"/>
        <v>0</v>
      </c>
      <c r="V86" t="s">
        <v>1044</v>
      </c>
      <c r="X86" t="s">
        <v>500</v>
      </c>
    </row>
    <row r="87" spans="1:24">
      <c r="A87">
        <v>86</v>
      </c>
      <c r="B87" s="12" t="s">
        <v>501</v>
      </c>
      <c r="C87" s="79">
        <v>70</v>
      </c>
      <c r="D87" s="79">
        <v>95</v>
      </c>
      <c r="E87" s="79">
        <v>70</v>
      </c>
      <c r="F87" s="79">
        <v>65</v>
      </c>
      <c r="G87" s="23">
        <f t="shared" si="14"/>
        <v>235</v>
      </c>
      <c r="H87" s="23">
        <f t="shared" si="16"/>
        <v>78.333333333333329</v>
      </c>
      <c r="I87" s="23">
        <f t="shared" si="15"/>
        <v>300</v>
      </c>
      <c r="J87" s="23">
        <f t="shared" si="17"/>
        <v>26.005500000000001</v>
      </c>
      <c r="K87" s="23">
        <f t="shared" si="18"/>
        <v>52.493400000000001</v>
      </c>
      <c r="L87" s="23">
        <f t="shared" si="19"/>
        <v>26.005500000000001</v>
      </c>
      <c r="M87" s="23">
        <f t="shared" si="20"/>
        <v>21.930099999999999</v>
      </c>
      <c r="N87" s="23">
        <f t="shared" si="21"/>
        <v>104.5044</v>
      </c>
      <c r="O87" s="23">
        <f t="shared" si="22"/>
        <v>126.4345</v>
      </c>
      <c r="P87">
        <v>1</v>
      </c>
      <c r="Q87">
        <f t="shared" si="23"/>
        <v>3</v>
      </c>
      <c r="R87">
        <f t="shared" si="24"/>
        <v>3</v>
      </c>
      <c r="S87">
        <f t="shared" si="25"/>
        <v>0</v>
      </c>
      <c r="V87" t="s">
        <v>1044</v>
      </c>
      <c r="X87" t="s">
        <v>502</v>
      </c>
    </row>
    <row r="88" spans="1:24">
      <c r="A88">
        <v>87</v>
      </c>
      <c r="B88" s="12" t="s">
        <v>503</v>
      </c>
      <c r="C88" s="79">
        <v>95</v>
      </c>
      <c r="D88" s="79">
        <v>75</v>
      </c>
      <c r="E88" s="79">
        <v>70</v>
      </c>
      <c r="F88" s="79">
        <v>65</v>
      </c>
      <c r="G88" s="23">
        <f t="shared" si="14"/>
        <v>240</v>
      </c>
      <c r="H88" s="23">
        <f t="shared" si="16"/>
        <v>80</v>
      </c>
      <c r="I88" s="23">
        <f t="shared" si="15"/>
        <v>305</v>
      </c>
      <c r="J88" s="23">
        <f t="shared" si="17"/>
        <v>52.493400000000001</v>
      </c>
      <c r="K88" s="23">
        <f t="shared" si="18"/>
        <v>30.477599999999999</v>
      </c>
      <c r="L88" s="23">
        <f t="shared" si="19"/>
        <v>26.005500000000001</v>
      </c>
      <c r="M88" s="23">
        <f t="shared" si="20"/>
        <v>21.930099999999999</v>
      </c>
      <c r="N88" s="23">
        <f t="shared" si="21"/>
        <v>108.9765</v>
      </c>
      <c r="O88" s="23">
        <f t="shared" si="22"/>
        <v>130.9066</v>
      </c>
      <c r="P88">
        <v>1</v>
      </c>
      <c r="Q88">
        <f t="shared" si="23"/>
        <v>3</v>
      </c>
      <c r="R88">
        <f t="shared" si="24"/>
        <v>3</v>
      </c>
      <c r="S88">
        <f t="shared" si="25"/>
        <v>0</v>
      </c>
      <c r="V88" t="s">
        <v>1044</v>
      </c>
      <c r="X88" t="s">
        <v>504</v>
      </c>
    </row>
    <row r="89" spans="1:24">
      <c r="A89">
        <v>88</v>
      </c>
      <c r="B89" s="12" t="s">
        <v>505</v>
      </c>
      <c r="C89" s="79">
        <v>90</v>
      </c>
      <c r="D89" s="79">
        <v>60</v>
      </c>
      <c r="E89" s="79">
        <v>65</v>
      </c>
      <c r="F89" s="79">
        <v>90</v>
      </c>
      <c r="G89" s="23">
        <f t="shared" si="14"/>
        <v>215</v>
      </c>
      <c r="H89" s="23">
        <f t="shared" si="16"/>
        <v>71.666666666666671</v>
      </c>
      <c r="I89" s="23">
        <f t="shared" si="15"/>
        <v>305</v>
      </c>
      <c r="J89" s="23">
        <f t="shared" si="17"/>
        <v>46.3551</v>
      </c>
      <c r="K89" s="23">
        <f t="shared" si="18"/>
        <v>18.242699999999999</v>
      </c>
      <c r="L89" s="23">
        <f t="shared" si="19"/>
        <v>21.930099999999999</v>
      </c>
      <c r="M89" s="23">
        <f t="shared" si="20"/>
        <v>46.3551</v>
      </c>
      <c r="N89" s="23">
        <f t="shared" si="21"/>
        <v>86.527900000000002</v>
      </c>
      <c r="O89" s="23">
        <f t="shared" si="22"/>
        <v>132.88300000000001</v>
      </c>
      <c r="P89">
        <v>1</v>
      </c>
      <c r="Q89">
        <f t="shared" si="23"/>
        <v>2</v>
      </c>
      <c r="R89">
        <f t="shared" si="24"/>
        <v>3</v>
      </c>
      <c r="S89">
        <f t="shared" si="25"/>
        <v>1</v>
      </c>
      <c r="V89" t="s">
        <v>1044</v>
      </c>
      <c r="X89" t="s">
        <v>506</v>
      </c>
    </row>
    <row r="90" spans="1:24">
      <c r="A90">
        <v>89</v>
      </c>
      <c r="B90" s="12" t="s">
        <v>455</v>
      </c>
      <c r="C90" s="79">
        <v>95</v>
      </c>
      <c r="D90" s="79">
        <v>85</v>
      </c>
      <c r="E90" s="79">
        <v>70</v>
      </c>
      <c r="F90" s="79">
        <v>55</v>
      </c>
      <c r="G90" s="23">
        <f t="shared" si="14"/>
        <v>250</v>
      </c>
      <c r="H90" s="23">
        <f t="shared" si="16"/>
        <v>83.333333333333329</v>
      </c>
      <c r="I90" s="23">
        <f t="shared" si="15"/>
        <v>305</v>
      </c>
      <c r="J90" s="23">
        <f t="shared" si="17"/>
        <v>52.493400000000001</v>
      </c>
      <c r="K90" s="23">
        <f t="shared" si="18"/>
        <v>40.6447</v>
      </c>
      <c r="L90" s="23">
        <f t="shared" si="19"/>
        <v>26.005500000000001</v>
      </c>
      <c r="M90" s="23">
        <f t="shared" si="20"/>
        <v>14.9339</v>
      </c>
      <c r="N90" s="23">
        <f t="shared" si="21"/>
        <v>119.14360000000001</v>
      </c>
      <c r="O90" s="23">
        <f t="shared" si="22"/>
        <v>134.07750000000001</v>
      </c>
      <c r="P90">
        <v>1</v>
      </c>
      <c r="Q90">
        <f t="shared" si="23"/>
        <v>3</v>
      </c>
      <c r="R90">
        <f t="shared" si="24"/>
        <v>3</v>
      </c>
      <c r="S90">
        <f t="shared" si="25"/>
        <v>0</v>
      </c>
      <c r="V90" t="s">
        <v>1044</v>
      </c>
      <c r="X90" t="s">
        <v>498</v>
      </c>
    </row>
    <row r="91" spans="1:24">
      <c r="A91">
        <v>90</v>
      </c>
      <c r="B91" s="12" t="s">
        <v>507</v>
      </c>
      <c r="C91" s="79">
        <v>75</v>
      </c>
      <c r="D91" s="79">
        <v>80</v>
      </c>
      <c r="E91" s="79">
        <v>90</v>
      </c>
      <c r="F91" s="79">
        <v>60</v>
      </c>
      <c r="G91" s="23">
        <f t="shared" si="14"/>
        <v>245</v>
      </c>
      <c r="H91" s="23">
        <f t="shared" si="16"/>
        <v>81.666666666666671</v>
      </c>
      <c r="I91" s="23">
        <f t="shared" si="15"/>
        <v>305</v>
      </c>
      <c r="J91" s="23">
        <f t="shared" si="17"/>
        <v>30.477599999999999</v>
      </c>
      <c r="K91" s="23">
        <f t="shared" si="18"/>
        <v>35.354700000000001</v>
      </c>
      <c r="L91" s="23">
        <f t="shared" si="19"/>
        <v>46.3551</v>
      </c>
      <c r="M91" s="23">
        <f t="shared" si="20"/>
        <v>18.242699999999999</v>
      </c>
      <c r="N91" s="23">
        <f t="shared" si="21"/>
        <v>112.1874</v>
      </c>
      <c r="O91" s="23">
        <f t="shared" si="22"/>
        <v>130.43009999999998</v>
      </c>
      <c r="P91">
        <v>1</v>
      </c>
      <c r="Q91">
        <f t="shared" si="23"/>
        <v>3</v>
      </c>
      <c r="R91">
        <f t="shared" si="24"/>
        <v>3</v>
      </c>
      <c r="S91">
        <f t="shared" si="25"/>
        <v>0</v>
      </c>
      <c r="V91" t="s">
        <v>1044</v>
      </c>
      <c r="X91" t="s">
        <v>497</v>
      </c>
    </row>
    <row r="92" spans="1:24">
      <c r="A92">
        <v>91</v>
      </c>
      <c r="B92" s="12" t="s">
        <v>508</v>
      </c>
      <c r="C92" s="79">
        <v>90</v>
      </c>
      <c r="D92" s="79">
        <v>70</v>
      </c>
      <c r="E92" s="79">
        <v>80</v>
      </c>
      <c r="F92" s="79">
        <v>70</v>
      </c>
      <c r="G92" s="23">
        <f t="shared" si="14"/>
        <v>240</v>
      </c>
      <c r="H92" s="23">
        <f t="shared" si="16"/>
        <v>80</v>
      </c>
      <c r="I92" s="23">
        <f t="shared" si="15"/>
        <v>310</v>
      </c>
      <c r="J92" s="23">
        <f t="shared" si="17"/>
        <v>46.3551</v>
      </c>
      <c r="K92" s="23">
        <f t="shared" si="18"/>
        <v>26.005500000000001</v>
      </c>
      <c r="L92" s="23">
        <f t="shared" si="19"/>
        <v>35.354700000000001</v>
      </c>
      <c r="M92" s="23">
        <f t="shared" si="20"/>
        <v>26.005500000000001</v>
      </c>
      <c r="N92" s="23">
        <f t="shared" si="21"/>
        <v>107.71530000000001</v>
      </c>
      <c r="O92" s="23">
        <f t="shared" si="22"/>
        <v>133.72080000000003</v>
      </c>
      <c r="P92">
        <v>1</v>
      </c>
      <c r="Q92">
        <f t="shared" si="23"/>
        <v>3</v>
      </c>
      <c r="R92">
        <f t="shared" si="24"/>
        <v>3</v>
      </c>
      <c r="S92">
        <f t="shared" si="25"/>
        <v>0</v>
      </c>
      <c r="V92" t="s">
        <v>1044</v>
      </c>
      <c r="X92" t="s">
        <v>509</v>
      </c>
    </row>
    <row r="93" spans="1:24">
      <c r="A93">
        <v>92</v>
      </c>
      <c r="B93" s="12" t="s">
        <v>435</v>
      </c>
      <c r="C93" s="79">
        <v>80</v>
      </c>
      <c r="D93" s="79">
        <v>40</v>
      </c>
      <c r="E93" s="79">
        <v>100</v>
      </c>
      <c r="F93" s="79">
        <v>70</v>
      </c>
      <c r="G93" s="23">
        <f t="shared" si="14"/>
        <v>220</v>
      </c>
      <c r="H93" s="23">
        <f t="shared" si="16"/>
        <v>73.333333333333329</v>
      </c>
      <c r="I93" s="23">
        <f t="shared" si="15"/>
        <v>290</v>
      </c>
      <c r="J93" s="23">
        <f t="shared" si="17"/>
        <v>35.354700000000001</v>
      </c>
      <c r="K93" s="23">
        <f t="shared" si="18"/>
        <v>7.1791999999999998</v>
      </c>
      <c r="L93" s="23">
        <f t="shared" si="19"/>
        <v>59.066299999999998</v>
      </c>
      <c r="M93" s="23">
        <f t="shared" si="20"/>
        <v>26.005500000000001</v>
      </c>
      <c r="N93" s="23">
        <f t="shared" si="21"/>
        <v>101.6002</v>
      </c>
      <c r="O93" s="23">
        <f t="shared" si="22"/>
        <v>127.6057</v>
      </c>
      <c r="P93">
        <v>1</v>
      </c>
      <c r="Q93">
        <f t="shared" si="23"/>
        <v>3</v>
      </c>
      <c r="R93">
        <f t="shared" si="24"/>
        <v>3</v>
      </c>
      <c r="S93">
        <f t="shared" si="25"/>
        <v>0</v>
      </c>
      <c r="V93" t="s">
        <v>1044</v>
      </c>
    </row>
    <row r="94" spans="1:24">
      <c r="A94">
        <v>93</v>
      </c>
      <c r="B94" s="12" t="s">
        <v>422</v>
      </c>
      <c r="C94" s="79">
        <v>40</v>
      </c>
      <c r="D94" s="79">
        <v>30</v>
      </c>
      <c r="E94" s="79">
        <v>90</v>
      </c>
      <c r="F94" s="79">
        <v>75</v>
      </c>
      <c r="G94" s="23">
        <f t="shared" si="14"/>
        <v>160</v>
      </c>
      <c r="H94" s="23">
        <f t="shared" si="16"/>
        <v>53.333333333333336</v>
      </c>
      <c r="I94" s="23">
        <f t="shared" si="15"/>
        <v>235</v>
      </c>
      <c r="J94" s="23">
        <f t="shared" si="17"/>
        <v>7.1791999999999998</v>
      </c>
      <c r="K94" s="23">
        <f t="shared" si="18"/>
        <v>3.7044000000000001</v>
      </c>
      <c r="L94" s="23">
        <f t="shared" si="19"/>
        <v>46.3551</v>
      </c>
      <c r="M94" s="23">
        <f t="shared" si="20"/>
        <v>30.477599999999999</v>
      </c>
      <c r="N94" s="23">
        <f t="shared" si="21"/>
        <v>57.238700000000001</v>
      </c>
      <c r="O94" s="23">
        <f t="shared" si="22"/>
        <v>87.716300000000004</v>
      </c>
      <c r="P94">
        <v>1</v>
      </c>
      <c r="Q94">
        <f t="shared" si="23"/>
        <v>2</v>
      </c>
      <c r="R94">
        <f t="shared" si="24"/>
        <v>2</v>
      </c>
      <c r="S94">
        <f t="shared" si="25"/>
        <v>0</v>
      </c>
      <c r="U94" t="s">
        <v>424</v>
      </c>
      <c r="V94" t="s">
        <v>1044</v>
      </c>
    </row>
    <row r="95" spans="1:24">
      <c r="A95">
        <v>94</v>
      </c>
      <c r="B95" s="12" t="s">
        <v>699</v>
      </c>
      <c r="C95" s="79">
        <v>75</v>
      </c>
      <c r="D95" s="79">
        <v>85</v>
      </c>
      <c r="E95" s="79">
        <v>50</v>
      </c>
      <c r="F95" s="79">
        <v>50</v>
      </c>
      <c r="G95" s="23">
        <f t="shared" ref="G95:G158" si="26">SUM(C95:E95)</f>
        <v>210</v>
      </c>
      <c r="H95" s="23">
        <f t="shared" si="16"/>
        <v>70</v>
      </c>
      <c r="I95" s="23">
        <f t="shared" ref="I95:I158" si="27">SUM(C95:F95)</f>
        <v>260</v>
      </c>
      <c r="J95" s="23">
        <f t="shared" si="17"/>
        <v>30.477599999999999</v>
      </c>
      <c r="K95" s="23">
        <f t="shared" si="18"/>
        <v>40.6447</v>
      </c>
      <c r="L95" s="23">
        <f t="shared" si="19"/>
        <v>11.994199999999999</v>
      </c>
      <c r="M95" s="23">
        <f t="shared" si="20"/>
        <v>11.994199999999999</v>
      </c>
      <c r="N95" s="23">
        <f t="shared" si="21"/>
        <v>83.116500000000002</v>
      </c>
      <c r="O95" s="23">
        <f t="shared" si="22"/>
        <v>95.110700000000008</v>
      </c>
      <c r="P95">
        <v>1</v>
      </c>
      <c r="Q95">
        <f t="shared" si="23"/>
        <v>2</v>
      </c>
      <c r="R95">
        <f t="shared" si="24"/>
        <v>2</v>
      </c>
      <c r="S95">
        <f t="shared" si="25"/>
        <v>0</v>
      </c>
      <c r="V95" t="s">
        <v>1046</v>
      </c>
      <c r="X95" t="s">
        <v>700</v>
      </c>
    </row>
    <row r="96" spans="1:24">
      <c r="A96">
        <v>95</v>
      </c>
      <c r="B96" s="12" t="s">
        <v>641</v>
      </c>
      <c r="C96" s="79">
        <v>55</v>
      </c>
      <c r="D96" s="79">
        <v>60</v>
      </c>
      <c r="E96" s="79">
        <v>35</v>
      </c>
      <c r="F96" s="79">
        <v>40</v>
      </c>
      <c r="G96" s="23">
        <f t="shared" si="26"/>
        <v>150</v>
      </c>
      <c r="H96" s="23">
        <f t="shared" si="16"/>
        <v>50</v>
      </c>
      <c r="I96" s="23">
        <f t="shared" si="27"/>
        <v>190</v>
      </c>
      <c r="J96" s="23">
        <f t="shared" si="17"/>
        <v>14.9339</v>
      </c>
      <c r="K96" s="23">
        <f t="shared" si="18"/>
        <v>18.242699999999999</v>
      </c>
      <c r="L96" s="23">
        <f t="shared" si="19"/>
        <v>5.2808000000000002</v>
      </c>
      <c r="M96" s="23">
        <f t="shared" si="20"/>
        <v>7.1791999999999998</v>
      </c>
      <c r="N96" s="23">
        <f t="shared" si="21"/>
        <v>38.4574</v>
      </c>
      <c r="O96" s="23">
        <f t="shared" si="22"/>
        <v>45.636600000000001</v>
      </c>
      <c r="P96">
        <v>1</v>
      </c>
      <c r="Q96">
        <f t="shared" si="23"/>
        <v>1</v>
      </c>
      <c r="R96">
        <f t="shared" si="24"/>
        <v>1</v>
      </c>
      <c r="S96">
        <f t="shared" si="25"/>
        <v>0</v>
      </c>
      <c r="V96" t="s">
        <v>1046</v>
      </c>
    </row>
    <row r="97" spans="1:24">
      <c r="A97">
        <v>96</v>
      </c>
      <c r="B97" s="12" t="s">
        <v>639</v>
      </c>
      <c r="C97" s="79">
        <v>60</v>
      </c>
      <c r="D97" s="79">
        <v>65</v>
      </c>
      <c r="E97" s="79">
        <v>30</v>
      </c>
      <c r="F97" s="79">
        <v>35</v>
      </c>
      <c r="G97" s="23">
        <f t="shared" si="26"/>
        <v>155</v>
      </c>
      <c r="H97" s="23">
        <f t="shared" si="16"/>
        <v>51.666666666666664</v>
      </c>
      <c r="I97" s="23">
        <f t="shared" si="27"/>
        <v>190</v>
      </c>
      <c r="J97" s="23">
        <f t="shared" si="17"/>
        <v>18.242699999999999</v>
      </c>
      <c r="K97" s="23">
        <f t="shared" si="18"/>
        <v>21.930099999999999</v>
      </c>
      <c r="L97" s="23">
        <f t="shared" si="19"/>
        <v>3.7044000000000001</v>
      </c>
      <c r="M97" s="23">
        <f t="shared" si="20"/>
        <v>5.2808000000000002</v>
      </c>
      <c r="N97" s="23">
        <f t="shared" si="21"/>
        <v>43.877199999999995</v>
      </c>
      <c r="O97" s="23">
        <f t="shared" si="22"/>
        <v>49.157999999999994</v>
      </c>
      <c r="P97">
        <v>1</v>
      </c>
      <c r="Q97">
        <f t="shared" si="23"/>
        <v>1</v>
      </c>
      <c r="R97">
        <f t="shared" si="24"/>
        <v>1</v>
      </c>
      <c r="S97">
        <f t="shared" si="25"/>
        <v>0</v>
      </c>
      <c r="V97" t="s">
        <v>1046</v>
      </c>
      <c r="X97" t="s">
        <v>640</v>
      </c>
    </row>
    <row r="98" spans="1:24">
      <c r="A98">
        <v>97</v>
      </c>
      <c r="B98" s="12" t="s">
        <v>642</v>
      </c>
      <c r="C98" s="79">
        <v>45</v>
      </c>
      <c r="D98" s="79">
        <v>55</v>
      </c>
      <c r="E98" s="79">
        <v>35</v>
      </c>
      <c r="F98" s="79">
        <v>40</v>
      </c>
      <c r="G98" s="23">
        <f t="shared" si="26"/>
        <v>135</v>
      </c>
      <c r="H98" s="23">
        <f t="shared" si="16"/>
        <v>45</v>
      </c>
      <c r="I98" s="23">
        <f t="shared" si="27"/>
        <v>175</v>
      </c>
      <c r="J98" s="23">
        <f t="shared" si="17"/>
        <v>9.4130000000000003</v>
      </c>
      <c r="K98" s="23">
        <f t="shared" si="18"/>
        <v>14.9339</v>
      </c>
      <c r="L98" s="23">
        <f t="shared" si="19"/>
        <v>5.2808000000000002</v>
      </c>
      <c r="M98" s="23">
        <f t="shared" si="20"/>
        <v>7.1791999999999998</v>
      </c>
      <c r="N98" s="23">
        <f t="shared" si="21"/>
        <v>29.627699999999997</v>
      </c>
      <c r="O98" s="23">
        <f t="shared" si="22"/>
        <v>36.806899999999999</v>
      </c>
      <c r="P98">
        <v>1</v>
      </c>
      <c r="Q98">
        <f t="shared" si="23"/>
        <v>1</v>
      </c>
      <c r="R98">
        <f t="shared" si="24"/>
        <v>1</v>
      </c>
      <c r="S98">
        <f t="shared" si="25"/>
        <v>0</v>
      </c>
      <c r="V98" t="s">
        <v>1046</v>
      </c>
    </row>
    <row r="99" spans="1:24">
      <c r="A99">
        <v>98</v>
      </c>
      <c r="B99" s="12" t="s">
        <v>549</v>
      </c>
      <c r="C99" s="79">
        <v>65</v>
      </c>
      <c r="D99" s="79">
        <v>75</v>
      </c>
      <c r="E99" s="79">
        <v>40</v>
      </c>
      <c r="F99" s="79">
        <v>45</v>
      </c>
      <c r="G99" s="23">
        <f t="shared" si="26"/>
        <v>180</v>
      </c>
      <c r="H99" s="23">
        <f t="shared" si="16"/>
        <v>60</v>
      </c>
      <c r="I99" s="23">
        <f t="shared" si="27"/>
        <v>225</v>
      </c>
      <c r="J99" s="23">
        <f t="shared" si="17"/>
        <v>21.930099999999999</v>
      </c>
      <c r="K99" s="23">
        <f t="shared" si="18"/>
        <v>30.477599999999999</v>
      </c>
      <c r="L99" s="23">
        <f t="shared" si="19"/>
        <v>7.1791999999999998</v>
      </c>
      <c r="M99" s="23">
        <f t="shared" si="20"/>
        <v>9.4130000000000003</v>
      </c>
      <c r="N99" s="23">
        <f t="shared" si="21"/>
        <v>59.5869</v>
      </c>
      <c r="O99" s="23">
        <f t="shared" si="22"/>
        <v>68.999899999999997</v>
      </c>
      <c r="P99">
        <v>1</v>
      </c>
      <c r="Q99">
        <f t="shared" si="23"/>
        <v>2</v>
      </c>
      <c r="R99">
        <f t="shared" si="24"/>
        <v>2</v>
      </c>
      <c r="S99">
        <f t="shared" si="25"/>
        <v>0</v>
      </c>
      <c r="V99" t="s">
        <v>1046</v>
      </c>
    </row>
    <row r="100" spans="1:24">
      <c r="A100">
        <v>99</v>
      </c>
      <c r="B100" s="12" t="s">
        <v>292</v>
      </c>
      <c r="C100" s="79">
        <v>110</v>
      </c>
      <c r="D100" s="79">
        <v>50</v>
      </c>
      <c r="E100" s="79">
        <v>95</v>
      </c>
      <c r="F100" s="79">
        <v>90</v>
      </c>
      <c r="G100" s="23">
        <f t="shared" si="26"/>
        <v>255</v>
      </c>
      <c r="H100" s="23">
        <f t="shared" si="16"/>
        <v>85</v>
      </c>
      <c r="I100" s="23">
        <f t="shared" si="27"/>
        <v>345</v>
      </c>
      <c r="J100" s="23">
        <f t="shared" si="17"/>
        <v>73.543300000000002</v>
      </c>
      <c r="K100" s="23">
        <f t="shared" si="18"/>
        <v>11.994199999999999</v>
      </c>
      <c r="L100" s="23">
        <f t="shared" si="19"/>
        <v>52.493400000000001</v>
      </c>
      <c r="M100" s="23">
        <f t="shared" si="20"/>
        <v>46.3551</v>
      </c>
      <c r="N100" s="23">
        <f t="shared" si="21"/>
        <v>138.0309</v>
      </c>
      <c r="O100" s="23">
        <f t="shared" si="22"/>
        <v>184.386</v>
      </c>
      <c r="P100">
        <v>1</v>
      </c>
      <c r="Q100">
        <f t="shared" si="23"/>
        <v>4</v>
      </c>
      <c r="R100">
        <f t="shared" si="24"/>
        <v>4</v>
      </c>
      <c r="S100">
        <f t="shared" si="25"/>
        <v>0</v>
      </c>
      <c r="V100" t="s">
        <v>1046</v>
      </c>
      <c r="X100" t="s">
        <v>545</v>
      </c>
    </row>
    <row r="101" spans="1:24">
      <c r="A101">
        <v>100</v>
      </c>
      <c r="B101" s="12" t="s">
        <v>552</v>
      </c>
      <c r="C101" s="79">
        <v>65</v>
      </c>
      <c r="D101" s="79">
        <v>65</v>
      </c>
      <c r="E101" s="79">
        <v>50</v>
      </c>
      <c r="F101" s="79">
        <v>40</v>
      </c>
      <c r="G101" s="23">
        <f t="shared" si="26"/>
        <v>180</v>
      </c>
      <c r="H101" s="23">
        <f t="shared" si="16"/>
        <v>60</v>
      </c>
      <c r="I101" s="23">
        <f t="shared" si="27"/>
        <v>220</v>
      </c>
      <c r="J101" s="23">
        <f t="shared" si="17"/>
        <v>21.930099999999999</v>
      </c>
      <c r="K101" s="23">
        <f t="shared" si="18"/>
        <v>21.930099999999999</v>
      </c>
      <c r="L101" s="23">
        <f t="shared" si="19"/>
        <v>11.994199999999999</v>
      </c>
      <c r="M101" s="23">
        <f t="shared" si="20"/>
        <v>7.1791999999999998</v>
      </c>
      <c r="N101" s="23">
        <f t="shared" si="21"/>
        <v>55.854399999999998</v>
      </c>
      <c r="O101" s="23">
        <f t="shared" si="22"/>
        <v>63.0336</v>
      </c>
      <c r="P101">
        <v>1</v>
      </c>
      <c r="Q101">
        <f t="shared" si="23"/>
        <v>2</v>
      </c>
      <c r="R101">
        <f t="shared" si="24"/>
        <v>2</v>
      </c>
      <c r="S101">
        <f t="shared" si="25"/>
        <v>0</v>
      </c>
      <c r="V101" t="s">
        <v>1046</v>
      </c>
    </row>
    <row r="102" spans="1:24">
      <c r="A102">
        <v>101</v>
      </c>
      <c r="B102" s="12" t="s">
        <v>289</v>
      </c>
      <c r="C102" s="79">
        <v>70</v>
      </c>
      <c r="D102" s="79">
        <v>85</v>
      </c>
      <c r="E102" s="79">
        <v>35</v>
      </c>
      <c r="F102" s="79">
        <v>45</v>
      </c>
      <c r="G102" s="23">
        <f t="shared" si="26"/>
        <v>190</v>
      </c>
      <c r="H102" s="23">
        <f t="shared" si="16"/>
        <v>63.333333333333336</v>
      </c>
      <c r="I102" s="23">
        <f t="shared" si="27"/>
        <v>235</v>
      </c>
      <c r="J102" s="23">
        <f t="shared" si="17"/>
        <v>26.005500000000001</v>
      </c>
      <c r="K102" s="23">
        <f t="shared" si="18"/>
        <v>40.6447</v>
      </c>
      <c r="L102" s="23">
        <f t="shared" si="19"/>
        <v>5.2808000000000002</v>
      </c>
      <c r="M102" s="23">
        <f t="shared" si="20"/>
        <v>9.4130000000000003</v>
      </c>
      <c r="N102" s="23">
        <f t="shared" si="21"/>
        <v>71.930999999999997</v>
      </c>
      <c r="O102" s="23">
        <f t="shared" si="22"/>
        <v>81.343999999999994</v>
      </c>
      <c r="P102">
        <v>1</v>
      </c>
      <c r="Q102">
        <f t="shared" si="23"/>
        <v>2</v>
      </c>
      <c r="R102">
        <f t="shared" si="24"/>
        <v>2</v>
      </c>
      <c r="S102">
        <f t="shared" si="25"/>
        <v>0</v>
      </c>
      <c r="V102" t="s">
        <v>1046</v>
      </c>
      <c r="X102" t="s">
        <v>548</v>
      </c>
    </row>
    <row r="103" spans="1:24">
      <c r="A103">
        <v>102</v>
      </c>
      <c r="B103" s="12" t="s">
        <v>550</v>
      </c>
      <c r="C103" s="79">
        <v>60</v>
      </c>
      <c r="D103" s="79">
        <v>55</v>
      </c>
      <c r="E103" s="79">
        <v>80</v>
      </c>
      <c r="F103" s="79">
        <v>75</v>
      </c>
      <c r="G103" s="23">
        <f t="shared" si="26"/>
        <v>195</v>
      </c>
      <c r="H103" s="23">
        <f t="shared" si="16"/>
        <v>65</v>
      </c>
      <c r="I103" s="23">
        <f t="shared" si="27"/>
        <v>270</v>
      </c>
      <c r="J103" s="23">
        <f t="shared" si="17"/>
        <v>18.242699999999999</v>
      </c>
      <c r="K103" s="23">
        <f t="shared" si="18"/>
        <v>14.9339</v>
      </c>
      <c r="L103" s="23">
        <f t="shared" si="19"/>
        <v>35.354700000000001</v>
      </c>
      <c r="M103" s="23">
        <f t="shared" si="20"/>
        <v>30.477599999999999</v>
      </c>
      <c r="N103" s="23">
        <f t="shared" si="21"/>
        <v>68.531300000000002</v>
      </c>
      <c r="O103" s="23">
        <f t="shared" si="22"/>
        <v>99.008899999999997</v>
      </c>
      <c r="P103">
        <v>1</v>
      </c>
      <c r="Q103">
        <f t="shared" si="23"/>
        <v>2</v>
      </c>
      <c r="R103">
        <f t="shared" si="24"/>
        <v>2</v>
      </c>
      <c r="S103">
        <f t="shared" si="25"/>
        <v>0</v>
      </c>
      <c r="V103" t="s">
        <v>1046</v>
      </c>
    </row>
    <row r="104" spans="1:24">
      <c r="A104">
        <v>103</v>
      </c>
      <c r="B104" s="12" t="s">
        <v>546</v>
      </c>
      <c r="C104" s="79">
        <v>85</v>
      </c>
      <c r="D104" s="79">
        <v>75</v>
      </c>
      <c r="E104" s="79">
        <v>30</v>
      </c>
      <c r="F104" s="79">
        <v>60</v>
      </c>
      <c r="G104" s="23">
        <f t="shared" si="26"/>
        <v>190</v>
      </c>
      <c r="H104" s="23">
        <f t="shared" si="16"/>
        <v>63.333333333333336</v>
      </c>
      <c r="I104" s="23">
        <f t="shared" si="27"/>
        <v>250</v>
      </c>
      <c r="J104" s="23">
        <f t="shared" si="17"/>
        <v>40.6447</v>
      </c>
      <c r="K104" s="23">
        <f t="shared" si="18"/>
        <v>30.477599999999999</v>
      </c>
      <c r="L104" s="23">
        <f t="shared" si="19"/>
        <v>3.7044000000000001</v>
      </c>
      <c r="M104" s="23">
        <f t="shared" si="20"/>
        <v>18.242699999999999</v>
      </c>
      <c r="N104" s="23">
        <f t="shared" si="21"/>
        <v>74.826700000000002</v>
      </c>
      <c r="O104" s="23">
        <f t="shared" si="22"/>
        <v>93.069400000000002</v>
      </c>
      <c r="P104">
        <v>1</v>
      </c>
      <c r="Q104">
        <f t="shared" si="23"/>
        <v>2</v>
      </c>
      <c r="R104">
        <f t="shared" si="24"/>
        <v>2</v>
      </c>
      <c r="S104">
        <f t="shared" si="25"/>
        <v>0</v>
      </c>
      <c r="V104" t="s">
        <v>1046</v>
      </c>
      <c r="X104" t="s">
        <v>547</v>
      </c>
    </row>
    <row r="105" spans="1:24">
      <c r="A105">
        <v>104</v>
      </c>
      <c r="B105" s="12" t="s">
        <v>555</v>
      </c>
      <c r="C105" s="79">
        <v>50</v>
      </c>
      <c r="D105" s="79">
        <v>45</v>
      </c>
      <c r="E105" s="79">
        <v>70</v>
      </c>
      <c r="F105" s="79">
        <v>65</v>
      </c>
      <c r="G105" s="23">
        <f t="shared" si="26"/>
        <v>165</v>
      </c>
      <c r="H105" s="23">
        <f t="shared" si="16"/>
        <v>55</v>
      </c>
      <c r="I105" s="23">
        <f t="shared" si="27"/>
        <v>230</v>
      </c>
      <c r="J105" s="23">
        <f t="shared" si="17"/>
        <v>11.994199999999999</v>
      </c>
      <c r="K105" s="23">
        <f t="shared" si="18"/>
        <v>9.4130000000000003</v>
      </c>
      <c r="L105" s="23">
        <f t="shared" si="19"/>
        <v>26.005500000000001</v>
      </c>
      <c r="M105" s="23">
        <f t="shared" si="20"/>
        <v>21.930099999999999</v>
      </c>
      <c r="N105" s="23">
        <f t="shared" si="21"/>
        <v>47.412700000000001</v>
      </c>
      <c r="O105" s="23">
        <f t="shared" si="22"/>
        <v>69.342799999999997</v>
      </c>
      <c r="P105">
        <v>1</v>
      </c>
      <c r="Q105">
        <f t="shared" si="23"/>
        <v>2</v>
      </c>
      <c r="R105">
        <f t="shared" si="24"/>
        <v>2</v>
      </c>
      <c r="S105">
        <f t="shared" si="25"/>
        <v>0</v>
      </c>
      <c r="V105" t="s">
        <v>1046</v>
      </c>
    </row>
    <row r="106" spans="1:24">
      <c r="A106">
        <v>105</v>
      </c>
      <c r="B106" s="12" t="s">
        <v>553</v>
      </c>
      <c r="C106" s="79">
        <v>70</v>
      </c>
      <c r="D106" s="79">
        <v>70</v>
      </c>
      <c r="E106" s="79">
        <v>45</v>
      </c>
      <c r="F106" s="79">
        <v>50</v>
      </c>
      <c r="G106" s="23">
        <f t="shared" si="26"/>
        <v>185</v>
      </c>
      <c r="H106" s="23">
        <f t="shared" si="16"/>
        <v>61.666666666666664</v>
      </c>
      <c r="I106" s="23">
        <f t="shared" si="27"/>
        <v>235</v>
      </c>
      <c r="J106" s="23">
        <f t="shared" si="17"/>
        <v>26.005500000000001</v>
      </c>
      <c r="K106" s="23">
        <f t="shared" si="18"/>
        <v>26.005500000000001</v>
      </c>
      <c r="L106" s="23">
        <f t="shared" si="19"/>
        <v>9.4130000000000003</v>
      </c>
      <c r="M106" s="23">
        <f t="shared" si="20"/>
        <v>11.994199999999999</v>
      </c>
      <c r="N106" s="23">
        <f t="shared" si="21"/>
        <v>61.424000000000007</v>
      </c>
      <c r="O106" s="23">
        <f t="shared" si="22"/>
        <v>73.418200000000013</v>
      </c>
      <c r="P106">
        <v>1</v>
      </c>
      <c r="Q106">
        <f t="shared" si="23"/>
        <v>2</v>
      </c>
      <c r="R106">
        <f t="shared" si="24"/>
        <v>2</v>
      </c>
      <c r="S106">
        <f t="shared" si="25"/>
        <v>0</v>
      </c>
      <c r="V106" t="s">
        <v>1046</v>
      </c>
    </row>
    <row r="107" spans="1:24">
      <c r="A107">
        <v>106</v>
      </c>
      <c r="B107" s="12" t="s">
        <v>554</v>
      </c>
      <c r="C107" s="79">
        <v>70</v>
      </c>
      <c r="D107" s="79">
        <v>85</v>
      </c>
      <c r="E107" s="79">
        <v>30</v>
      </c>
      <c r="F107" s="79">
        <v>45</v>
      </c>
      <c r="G107" s="23">
        <f t="shared" si="26"/>
        <v>185</v>
      </c>
      <c r="H107" s="23">
        <f t="shared" si="16"/>
        <v>61.666666666666664</v>
      </c>
      <c r="I107" s="23">
        <f t="shared" si="27"/>
        <v>230</v>
      </c>
      <c r="J107" s="23">
        <f t="shared" si="17"/>
        <v>26.005500000000001</v>
      </c>
      <c r="K107" s="23">
        <f t="shared" si="18"/>
        <v>40.6447</v>
      </c>
      <c r="L107" s="23">
        <f t="shared" si="19"/>
        <v>3.7044000000000001</v>
      </c>
      <c r="M107" s="23">
        <f t="shared" si="20"/>
        <v>9.4130000000000003</v>
      </c>
      <c r="N107" s="23">
        <f t="shared" si="21"/>
        <v>70.354600000000005</v>
      </c>
      <c r="O107" s="23">
        <f t="shared" si="22"/>
        <v>79.767600000000002</v>
      </c>
      <c r="P107">
        <v>1</v>
      </c>
      <c r="Q107">
        <f t="shared" si="23"/>
        <v>2</v>
      </c>
      <c r="R107">
        <f t="shared" si="24"/>
        <v>2</v>
      </c>
      <c r="S107">
        <f t="shared" si="25"/>
        <v>0</v>
      </c>
      <c r="V107" t="s">
        <v>1046</v>
      </c>
    </row>
    <row r="108" spans="1:24">
      <c r="A108">
        <v>107</v>
      </c>
      <c r="B108" s="12" t="s">
        <v>551</v>
      </c>
      <c r="C108" s="79">
        <v>30</v>
      </c>
      <c r="D108" s="79">
        <v>30</v>
      </c>
      <c r="E108" s="79">
        <v>70</v>
      </c>
      <c r="F108" s="79">
        <v>75</v>
      </c>
      <c r="G108" s="23">
        <f t="shared" si="26"/>
        <v>130</v>
      </c>
      <c r="H108" s="23">
        <f t="shared" si="16"/>
        <v>43.333333333333336</v>
      </c>
      <c r="I108" s="23">
        <f t="shared" si="27"/>
        <v>205</v>
      </c>
      <c r="J108" s="23">
        <f t="shared" si="17"/>
        <v>3.7044000000000001</v>
      </c>
      <c r="K108" s="23">
        <f t="shared" si="18"/>
        <v>3.7044000000000001</v>
      </c>
      <c r="L108" s="23">
        <f t="shared" si="19"/>
        <v>26.005500000000001</v>
      </c>
      <c r="M108" s="23">
        <f t="shared" si="20"/>
        <v>30.477599999999999</v>
      </c>
      <c r="N108" s="23">
        <f t="shared" si="21"/>
        <v>33.414300000000004</v>
      </c>
      <c r="O108" s="23">
        <f t="shared" si="22"/>
        <v>63.891900000000007</v>
      </c>
      <c r="P108">
        <v>1</v>
      </c>
      <c r="Q108">
        <f t="shared" si="23"/>
        <v>1</v>
      </c>
      <c r="R108">
        <f t="shared" si="24"/>
        <v>2</v>
      </c>
      <c r="S108">
        <f t="shared" si="25"/>
        <v>1</v>
      </c>
      <c r="V108" t="s">
        <v>1046</v>
      </c>
    </row>
    <row r="109" spans="1:24">
      <c r="A109">
        <v>108</v>
      </c>
      <c r="B109" s="12" t="s">
        <v>287</v>
      </c>
      <c r="C109" s="79">
        <v>60</v>
      </c>
      <c r="D109" s="79">
        <v>35</v>
      </c>
      <c r="E109" s="79">
        <v>55</v>
      </c>
      <c r="F109" s="79">
        <v>90</v>
      </c>
      <c r="G109" s="23">
        <f t="shared" si="26"/>
        <v>150</v>
      </c>
      <c r="H109" s="23">
        <f t="shared" si="16"/>
        <v>50</v>
      </c>
      <c r="I109" s="23">
        <f t="shared" si="27"/>
        <v>240</v>
      </c>
      <c r="J109" s="23">
        <f t="shared" si="17"/>
        <v>18.242699999999999</v>
      </c>
      <c r="K109" s="23">
        <f t="shared" si="18"/>
        <v>5.2808000000000002</v>
      </c>
      <c r="L109" s="23">
        <f t="shared" si="19"/>
        <v>14.9339</v>
      </c>
      <c r="M109" s="23">
        <f t="shared" si="20"/>
        <v>46.3551</v>
      </c>
      <c r="N109" s="23">
        <f t="shared" si="21"/>
        <v>38.4574</v>
      </c>
      <c r="O109" s="23">
        <f t="shared" si="22"/>
        <v>84.8125</v>
      </c>
      <c r="P109">
        <v>1</v>
      </c>
      <c r="Q109">
        <f t="shared" si="23"/>
        <v>1</v>
      </c>
      <c r="R109">
        <f t="shared" si="24"/>
        <v>2</v>
      </c>
      <c r="S109">
        <f t="shared" si="25"/>
        <v>1</v>
      </c>
      <c r="V109" t="s">
        <v>1046</v>
      </c>
      <c r="X109" t="s">
        <v>560</v>
      </c>
    </row>
    <row r="110" spans="1:24">
      <c r="A110">
        <v>109</v>
      </c>
      <c r="B110" s="12" t="s">
        <v>299</v>
      </c>
      <c r="C110" s="79">
        <v>40</v>
      </c>
      <c r="D110" s="79">
        <v>35</v>
      </c>
      <c r="E110" s="79">
        <v>70</v>
      </c>
      <c r="F110" s="79">
        <v>65</v>
      </c>
      <c r="G110" s="23">
        <f t="shared" si="26"/>
        <v>145</v>
      </c>
      <c r="H110" s="23">
        <f t="shared" si="16"/>
        <v>48.333333333333336</v>
      </c>
      <c r="I110" s="23">
        <f t="shared" si="27"/>
        <v>210</v>
      </c>
      <c r="J110" s="23">
        <f t="shared" si="17"/>
        <v>7.1791999999999998</v>
      </c>
      <c r="K110" s="23">
        <f t="shared" si="18"/>
        <v>5.2808000000000002</v>
      </c>
      <c r="L110" s="23">
        <f t="shared" si="19"/>
        <v>26.005500000000001</v>
      </c>
      <c r="M110" s="23">
        <f t="shared" si="20"/>
        <v>21.930099999999999</v>
      </c>
      <c r="N110" s="23">
        <f t="shared" si="21"/>
        <v>38.465500000000006</v>
      </c>
      <c r="O110" s="23">
        <f t="shared" si="22"/>
        <v>60.395600000000002</v>
      </c>
      <c r="P110">
        <v>1</v>
      </c>
      <c r="Q110">
        <f t="shared" si="23"/>
        <v>1</v>
      </c>
      <c r="R110">
        <f t="shared" si="24"/>
        <v>2</v>
      </c>
      <c r="S110">
        <f t="shared" si="25"/>
        <v>1</v>
      </c>
      <c r="V110" t="s">
        <v>1046</v>
      </c>
      <c r="X110" t="s">
        <v>300</v>
      </c>
    </row>
    <row r="111" spans="1:24">
      <c r="A111">
        <v>110</v>
      </c>
      <c r="B111" s="12" t="s">
        <v>623</v>
      </c>
      <c r="C111" s="79">
        <v>75</v>
      </c>
      <c r="D111" s="79">
        <v>75</v>
      </c>
      <c r="E111" s="79">
        <v>65</v>
      </c>
      <c r="F111" s="79">
        <v>65</v>
      </c>
      <c r="G111" s="23">
        <f t="shared" si="26"/>
        <v>215</v>
      </c>
      <c r="H111" s="23">
        <f t="shared" si="16"/>
        <v>71.666666666666671</v>
      </c>
      <c r="I111" s="23">
        <f t="shared" si="27"/>
        <v>280</v>
      </c>
      <c r="J111" s="23">
        <f t="shared" si="17"/>
        <v>30.477599999999999</v>
      </c>
      <c r="K111" s="23">
        <f t="shared" si="18"/>
        <v>30.477599999999999</v>
      </c>
      <c r="L111" s="23">
        <f t="shared" si="19"/>
        <v>21.930099999999999</v>
      </c>
      <c r="M111" s="23">
        <f t="shared" si="20"/>
        <v>21.930099999999999</v>
      </c>
      <c r="N111" s="23">
        <f t="shared" si="21"/>
        <v>82.885300000000001</v>
      </c>
      <c r="O111" s="23">
        <f t="shared" si="22"/>
        <v>104.8154</v>
      </c>
      <c r="P111">
        <v>1</v>
      </c>
      <c r="Q111">
        <f t="shared" si="23"/>
        <v>2</v>
      </c>
      <c r="R111">
        <f t="shared" si="24"/>
        <v>2</v>
      </c>
      <c r="S111">
        <f t="shared" si="25"/>
        <v>0</v>
      </c>
      <c r="V111" t="s">
        <v>1046</v>
      </c>
      <c r="X111" t="s">
        <v>624</v>
      </c>
    </row>
    <row r="112" spans="1:24">
      <c r="A112">
        <v>111</v>
      </c>
      <c r="B112" s="12" t="s">
        <v>625</v>
      </c>
      <c r="C112" s="79">
        <v>40</v>
      </c>
      <c r="D112" s="79">
        <v>35</v>
      </c>
      <c r="E112" s="79">
        <v>75</v>
      </c>
      <c r="F112" s="79">
        <v>80</v>
      </c>
      <c r="G112" s="23">
        <f t="shared" si="26"/>
        <v>150</v>
      </c>
      <c r="H112" s="23">
        <f t="shared" si="16"/>
        <v>50</v>
      </c>
      <c r="I112" s="23">
        <f t="shared" si="27"/>
        <v>230</v>
      </c>
      <c r="J112" s="23">
        <f t="shared" si="17"/>
        <v>7.1791999999999998</v>
      </c>
      <c r="K112" s="23">
        <f t="shared" si="18"/>
        <v>5.2808000000000002</v>
      </c>
      <c r="L112" s="23">
        <f t="shared" si="19"/>
        <v>30.477599999999999</v>
      </c>
      <c r="M112" s="23">
        <f t="shared" si="20"/>
        <v>35.354700000000001</v>
      </c>
      <c r="N112" s="23">
        <f t="shared" si="21"/>
        <v>42.937600000000003</v>
      </c>
      <c r="O112" s="23">
        <f t="shared" si="22"/>
        <v>78.292300000000012</v>
      </c>
      <c r="P112">
        <v>1</v>
      </c>
      <c r="Q112">
        <f t="shared" si="23"/>
        <v>1</v>
      </c>
      <c r="R112">
        <f t="shared" si="24"/>
        <v>2</v>
      </c>
      <c r="S112">
        <f t="shared" si="25"/>
        <v>1</v>
      </c>
      <c r="V112" t="s">
        <v>1046</v>
      </c>
      <c r="X112" t="s">
        <v>626</v>
      </c>
    </row>
    <row r="113" spans="1:24">
      <c r="A113">
        <v>112</v>
      </c>
      <c r="B113" s="12" t="s">
        <v>660</v>
      </c>
      <c r="C113" s="79">
        <v>60</v>
      </c>
      <c r="D113" s="79">
        <v>65</v>
      </c>
      <c r="E113" s="79">
        <v>30</v>
      </c>
      <c r="F113" s="79">
        <v>30</v>
      </c>
      <c r="G113" s="23">
        <f t="shared" si="26"/>
        <v>155</v>
      </c>
      <c r="H113" s="23">
        <f t="shared" si="16"/>
        <v>51.666666666666664</v>
      </c>
      <c r="I113" s="23">
        <f t="shared" si="27"/>
        <v>185</v>
      </c>
      <c r="J113" s="23">
        <f t="shared" si="17"/>
        <v>18.242699999999999</v>
      </c>
      <c r="K113" s="23">
        <f t="shared" si="18"/>
        <v>21.930099999999999</v>
      </c>
      <c r="L113" s="23">
        <f t="shared" si="19"/>
        <v>3.7044000000000001</v>
      </c>
      <c r="M113" s="23">
        <f t="shared" si="20"/>
        <v>3.7044000000000001</v>
      </c>
      <c r="N113" s="23">
        <f t="shared" si="21"/>
        <v>43.877199999999995</v>
      </c>
      <c r="O113" s="23">
        <f t="shared" si="22"/>
        <v>47.581599999999995</v>
      </c>
      <c r="P113">
        <v>1</v>
      </c>
      <c r="Q113">
        <f t="shared" si="23"/>
        <v>1</v>
      </c>
      <c r="R113">
        <f t="shared" si="24"/>
        <v>1</v>
      </c>
      <c r="S113">
        <f t="shared" si="25"/>
        <v>0</v>
      </c>
      <c r="V113" t="s">
        <v>1046</v>
      </c>
      <c r="X113" t="s">
        <v>661</v>
      </c>
    </row>
    <row r="114" spans="1:24">
      <c r="A114">
        <v>113</v>
      </c>
      <c r="B114" s="12" t="s">
        <v>688</v>
      </c>
      <c r="C114" s="79">
        <v>35</v>
      </c>
      <c r="D114" s="79">
        <v>30</v>
      </c>
      <c r="E114" s="79">
        <v>70</v>
      </c>
      <c r="F114" s="79">
        <v>40</v>
      </c>
      <c r="G114" s="23">
        <f t="shared" si="26"/>
        <v>135</v>
      </c>
      <c r="H114" s="23">
        <f t="shared" si="16"/>
        <v>45</v>
      </c>
      <c r="I114" s="23">
        <f t="shared" si="27"/>
        <v>175</v>
      </c>
      <c r="J114" s="23">
        <f t="shared" si="17"/>
        <v>5.2808000000000002</v>
      </c>
      <c r="K114" s="23">
        <f t="shared" si="18"/>
        <v>3.7044000000000001</v>
      </c>
      <c r="L114" s="23">
        <f t="shared" si="19"/>
        <v>26.005500000000001</v>
      </c>
      <c r="M114" s="23">
        <f t="shared" si="20"/>
        <v>7.1791999999999998</v>
      </c>
      <c r="N114" s="23">
        <f t="shared" si="21"/>
        <v>34.990700000000004</v>
      </c>
      <c r="O114" s="23">
        <f t="shared" si="22"/>
        <v>42.169900000000005</v>
      </c>
      <c r="P114">
        <v>1</v>
      </c>
      <c r="Q114">
        <f t="shared" si="23"/>
        <v>1</v>
      </c>
      <c r="R114">
        <f t="shared" si="24"/>
        <v>1</v>
      </c>
      <c r="S114">
        <f t="shared" si="25"/>
        <v>0</v>
      </c>
      <c r="V114" t="s">
        <v>1046</v>
      </c>
    </row>
    <row r="115" spans="1:24">
      <c r="A115">
        <v>114</v>
      </c>
      <c r="B115" s="12" t="s">
        <v>687</v>
      </c>
      <c r="C115" s="79">
        <v>60</v>
      </c>
      <c r="D115" s="79">
        <v>65</v>
      </c>
      <c r="E115" s="79">
        <v>35</v>
      </c>
      <c r="F115" s="79">
        <v>40</v>
      </c>
      <c r="G115" s="23">
        <f t="shared" si="26"/>
        <v>160</v>
      </c>
      <c r="H115" s="23">
        <f t="shared" si="16"/>
        <v>53.333333333333336</v>
      </c>
      <c r="I115" s="23">
        <f t="shared" si="27"/>
        <v>200</v>
      </c>
      <c r="J115" s="23">
        <f t="shared" si="17"/>
        <v>18.242699999999999</v>
      </c>
      <c r="K115" s="23">
        <f t="shared" si="18"/>
        <v>21.930099999999999</v>
      </c>
      <c r="L115" s="23">
        <f t="shared" si="19"/>
        <v>5.2808000000000002</v>
      </c>
      <c r="M115" s="23">
        <f t="shared" si="20"/>
        <v>7.1791999999999998</v>
      </c>
      <c r="N115" s="23">
        <f t="shared" si="21"/>
        <v>45.453599999999994</v>
      </c>
      <c r="O115" s="23">
        <f t="shared" si="22"/>
        <v>52.632799999999996</v>
      </c>
      <c r="P115">
        <v>1</v>
      </c>
      <c r="Q115">
        <f t="shared" si="23"/>
        <v>2</v>
      </c>
      <c r="R115">
        <f t="shared" si="24"/>
        <v>1</v>
      </c>
      <c r="S115">
        <f t="shared" si="25"/>
        <v>-1</v>
      </c>
      <c r="V115" t="s">
        <v>1046</v>
      </c>
    </row>
    <row r="116" spans="1:24">
      <c r="A116">
        <v>115</v>
      </c>
      <c r="B116" s="12" t="s">
        <v>591</v>
      </c>
      <c r="C116" s="79">
        <v>75</v>
      </c>
      <c r="D116" s="79">
        <v>85</v>
      </c>
      <c r="E116" s="79">
        <v>70</v>
      </c>
      <c r="F116" s="79">
        <v>70</v>
      </c>
      <c r="G116" s="23">
        <f t="shared" si="26"/>
        <v>230</v>
      </c>
      <c r="H116" s="23">
        <f t="shared" si="16"/>
        <v>76.666666666666671</v>
      </c>
      <c r="I116" s="23">
        <f t="shared" si="27"/>
        <v>300</v>
      </c>
      <c r="J116" s="23">
        <f t="shared" si="17"/>
        <v>30.477599999999999</v>
      </c>
      <c r="K116" s="23">
        <f t="shared" si="18"/>
        <v>40.6447</v>
      </c>
      <c r="L116" s="23">
        <f t="shared" si="19"/>
        <v>26.005500000000001</v>
      </c>
      <c r="M116" s="23">
        <f t="shared" si="20"/>
        <v>26.005500000000001</v>
      </c>
      <c r="N116" s="23">
        <f t="shared" si="21"/>
        <v>97.127799999999993</v>
      </c>
      <c r="O116" s="23">
        <f t="shared" si="22"/>
        <v>123.13329999999999</v>
      </c>
      <c r="P116">
        <v>1</v>
      </c>
      <c r="Q116">
        <f t="shared" si="23"/>
        <v>3</v>
      </c>
      <c r="R116">
        <f t="shared" si="24"/>
        <v>3</v>
      </c>
      <c r="S116">
        <f t="shared" si="25"/>
        <v>0</v>
      </c>
      <c r="V116" t="s">
        <v>1046</v>
      </c>
    </row>
    <row r="117" spans="1:24">
      <c r="A117">
        <v>116</v>
      </c>
      <c r="B117" s="12" t="s">
        <v>676</v>
      </c>
      <c r="C117" s="79">
        <v>60</v>
      </c>
      <c r="D117" s="79">
        <v>105</v>
      </c>
      <c r="E117" s="79">
        <v>30</v>
      </c>
      <c r="F117" s="79">
        <v>40</v>
      </c>
      <c r="G117" s="23">
        <f t="shared" si="26"/>
        <v>195</v>
      </c>
      <c r="H117" s="23">
        <f t="shared" si="16"/>
        <v>65</v>
      </c>
      <c r="I117" s="23">
        <f t="shared" si="27"/>
        <v>235</v>
      </c>
      <c r="J117" s="23">
        <f t="shared" si="17"/>
        <v>18.242699999999999</v>
      </c>
      <c r="K117" s="23">
        <f t="shared" si="18"/>
        <v>66.080799999999996</v>
      </c>
      <c r="L117" s="23">
        <f t="shared" si="19"/>
        <v>3.7044000000000001</v>
      </c>
      <c r="M117" s="23">
        <f t="shared" si="20"/>
        <v>7.1791999999999998</v>
      </c>
      <c r="N117" s="23">
        <f t="shared" si="21"/>
        <v>88.027900000000002</v>
      </c>
      <c r="O117" s="23">
        <f t="shared" si="22"/>
        <v>95.207099999999997</v>
      </c>
      <c r="P117">
        <v>1</v>
      </c>
      <c r="Q117">
        <f t="shared" si="23"/>
        <v>2</v>
      </c>
      <c r="R117">
        <f t="shared" si="24"/>
        <v>2</v>
      </c>
      <c r="S117">
        <f t="shared" si="25"/>
        <v>0</v>
      </c>
      <c r="V117" t="s">
        <v>1046</v>
      </c>
      <c r="X117" t="s">
        <v>677</v>
      </c>
    </row>
    <row r="118" spans="1:24">
      <c r="A118">
        <v>117</v>
      </c>
      <c r="B118" s="12" t="s">
        <v>689</v>
      </c>
      <c r="C118" s="79">
        <v>30</v>
      </c>
      <c r="D118" s="79">
        <v>30</v>
      </c>
      <c r="E118" s="79">
        <v>65</v>
      </c>
      <c r="F118" s="79">
        <v>70</v>
      </c>
      <c r="G118" s="23">
        <f t="shared" si="26"/>
        <v>125</v>
      </c>
      <c r="H118" s="23">
        <f t="shared" si="16"/>
        <v>41.666666666666664</v>
      </c>
      <c r="I118" s="23">
        <f t="shared" si="27"/>
        <v>195</v>
      </c>
      <c r="J118" s="23">
        <f t="shared" si="17"/>
        <v>3.7044000000000001</v>
      </c>
      <c r="K118" s="23">
        <f t="shared" si="18"/>
        <v>3.7044000000000001</v>
      </c>
      <c r="L118" s="23">
        <f t="shared" si="19"/>
        <v>21.930099999999999</v>
      </c>
      <c r="M118" s="23">
        <f t="shared" si="20"/>
        <v>26.005500000000001</v>
      </c>
      <c r="N118" s="23">
        <f t="shared" si="21"/>
        <v>29.338899999999999</v>
      </c>
      <c r="O118" s="23">
        <f t="shared" si="22"/>
        <v>55.3444</v>
      </c>
      <c r="P118">
        <v>1</v>
      </c>
      <c r="Q118">
        <f t="shared" si="23"/>
        <v>1</v>
      </c>
      <c r="R118">
        <f t="shared" si="24"/>
        <v>1</v>
      </c>
      <c r="S118">
        <f t="shared" si="25"/>
        <v>0</v>
      </c>
      <c r="V118" t="s">
        <v>1046</v>
      </c>
      <c r="X118" t="s">
        <v>690</v>
      </c>
    </row>
    <row r="119" spans="1:24">
      <c r="A119">
        <v>118</v>
      </c>
      <c r="B119" s="12" t="s">
        <v>599</v>
      </c>
      <c r="C119" s="79">
        <v>65</v>
      </c>
      <c r="D119" s="79">
        <v>70</v>
      </c>
      <c r="E119" s="79">
        <v>40</v>
      </c>
      <c r="F119" s="79">
        <v>45</v>
      </c>
      <c r="G119" s="23">
        <f t="shared" si="26"/>
        <v>175</v>
      </c>
      <c r="H119" s="23">
        <f t="shared" si="16"/>
        <v>58.333333333333336</v>
      </c>
      <c r="I119" s="23">
        <f t="shared" si="27"/>
        <v>220</v>
      </c>
      <c r="J119" s="23">
        <f t="shared" si="17"/>
        <v>21.930099999999999</v>
      </c>
      <c r="K119" s="23">
        <f t="shared" si="18"/>
        <v>26.005500000000001</v>
      </c>
      <c r="L119" s="23">
        <f t="shared" si="19"/>
        <v>7.1791999999999998</v>
      </c>
      <c r="M119" s="23">
        <f t="shared" si="20"/>
        <v>9.4130000000000003</v>
      </c>
      <c r="N119" s="23">
        <f t="shared" si="21"/>
        <v>55.114800000000002</v>
      </c>
      <c r="O119" s="23">
        <f t="shared" si="22"/>
        <v>64.527799999999999</v>
      </c>
      <c r="P119">
        <v>1</v>
      </c>
      <c r="Q119">
        <f t="shared" si="23"/>
        <v>2</v>
      </c>
      <c r="R119">
        <f t="shared" si="24"/>
        <v>2</v>
      </c>
      <c r="S119">
        <f t="shared" si="25"/>
        <v>0</v>
      </c>
      <c r="V119" t="s">
        <v>1046</v>
      </c>
    </row>
    <row r="120" spans="1:24">
      <c r="A120">
        <v>119</v>
      </c>
      <c r="B120" s="12" t="s">
        <v>600</v>
      </c>
      <c r="C120" s="79">
        <v>50</v>
      </c>
      <c r="D120" s="79">
        <v>45</v>
      </c>
      <c r="E120" s="79">
        <v>65</v>
      </c>
      <c r="F120" s="79">
        <v>60</v>
      </c>
      <c r="G120" s="23">
        <f t="shared" si="26"/>
        <v>160</v>
      </c>
      <c r="H120" s="23">
        <f t="shared" si="16"/>
        <v>53.333333333333336</v>
      </c>
      <c r="I120" s="23">
        <f t="shared" si="27"/>
        <v>220</v>
      </c>
      <c r="J120" s="23">
        <f t="shared" si="17"/>
        <v>11.994199999999999</v>
      </c>
      <c r="K120" s="23">
        <f t="shared" si="18"/>
        <v>9.4130000000000003</v>
      </c>
      <c r="L120" s="23">
        <f t="shared" si="19"/>
        <v>21.930099999999999</v>
      </c>
      <c r="M120" s="23">
        <f t="shared" si="20"/>
        <v>18.242699999999999</v>
      </c>
      <c r="N120" s="23">
        <f t="shared" si="21"/>
        <v>43.337299999999999</v>
      </c>
      <c r="O120" s="23">
        <f t="shared" si="22"/>
        <v>61.58</v>
      </c>
      <c r="P120">
        <v>1</v>
      </c>
      <c r="Q120">
        <f t="shared" si="23"/>
        <v>1</v>
      </c>
      <c r="R120">
        <f t="shared" si="24"/>
        <v>2</v>
      </c>
      <c r="S120">
        <f t="shared" si="25"/>
        <v>1</v>
      </c>
      <c r="V120" t="s">
        <v>1046</v>
      </c>
      <c r="X120" t="s">
        <v>601</v>
      </c>
    </row>
    <row r="121" spans="1:24">
      <c r="A121">
        <v>120</v>
      </c>
      <c r="B121" s="12" t="s">
        <v>581</v>
      </c>
      <c r="C121" s="79">
        <v>55</v>
      </c>
      <c r="D121" s="79">
        <v>60</v>
      </c>
      <c r="E121" s="79">
        <v>70</v>
      </c>
      <c r="F121" s="79">
        <v>60</v>
      </c>
      <c r="G121" s="23">
        <f t="shared" si="26"/>
        <v>185</v>
      </c>
      <c r="H121" s="23">
        <f t="shared" si="16"/>
        <v>61.666666666666664</v>
      </c>
      <c r="I121" s="23">
        <f t="shared" si="27"/>
        <v>245</v>
      </c>
      <c r="J121" s="23">
        <f t="shared" si="17"/>
        <v>14.9339</v>
      </c>
      <c r="K121" s="23">
        <f t="shared" si="18"/>
        <v>18.242699999999999</v>
      </c>
      <c r="L121" s="23">
        <f t="shared" si="19"/>
        <v>26.005500000000001</v>
      </c>
      <c r="M121" s="23">
        <f t="shared" si="20"/>
        <v>18.242699999999999</v>
      </c>
      <c r="N121" s="23">
        <f t="shared" si="21"/>
        <v>59.182100000000005</v>
      </c>
      <c r="O121" s="23">
        <f t="shared" si="22"/>
        <v>77.424800000000005</v>
      </c>
      <c r="P121">
        <v>1</v>
      </c>
      <c r="Q121">
        <f t="shared" si="23"/>
        <v>2</v>
      </c>
      <c r="R121">
        <f t="shared" si="24"/>
        <v>2</v>
      </c>
      <c r="S121">
        <f t="shared" si="25"/>
        <v>0</v>
      </c>
      <c r="V121" t="s">
        <v>1046</v>
      </c>
      <c r="X121" t="s">
        <v>582</v>
      </c>
    </row>
    <row r="122" spans="1:24">
      <c r="A122">
        <v>121</v>
      </c>
      <c r="B122" s="12" t="s">
        <v>686</v>
      </c>
      <c r="C122" s="79">
        <v>60</v>
      </c>
      <c r="D122" s="79">
        <v>70</v>
      </c>
      <c r="E122" s="79">
        <v>40</v>
      </c>
      <c r="F122" s="79">
        <v>35</v>
      </c>
      <c r="G122" s="23">
        <f t="shared" si="26"/>
        <v>170</v>
      </c>
      <c r="H122" s="23">
        <f t="shared" si="16"/>
        <v>56.666666666666664</v>
      </c>
      <c r="I122" s="23">
        <f t="shared" si="27"/>
        <v>205</v>
      </c>
      <c r="J122" s="23">
        <f t="shared" si="17"/>
        <v>18.242699999999999</v>
      </c>
      <c r="K122" s="23">
        <f t="shared" si="18"/>
        <v>26.005500000000001</v>
      </c>
      <c r="L122" s="23">
        <f t="shared" si="19"/>
        <v>7.1791999999999998</v>
      </c>
      <c r="M122" s="23">
        <f t="shared" si="20"/>
        <v>5.2808000000000002</v>
      </c>
      <c r="N122" s="23">
        <f t="shared" si="21"/>
        <v>51.427399999999999</v>
      </c>
      <c r="O122" s="23">
        <f t="shared" si="22"/>
        <v>56.708199999999998</v>
      </c>
      <c r="P122">
        <v>1</v>
      </c>
      <c r="Q122">
        <f t="shared" si="23"/>
        <v>2</v>
      </c>
      <c r="R122">
        <f t="shared" si="24"/>
        <v>1</v>
      </c>
      <c r="S122">
        <f t="shared" si="25"/>
        <v>-1</v>
      </c>
      <c r="V122" t="s">
        <v>1046</v>
      </c>
    </row>
    <row r="123" spans="1:24">
      <c r="A123">
        <v>122</v>
      </c>
      <c r="B123" s="12" t="s">
        <v>668</v>
      </c>
      <c r="C123" s="79">
        <v>60</v>
      </c>
      <c r="D123" s="79">
        <v>45</v>
      </c>
      <c r="E123" s="79">
        <v>50</v>
      </c>
      <c r="F123" s="79">
        <v>80</v>
      </c>
      <c r="G123" s="23">
        <f t="shared" si="26"/>
        <v>155</v>
      </c>
      <c r="H123" s="23">
        <f t="shared" si="16"/>
        <v>51.666666666666664</v>
      </c>
      <c r="I123" s="23">
        <f t="shared" si="27"/>
        <v>235</v>
      </c>
      <c r="J123" s="23">
        <f t="shared" si="17"/>
        <v>18.242699999999999</v>
      </c>
      <c r="K123" s="23">
        <f t="shared" si="18"/>
        <v>9.4130000000000003</v>
      </c>
      <c r="L123" s="23">
        <f t="shared" si="19"/>
        <v>11.994199999999999</v>
      </c>
      <c r="M123" s="23">
        <f t="shared" si="20"/>
        <v>35.354700000000001</v>
      </c>
      <c r="N123" s="23">
        <f t="shared" si="21"/>
        <v>39.649900000000002</v>
      </c>
      <c r="O123" s="23">
        <f t="shared" si="22"/>
        <v>75.004600000000011</v>
      </c>
      <c r="P123">
        <v>1</v>
      </c>
      <c r="Q123">
        <f t="shared" si="23"/>
        <v>1</v>
      </c>
      <c r="R123">
        <f t="shared" si="24"/>
        <v>2</v>
      </c>
      <c r="S123">
        <f t="shared" si="25"/>
        <v>1</v>
      </c>
      <c r="V123" t="s">
        <v>1046</v>
      </c>
    </row>
    <row r="124" spans="1:24">
      <c r="A124">
        <v>123</v>
      </c>
      <c r="B124" s="12" t="s">
        <v>681</v>
      </c>
      <c r="C124" s="79">
        <v>75</v>
      </c>
      <c r="D124" s="79">
        <v>90</v>
      </c>
      <c r="E124" s="79">
        <v>30</v>
      </c>
      <c r="F124" s="79">
        <v>40</v>
      </c>
      <c r="G124" s="23">
        <f t="shared" si="26"/>
        <v>195</v>
      </c>
      <c r="H124" s="23">
        <f t="shared" si="16"/>
        <v>65</v>
      </c>
      <c r="I124" s="23">
        <f t="shared" si="27"/>
        <v>235</v>
      </c>
      <c r="J124" s="23">
        <f t="shared" si="17"/>
        <v>30.477599999999999</v>
      </c>
      <c r="K124" s="23">
        <f t="shared" si="18"/>
        <v>46.3551</v>
      </c>
      <c r="L124" s="23">
        <f t="shared" si="19"/>
        <v>3.7044000000000001</v>
      </c>
      <c r="M124" s="23">
        <f t="shared" si="20"/>
        <v>7.1791999999999998</v>
      </c>
      <c r="N124" s="23">
        <f t="shared" si="21"/>
        <v>80.537100000000009</v>
      </c>
      <c r="O124" s="23">
        <f t="shared" si="22"/>
        <v>87.716300000000004</v>
      </c>
      <c r="P124">
        <v>1</v>
      </c>
      <c r="Q124">
        <f t="shared" si="23"/>
        <v>2</v>
      </c>
      <c r="R124">
        <f t="shared" si="24"/>
        <v>2</v>
      </c>
      <c r="S124">
        <f t="shared" si="25"/>
        <v>0</v>
      </c>
      <c r="V124" t="s">
        <v>1046</v>
      </c>
    </row>
    <row r="125" spans="1:24">
      <c r="A125">
        <v>124</v>
      </c>
      <c r="B125" s="12" t="s">
        <v>643</v>
      </c>
      <c r="C125" s="79">
        <v>70</v>
      </c>
      <c r="D125" s="79">
        <v>80</v>
      </c>
      <c r="E125" s="79">
        <v>30</v>
      </c>
      <c r="F125" s="79">
        <v>30</v>
      </c>
      <c r="G125" s="23">
        <f t="shared" si="26"/>
        <v>180</v>
      </c>
      <c r="H125" s="23">
        <f t="shared" si="16"/>
        <v>60</v>
      </c>
      <c r="I125" s="23">
        <f t="shared" si="27"/>
        <v>210</v>
      </c>
      <c r="J125" s="23">
        <f t="shared" si="17"/>
        <v>26.005500000000001</v>
      </c>
      <c r="K125" s="23">
        <f t="shared" si="18"/>
        <v>35.354700000000001</v>
      </c>
      <c r="L125" s="23">
        <f t="shared" si="19"/>
        <v>3.7044000000000001</v>
      </c>
      <c r="M125" s="23">
        <f t="shared" si="20"/>
        <v>3.7044000000000001</v>
      </c>
      <c r="N125" s="23">
        <f t="shared" si="21"/>
        <v>65.064600000000013</v>
      </c>
      <c r="O125" s="23">
        <f t="shared" si="22"/>
        <v>68.76900000000002</v>
      </c>
      <c r="P125">
        <v>1</v>
      </c>
      <c r="Q125">
        <f t="shared" si="23"/>
        <v>2</v>
      </c>
      <c r="R125">
        <f t="shared" si="24"/>
        <v>2</v>
      </c>
      <c r="S125">
        <f t="shared" si="25"/>
        <v>0</v>
      </c>
      <c r="V125" t="s">
        <v>1046</v>
      </c>
    </row>
    <row r="126" spans="1:24">
      <c r="A126">
        <v>125</v>
      </c>
      <c r="B126" s="12" t="s">
        <v>627</v>
      </c>
      <c r="C126" s="79">
        <v>70</v>
      </c>
      <c r="D126" s="79">
        <v>70</v>
      </c>
      <c r="E126" s="79">
        <v>45</v>
      </c>
      <c r="F126" s="79">
        <v>50</v>
      </c>
      <c r="G126" s="23">
        <f t="shared" si="26"/>
        <v>185</v>
      </c>
      <c r="H126" s="23">
        <f t="shared" si="16"/>
        <v>61.666666666666664</v>
      </c>
      <c r="I126" s="23">
        <f t="shared" si="27"/>
        <v>235</v>
      </c>
      <c r="J126" s="23">
        <f t="shared" si="17"/>
        <v>26.005500000000001</v>
      </c>
      <c r="K126" s="23">
        <f t="shared" si="18"/>
        <v>26.005500000000001</v>
      </c>
      <c r="L126" s="23">
        <f t="shared" si="19"/>
        <v>9.4130000000000003</v>
      </c>
      <c r="M126" s="23">
        <f t="shared" si="20"/>
        <v>11.994199999999999</v>
      </c>
      <c r="N126" s="23">
        <f t="shared" si="21"/>
        <v>61.424000000000007</v>
      </c>
      <c r="O126" s="23">
        <f t="shared" si="22"/>
        <v>73.418200000000013</v>
      </c>
      <c r="P126">
        <v>1</v>
      </c>
      <c r="Q126">
        <f t="shared" si="23"/>
        <v>2</v>
      </c>
      <c r="R126">
        <f t="shared" si="24"/>
        <v>2</v>
      </c>
      <c r="S126">
        <f t="shared" si="25"/>
        <v>0</v>
      </c>
      <c r="V126" t="s">
        <v>1046</v>
      </c>
      <c r="X126" t="s">
        <v>628</v>
      </c>
    </row>
    <row r="127" spans="1:24">
      <c r="A127">
        <v>126</v>
      </c>
      <c r="B127" s="12" t="s">
        <v>632</v>
      </c>
      <c r="C127" s="79">
        <v>70</v>
      </c>
      <c r="D127" s="79">
        <v>75</v>
      </c>
      <c r="E127" s="79">
        <v>40</v>
      </c>
      <c r="F127" s="79">
        <v>50</v>
      </c>
      <c r="G127" s="23">
        <f t="shared" si="26"/>
        <v>185</v>
      </c>
      <c r="H127" s="23">
        <f t="shared" si="16"/>
        <v>61.666666666666664</v>
      </c>
      <c r="I127" s="23">
        <f t="shared" si="27"/>
        <v>235</v>
      </c>
      <c r="J127" s="23">
        <f t="shared" si="17"/>
        <v>26.005500000000001</v>
      </c>
      <c r="K127" s="23">
        <f t="shared" si="18"/>
        <v>30.477599999999999</v>
      </c>
      <c r="L127" s="23">
        <f t="shared" si="19"/>
        <v>7.1791999999999998</v>
      </c>
      <c r="M127" s="23">
        <f t="shared" si="20"/>
        <v>11.994199999999999</v>
      </c>
      <c r="N127" s="23">
        <f t="shared" si="21"/>
        <v>63.662300000000002</v>
      </c>
      <c r="O127" s="23">
        <f t="shared" si="22"/>
        <v>75.656499999999994</v>
      </c>
      <c r="P127">
        <v>1</v>
      </c>
      <c r="Q127">
        <f t="shared" si="23"/>
        <v>2</v>
      </c>
      <c r="R127">
        <f t="shared" si="24"/>
        <v>2</v>
      </c>
      <c r="S127">
        <f t="shared" si="25"/>
        <v>0</v>
      </c>
      <c r="V127" t="s">
        <v>1046</v>
      </c>
    </row>
    <row r="128" spans="1:24">
      <c r="A128">
        <v>127</v>
      </c>
      <c r="B128" s="12" t="s">
        <v>634</v>
      </c>
      <c r="C128" s="79">
        <v>75</v>
      </c>
      <c r="D128" s="79">
        <v>85</v>
      </c>
      <c r="E128" s="79">
        <v>45</v>
      </c>
      <c r="F128" s="79">
        <v>50</v>
      </c>
      <c r="G128" s="23">
        <f t="shared" si="26"/>
        <v>205</v>
      </c>
      <c r="H128" s="23">
        <f t="shared" si="16"/>
        <v>68.333333333333329</v>
      </c>
      <c r="I128" s="23">
        <f t="shared" si="27"/>
        <v>255</v>
      </c>
      <c r="J128" s="23">
        <f t="shared" si="17"/>
        <v>30.477599999999999</v>
      </c>
      <c r="K128" s="23">
        <f t="shared" si="18"/>
        <v>40.6447</v>
      </c>
      <c r="L128" s="23">
        <f t="shared" si="19"/>
        <v>9.4130000000000003</v>
      </c>
      <c r="M128" s="23">
        <f t="shared" si="20"/>
        <v>11.994199999999999</v>
      </c>
      <c r="N128" s="23">
        <f t="shared" si="21"/>
        <v>80.535299999999992</v>
      </c>
      <c r="O128" s="23">
        <f t="shared" si="22"/>
        <v>92.529499999999985</v>
      </c>
      <c r="P128">
        <v>1</v>
      </c>
      <c r="Q128">
        <f t="shared" si="23"/>
        <v>2</v>
      </c>
      <c r="R128">
        <f t="shared" si="24"/>
        <v>2</v>
      </c>
      <c r="S128">
        <f t="shared" si="25"/>
        <v>0</v>
      </c>
      <c r="V128" t="s">
        <v>1046</v>
      </c>
    </row>
    <row r="129" spans="1:24">
      <c r="A129">
        <v>128</v>
      </c>
      <c r="B129" s="12" t="s">
        <v>633</v>
      </c>
      <c r="C129" s="79">
        <v>70</v>
      </c>
      <c r="D129" s="79">
        <v>75</v>
      </c>
      <c r="E129" s="79">
        <v>40</v>
      </c>
      <c r="F129" s="79">
        <v>45</v>
      </c>
      <c r="G129" s="23">
        <f t="shared" si="26"/>
        <v>185</v>
      </c>
      <c r="H129" s="23">
        <f t="shared" si="16"/>
        <v>61.666666666666664</v>
      </c>
      <c r="I129" s="23">
        <f t="shared" si="27"/>
        <v>230</v>
      </c>
      <c r="J129" s="23">
        <f t="shared" si="17"/>
        <v>26.005500000000001</v>
      </c>
      <c r="K129" s="23">
        <f t="shared" si="18"/>
        <v>30.477599999999999</v>
      </c>
      <c r="L129" s="23">
        <f t="shared" si="19"/>
        <v>7.1791999999999998</v>
      </c>
      <c r="M129" s="23">
        <f t="shared" si="20"/>
        <v>9.4130000000000003</v>
      </c>
      <c r="N129" s="23">
        <f t="shared" si="21"/>
        <v>63.662300000000002</v>
      </c>
      <c r="O129" s="23">
        <f t="shared" si="22"/>
        <v>73.075299999999999</v>
      </c>
      <c r="P129">
        <v>1</v>
      </c>
      <c r="Q129">
        <f t="shared" si="23"/>
        <v>2</v>
      </c>
      <c r="R129">
        <f t="shared" si="24"/>
        <v>2</v>
      </c>
      <c r="S129">
        <f t="shared" si="25"/>
        <v>0</v>
      </c>
      <c r="V129" t="s">
        <v>1046</v>
      </c>
    </row>
    <row r="130" spans="1:24">
      <c r="A130">
        <v>129</v>
      </c>
      <c r="B130" s="12" t="s">
        <v>298</v>
      </c>
      <c r="C130" s="79">
        <v>105</v>
      </c>
      <c r="D130" s="79">
        <v>110</v>
      </c>
      <c r="E130" s="79">
        <v>40</v>
      </c>
      <c r="F130" s="79">
        <v>60</v>
      </c>
      <c r="G130" s="23">
        <f t="shared" si="26"/>
        <v>255</v>
      </c>
      <c r="H130" s="23">
        <f t="shared" ref="H130:H193" si="28">G130/COUNT(C130:E130)</f>
        <v>85</v>
      </c>
      <c r="I130" s="23">
        <f t="shared" si="27"/>
        <v>315</v>
      </c>
      <c r="J130" s="23">
        <f t="shared" ref="J130:J193" si="29">ROUND(POWER(C130,2.3)/674,4)</f>
        <v>66.080799999999996</v>
      </c>
      <c r="K130" s="23">
        <f t="shared" ref="K130:K193" si="30">ROUND(POWER(D130,2.3)/674,4)</f>
        <v>73.543300000000002</v>
      </c>
      <c r="L130" s="23">
        <f t="shared" ref="L130:L193" si="31">ROUND(POWER(E130,2.3)/674,4)</f>
        <v>7.1791999999999998</v>
      </c>
      <c r="M130" s="23">
        <f t="shared" ref="M130:M193" si="32">ROUND(POWER(F130,2.3)/674,4)</f>
        <v>18.242699999999999</v>
      </c>
      <c r="N130" s="23">
        <f t="shared" ref="N130:N193" si="33">SUM(J130:L130)</f>
        <v>146.80330000000001</v>
      </c>
      <c r="O130" s="23">
        <f t="shared" ref="O130:O193" si="34">SUM(J130:M130)</f>
        <v>165.04599999999999</v>
      </c>
      <c r="P130">
        <v>1</v>
      </c>
      <c r="Q130">
        <f t="shared" si="23"/>
        <v>4</v>
      </c>
      <c r="R130">
        <f t="shared" si="24"/>
        <v>3</v>
      </c>
      <c r="S130">
        <f t="shared" si="25"/>
        <v>-1</v>
      </c>
      <c r="V130" t="s">
        <v>1046</v>
      </c>
      <c r="X130" t="s">
        <v>635</v>
      </c>
    </row>
    <row r="131" spans="1:24">
      <c r="A131">
        <v>130</v>
      </c>
      <c r="B131" s="12" t="s">
        <v>608</v>
      </c>
      <c r="C131" s="79">
        <v>40</v>
      </c>
      <c r="D131" s="79">
        <v>35</v>
      </c>
      <c r="E131" s="79">
        <v>75</v>
      </c>
      <c r="F131" s="79">
        <v>105</v>
      </c>
      <c r="G131" s="23">
        <f t="shared" si="26"/>
        <v>150</v>
      </c>
      <c r="H131" s="23">
        <f t="shared" si="28"/>
        <v>50</v>
      </c>
      <c r="I131" s="23">
        <f t="shared" si="27"/>
        <v>255</v>
      </c>
      <c r="J131" s="23">
        <f t="shared" si="29"/>
        <v>7.1791999999999998</v>
      </c>
      <c r="K131" s="23">
        <f t="shared" si="30"/>
        <v>5.2808000000000002</v>
      </c>
      <c r="L131" s="23">
        <f t="shared" si="31"/>
        <v>30.477599999999999</v>
      </c>
      <c r="M131" s="23">
        <f t="shared" si="32"/>
        <v>66.080799999999996</v>
      </c>
      <c r="N131" s="23">
        <f t="shared" si="33"/>
        <v>42.937600000000003</v>
      </c>
      <c r="O131" s="23">
        <f t="shared" si="34"/>
        <v>109.0184</v>
      </c>
      <c r="P131">
        <v>1</v>
      </c>
      <c r="Q131">
        <f t="shared" ref="Q131:Q194" si="35">commanderStars(N131,P131,FALSE)</f>
        <v>1</v>
      </c>
      <c r="R131">
        <f t="shared" ref="R131:R194" si="36">commanderStars(O131,P131,TRUE)</f>
        <v>2</v>
      </c>
      <c r="S131">
        <f t="shared" ref="S131:S194" si="37">R131-Q131</f>
        <v>1</v>
      </c>
      <c r="V131" t="s">
        <v>1046</v>
      </c>
      <c r="X131" t="s">
        <v>609</v>
      </c>
    </row>
    <row r="132" spans="1:24">
      <c r="A132">
        <v>131</v>
      </c>
      <c r="B132" s="12" t="s">
        <v>571</v>
      </c>
      <c r="C132" s="79">
        <v>75</v>
      </c>
      <c r="D132" s="79">
        <v>80</v>
      </c>
      <c r="E132" s="79">
        <v>40</v>
      </c>
      <c r="F132" s="79">
        <v>50</v>
      </c>
      <c r="G132" s="23">
        <f t="shared" si="26"/>
        <v>195</v>
      </c>
      <c r="H132" s="23">
        <f t="shared" si="28"/>
        <v>65</v>
      </c>
      <c r="I132" s="23">
        <f t="shared" si="27"/>
        <v>245</v>
      </c>
      <c r="J132" s="23">
        <f t="shared" si="29"/>
        <v>30.477599999999999</v>
      </c>
      <c r="K132" s="23">
        <f t="shared" si="30"/>
        <v>35.354700000000001</v>
      </c>
      <c r="L132" s="23">
        <f t="shared" si="31"/>
        <v>7.1791999999999998</v>
      </c>
      <c r="M132" s="23">
        <f t="shared" si="32"/>
        <v>11.994199999999999</v>
      </c>
      <c r="N132" s="23">
        <f t="shared" si="33"/>
        <v>73.011499999999998</v>
      </c>
      <c r="O132" s="23">
        <f t="shared" si="34"/>
        <v>85.00569999999999</v>
      </c>
      <c r="P132">
        <v>1</v>
      </c>
      <c r="Q132">
        <f t="shared" si="35"/>
        <v>2</v>
      </c>
      <c r="R132">
        <f t="shared" si="36"/>
        <v>2</v>
      </c>
      <c r="S132">
        <f t="shared" si="37"/>
        <v>0</v>
      </c>
      <c r="V132" t="s">
        <v>1046</v>
      </c>
      <c r="X132" t="s">
        <v>572</v>
      </c>
    </row>
    <row r="133" spans="1:24">
      <c r="A133">
        <v>132</v>
      </c>
      <c r="B133" s="12" t="s">
        <v>569</v>
      </c>
      <c r="C133" s="79">
        <v>65</v>
      </c>
      <c r="D133" s="79">
        <v>40</v>
      </c>
      <c r="E133" s="79">
        <v>70</v>
      </c>
      <c r="F133" s="79">
        <v>65</v>
      </c>
      <c r="G133" s="23">
        <f t="shared" si="26"/>
        <v>175</v>
      </c>
      <c r="H133" s="23">
        <f t="shared" si="28"/>
        <v>58.333333333333336</v>
      </c>
      <c r="I133" s="23">
        <f t="shared" si="27"/>
        <v>240</v>
      </c>
      <c r="J133" s="23">
        <f t="shared" si="29"/>
        <v>21.930099999999999</v>
      </c>
      <c r="K133" s="23">
        <f t="shared" si="30"/>
        <v>7.1791999999999998</v>
      </c>
      <c r="L133" s="23">
        <f t="shared" si="31"/>
        <v>26.005500000000001</v>
      </c>
      <c r="M133" s="23">
        <f t="shared" si="32"/>
        <v>21.930099999999999</v>
      </c>
      <c r="N133" s="23">
        <f t="shared" si="33"/>
        <v>55.114800000000002</v>
      </c>
      <c r="O133" s="23">
        <f t="shared" si="34"/>
        <v>77.044899999999998</v>
      </c>
      <c r="P133">
        <v>1</v>
      </c>
      <c r="Q133">
        <f t="shared" si="35"/>
        <v>2</v>
      </c>
      <c r="R133">
        <f t="shared" si="36"/>
        <v>2</v>
      </c>
      <c r="S133">
        <f t="shared" si="37"/>
        <v>0</v>
      </c>
      <c r="V133" t="s">
        <v>1046</v>
      </c>
      <c r="X133" t="s">
        <v>570</v>
      </c>
    </row>
    <row r="134" spans="1:24">
      <c r="A134">
        <v>133</v>
      </c>
      <c r="B134" s="12" t="s">
        <v>309</v>
      </c>
      <c r="C134" s="79">
        <v>65</v>
      </c>
      <c r="D134" s="79">
        <v>70</v>
      </c>
      <c r="E134" s="79">
        <v>40</v>
      </c>
      <c r="F134" s="79">
        <v>45</v>
      </c>
      <c r="G134" s="23">
        <f t="shared" si="26"/>
        <v>175</v>
      </c>
      <c r="H134" s="23">
        <f t="shared" si="28"/>
        <v>58.333333333333336</v>
      </c>
      <c r="I134" s="23">
        <f t="shared" si="27"/>
        <v>220</v>
      </c>
      <c r="J134" s="23">
        <f t="shared" si="29"/>
        <v>21.930099999999999</v>
      </c>
      <c r="K134" s="23">
        <f t="shared" si="30"/>
        <v>26.005500000000001</v>
      </c>
      <c r="L134" s="23">
        <f t="shared" si="31"/>
        <v>7.1791999999999998</v>
      </c>
      <c r="M134" s="23">
        <f t="shared" si="32"/>
        <v>9.4130000000000003</v>
      </c>
      <c r="N134" s="23">
        <f t="shared" si="33"/>
        <v>55.114800000000002</v>
      </c>
      <c r="O134" s="23">
        <f t="shared" si="34"/>
        <v>64.527799999999999</v>
      </c>
      <c r="P134">
        <v>1</v>
      </c>
      <c r="Q134">
        <f t="shared" si="35"/>
        <v>2</v>
      </c>
      <c r="R134">
        <f t="shared" si="36"/>
        <v>2</v>
      </c>
      <c r="S134">
        <f t="shared" si="37"/>
        <v>0</v>
      </c>
      <c r="V134" t="s">
        <v>1046</v>
      </c>
      <c r="X134" t="s">
        <v>310</v>
      </c>
    </row>
    <row r="135" spans="1:24">
      <c r="A135">
        <v>134</v>
      </c>
      <c r="B135" s="12" t="s">
        <v>617</v>
      </c>
      <c r="C135" s="79">
        <v>60</v>
      </c>
      <c r="D135" s="79">
        <v>65</v>
      </c>
      <c r="E135" s="79">
        <v>45</v>
      </c>
      <c r="F135" s="79">
        <v>35</v>
      </c>
      <c r="G135" s="23">
        <f t="shared" si="26"/>
        <v>170</v>
      </c>
      <c r="H135" s="23">
        <f t="shared" si="28"/>
        <v>56.666666666666664</v>
      </c>
      <c r="I135" s="23">
        <f t="shared" si="27"/>
        <v>205</v>
      </c>
      <c r="J135" s="23">
        <f t="shared" si="29"/>
        <v>18.242699999999999</v>
      </c>
      <c r="K135" s="23">
        <f t="shared" si="30"/>
        <v>21.930099999999999</v>
      </c>
      <c r="L135" s="23">
        <f t="shared" si="31"/>
        <v>9.4130000000000003</v>
      </c>
      <c r="M135" s="23">
        <f t="shared" si="32"/>
        <v>5.2808000000000002</v>
      </c>
      <c r="N135" s="23">
        <f t="shared" si="33"/>
        <v>49.585799999999992</v>
      </c>
      <c r="O135" s="23">
        <f t="shared" si="34"/>
        <v>54.866599999999991</v>
      </c>
      <c r="P135">
        <v>1</v>
      </c>
      <c r="Q135">
        <f t="shared" si="35"/>
        <v>2</v>
      </c>
      <c r="R135">
        <f t="shared" si="36"/>
        <v>1</v>
      </c>
      <c r="S135">
        <f t="shared" si="37"/>
        <v>-1</v>
      </c>
      <c r="V135" t="s">
        <v>1046</v>
      </c>
      <c r="X135" t="s">
        <v>618</v>
      </c>
    </row>
    <row r="136" spans="1:24">
      <c r="A136">
        <v>135</v>
      </c>
      <c r="B136" s="12" t="s">
        <v>583</v>
      </c>
      <c r="C136" s="79">
        <v>65</v>
      </c>
      <c r="D136" s="79">
        <v>70</v>
      </c>
      <c r="E136" s="79">
        <v>40</v>
      </c>
      <c r="F136" s="79">
        <v>35</v>
      </c>
      <c r="G136" s="23">
        <f t="shared" si="26"/>
        <v>175</v>
      </c>
      <c r="H136" s="23">
        <f t="shared" si="28"/>
        <v>58.333333333333336</v>
      </c>
      <c r="I136" s="23">
        <f t="shared" si="27"/>
        <v>210</v>
      </c>
      <c r="J136" s="23">
        <f t="shared" si="29"/>
        <v>21.930099999999999</v>
      </c>
      <c r="K136" s="23">
        <f t="shared" si="30"/>
        <v>26.005500000000001</v>
      </c>
      <c r="L136" s="23">
        <f t="shared" si="31"/>
        <v>7.1791999999999998</v>
      </c>
      <c r="M136" s="23">
        <f t="shared" si="32"/>
        <v>5.2808000000000002</v>
      </c>
      <c r="N136" s="23">
        <f t="shared" si="33"/>
        <v>55.114800000000002</v>
      </c>
      <c r="O136" s="23">
        <f t="shared" si="34"/>
        <v>60.395600000000002</v>
      </c>
      <c r="P136">
        <v>1</v>
      </c>
      <c r="Q136">
        <f t="shared" si="35"/>
        <v>2</v>
      </c>
      <c r="R136">
        <f t="shared" si="36"/>
        <v>2</v>
      </c>
      <c r="S136">
        <f t="shared" si="37"/>
        <v>0</v>
      </c>
      <c r="V136" t="s">
        <v>1046</v>
      </c>
    </row>
    <row r="137" spans="1:24">
      <c r="A137">
        <v>136</v>
      </c>
      <c r="B137" s="12" t="s">
        <v>584</v>
      </c>
      <c r="C137" s="79">
        <v>60</v>
      </c>
      <c r="D137" s="79">
        <v>70</v>
      </c>
      <c r="E137" s="79">
        <v>35</v>
      </c>
      <c r="F137" s="79">
        <v>40</v>
      </c>
      <c r="G137" s="23">
        <f t="shared" si="26"/>
        <v>165</v>
      </c>
      <c r="H137" s="23">
        <f t="shared" si="28"/>
        <v>55</v>
      </c>
      <c r="I137" s="23">
        <f t="shared" si="27"/>
        <v>205</v>
      </c>
      <c r="J137" s="23">
        <f t="shared" si="29"/>
        <v>18.242699999999999</v>
      </c>
      <c r="K137" s="23">
        <f t="shared" si="30"/>
        <v>26.005500000000001</v>
      </c>
      <c r="L137" s="23">
        <f t="shared" si="31"/>
        <v>5.2808000000000002</v>
      </c>
      <c r="M137" s="23">
        <f t="shared" si="32"/>
        <v>7.1791999999999998</v>
      </c>
      <c r="N137" s="23">
        <f t="shared" si="33"/>
        <v>49.528999999999996</v>
      </c>
      <c r="O137" s="23">
        <f t="shared" si="34"/>
        <v>56.708199999999998</v>
      </c>
      <c r="P137">
        <v>1</v>
      </c>
      <c r="Q137">
        <f t="shared" si="35"/>
        <v>2</v>
      </c>
      <c r="R137">
        <f t="shared" si="36"/>
        <v>1</v>
      </c>
      <c r="S137">
        <f t="shared" si="37"/>
        <v>-1</v>
      </c>
      <c r="V137" t="s">
        <v>1046</v>
      </c>
      <c r="X137" t="s">
        <v>585</v>
      </c>
    </row>
    <row r="138" spans="1:24">
      <c r="A138">
        <v>137</v>
      </c>
      <c r="B138" s="12" t="s">
        <v>653</v>
      </c>
      <c r="C138" s="79">
        <v>65</v>
      </c>
      <c r="D138" s="79">
        <v>95</v>
      </c>
      <c r="E138" s="79">
        <v>35</v>
      </c>
      <c r="F138" s="79">
        <v>30</v>
      </c>
      <c r="G138" s="23">
        <f t="shared" si="26"/>
        <v>195</v>
      </c>
      <c r="H138" s="23">
        <f t="shared" si="28"/>
        <v>65</v>
      </c>
      <c r="I138" s="23">
        <f t="shared" si="27"/>
        <v>225</v>
      </c>
      <c r="J138" s="23">
        <f t="shared" si="29"/>
        <v>21.930099999999999</v>
      </c>
      <c r="K138" s="23">
        <f t="shared" si="30"/>
        <v>52.493400000000001</v>
      </c>
      <c r="L138" s="23">
        <f t="shared" si="31"/>
        <v>5.2808000000000002</v>
      </c>
      <c r="M138" s="23">
        <f t="shared" si="32"/>
        <v>3.7044000000000001</v>
      </c>
      <c r="N138" s="23">
        <f t="shared" si="33"/>
        <v>79.704300000000003</v>
      </c>
      <c r="O138" s="23">
        <f t="shared" si="34"/>
        <v>83.40870000000001</v>
      </c>
      <c r="P138">
        <v>1</v>
      </c>
      <c r="Q138">
        <f t="shared" si="35"/>
        <v>2</v>
      </c>
      <c r="R138">
        <f t="shared" si="36"/>
        <v>2</v>
      </c>
      <c r="S138">
        <f t="shared" si="37"/>
        <v>0</v>
      </c>
      <c r="V138" t="s">
        <v>1046</v>
      </c>
      <c r="X138" t="s">
        <v>654</v>
      </c>
    </row>
    <row r="139" spans="1:24">
      <c r="A139">
        <v>138</v>
      </c>
      <c r="B139" s="12" t="s">
        <v>658</v>
      </c>
      <c r="C139" s="79">
        <v>70</v>
      </c>
      <c r="D139" s="79">
        <v>70</v>
      </c>
      <c r="E139" s="79">
        <v>45</v>
      </c>
      <c r="F139" s="79">
        <v>40</v>
      </c>
      <c r="G139" s="23">
        <f t="shared" si="26"/>
        <v>185</v>
      </c>
      <c r="H139" s="23">
        <f t="shared" si="28"/>
        <v>61.666666666666664</v>
      </c>
      <c r="I139" s="23">
        <f t="shared" si="27"/>
        <v>225</v>
      </c>
      <c r="J139" s="23">
        <f t="shared" si="29"/>
        <v>26.005500000000001</v>
      </c>
      <c r="K139" s="23">
        <f t="shared" si="30"/>
        <v>26.005500000000001</v>
      </c>
      <c r="L139" s="23">
        <f t="shared" si="31"/>
        <v>9.4130000000000003</v>
      </c>
      <c r="M139" s="23">
        <f t="shared" si="32"/>
        <v>7.1791999999999998</v>
      </c>
      <c r="N139" s="23">
        <f t="shared" si="33"/>
        <v>61.424000000000007</v>
      </c>
      <c r="O139" s="23">
        <f t="shared" si="34"/>
        <v>68.603200000000001</v>
      </c>
      <c r="P139">
        <v>1</v>
      </c>
      <c r="Q139">
        <f t="shared" si="35"/>
        <v>2</v>
      </c>
      <c r="R139">
        <f t="shared" si="36"/>
        <v>2</v>
      </c>
      <c r="S139">
        <f t="shared" si="37"/>
        <v>0</v>
      </c>
      <c r="V139" t="s">
        <v>1046</v>
      </c>
      <c r="X139" t="s">
        <v>659</v>
      </c>
    </row>
    <row r="140" spans="1:24">
      <c r="A140">
        <v>139</v>
      </c>
      <c r="B140" s="12" t="s">
        <v>604</v>
      </c>
      <c r="C140" s="79">
        <v>75</v>
      </c>
      <c r="D140" s="79">
        <v>75</v>
      </c>
      <c r="E140" s="79">
        <v>50</v>
      </c>
      <c r="F140" s="79">
        <v>65</v>
      </c>
      <c r="G140" s="23">
        <f t="shared" si="26"/>
        <v>200</v>
      </c>
      <c r="H140" s="23">
        <f t="shared" si="28"/>
        <v>66.666666666666671</v>
      </c>
      <c r="I140" s="23">
        <f t="shared" si="27"/>
        <v>265</v>
      </c>
      <c r="J140" s="23">
        <f t="shared" si="29"/>
        <v>30.477599999999999</v>
      </c>
      <c r="K140" s="23">
        <f t="shared" si="30"/>
        <v>30.477599999999999</v>
      </c>
      <c r="L140" s="23">
        <f t="shared" si="31"/>
        <v>11.994199999999999</v>
      </c>
      <c r="M140" s="23">
        <f t="shared" si="32"/>
        <v>21.930099999999999</v>
      </c>
      <c r="N140" s="23">
        <f t="shared" si="33"/>
        <v>72.949399999999997</v>
      </c>
      <c r="O140" s="23">
        <f t="shared" si="34"/>
        <v>94.879499999999993</v>
      </c>
      <c r="P140">
        <v>1</v>
      </c>
      <c r="Q140">
        <f t="shared" si="35"/>
        <v>2</v>
      </c>
      <c r="R140">
        <f t="shared" si="36"/>
        <v>2</v>
      </c>
      <c r="S140">
        <f t="shared" si="37"/>
        <v>0</v>
      </c>
      <c r="V140" t="s">
        <v>1046</v>
      </c>
      <c r="X140" t="s">
        <v>605</v>
      </c>
    </row>
    <row r="141" spans="1:24">
      <c r="A141">
        <v>140</v>
      </c>
      <c r="B141" s="12" t="s">
        <v>603</v>
      </c>
      <c r="C141" s="79">
        <v>45</v>
      </c>
      <c r="D141" s="79">
        <v>30</v>
      </c>
      <c r="E141" s="79">
        <v>80</v>
      </c>
      <c r="F141" s="79">
        <v>75</v>
      </c>
      <c r="G141" s="23">
        <f t="shared" si="26"/>
        <v>155</v>
      </c>
      <c r="H141" s="23">
        <f t="shared" si="28"/>
        <v>51.666666666666664</v>
      </c>
      <c r="I141" s="23">
        <f t="shared" si="27"/>
        <v>230</v>
      </c>
      <c r="J141" s="23">
        <f t="shared" si="29"/>
        <v>9.4130000000000003</v>
      </c>
      <c r="K141" s="23">
        <f t="shared" si="30"/>
        <v>3.7044000000000001</v>
      </c>
      <c r="L141" s="23">
        <f t="shared" si="31"/>
        <v>35.354700000000001</v>
      </c>
      <c r="M141" s="23">
        <f t="shared" si="32"/>
        <v>30.477599999999999</v>
      </c>
      <c r="N141" s="23">
        <f t="shared" si="33"/>
        <v>48.472099999999998</v>
      </c>
      <c r="O141" s="23">
        <f t="shared" si="34"/>
        <v>78.949699999999993</v>
      </c>
      <c r="P141">
        <v>1</v>
      </c>
      <c r="Q141">
        <f t="shared" si="35"/>
        <v>2</v>
      </c>
      <c r="R141">
        <f t="shared" si="36"/>
        <v>2</v>
      </c>
      <c r="S141">
        <f t="shared" si="37"/>
        <v>0</v>
      </c>
      <c r="V141" t="s">
        <v>1046</v>
      </c>
    </row>
    <row r="142" spans="1:24">
      <c r="A142">
        <v>141</v>
      </c>
      <c r="B142" s="12" t="s">
        <v>602</v>
      </c>
      <c r="C142" s="79">
        <v>80</v>
      </c>
      <c r="D142" s="79">
        <v>95</v>
      </c>
      <c r="E142" s="79">
        <v>40</v>
      </c>
      <c r="F142" s="79">
        <v>65</v>
      </c>
      <c r="G142" s="23">
        <f t="shared" si="26"/>
        <v>215</v>
      </c>
      <c r="H142" s="23">
        <f t="shared" si="28"/>
        <v>71.666666666666671</v>
      </c>
      <c r="I142" s="23">
        <f t="shared" si="27"/>
        <v>280</v>
      </c>
      <c r="J142" s="23">
        <f t="shared" si="29"/>
        <v>35.354700000000001</v>
      </c>
      <c r="K142" s="23">
        <f t="shared" si="30"/>
        <v>52.493400000000001</v>
      </c>
      <c r="L142" s="23">
        <f t="shared" si="31"/>
        <v>7.1791999999999998</v>
      </c>
      <c r="M142" s="23">
        <f t="shared" si="32"/>
        <v>21.930099999999999</v>
      </c>
      <c r="N142" s="23">
        <f t="shared" si="33"/>
        <v>95.027299999999997</v>
      </c>
      <c r="O142" s="23">
        <f t="shared" si="34"/>
        <v>116.95739999999999</v>
      </c>
      <c r="P142">
        <v>1</v>
      </c>
      <c r="Q142">
        <f t="shared" si="35"/>
        <v>3</v>
      </c>
      <c r="R142">
        <f t="shared" si="36"/>
        <v>2</v>
      </c>
      <c r="S142">
        <f t="shared" si="37"/>
        <v>-1</v>
      </c>
      <c r="V142" t="s">
        <v>1046</v>
      </c>
    </row>
    <row r="143" spans="1:24">
      <c r="A143">
        <v>142</v>
      </c>
      <c r="B143" s="12" t="s">
        <v>606</v>
      </c>
      <c r="C143" s="79">
        <v>60</v>
      </c>
      <c r="D143" s="79">
        <v>65</v>
      </c>
      <c r="E143" s="79">
        <v>40</v>
      </c>
      <c r="F143" s="79">
        <v>50</v>
      </c>
      <c r="G143" s="23">
        <f t="shared" si="26"/>
        <v>165</v>
      </c>
      <c r="H143" s="23">
        <f t="shared" si="28"/>
        <v>55</v>
      </c>
      <c r="I143" s="23">
        <f t="shared" si="27"/>
        <v>215</v>
      </c>
      <c r="J143" s="23">
        <f t="shared" si="29"/>
        <v>18.242699999999999</v>
      </c>
      <c r="K143" s="23">
        <f t="shared" si="30"/>
        <v>21.930099999999999</v>
      </c>
      <c r="L143" s="23">
        <f t="shared" si="31"/>
        <v>7.1791999999999998</v>
      </c>
      <c r="M143" s="23">
        <f t="shared" si="32"/>
        <v>11.994199999999999</v>
      </c>
      <c r="N143" s="23">
        <f t="shared" si="33"/>
        <v>47.351999999999997</v>
      </c>
      <c r="O143" s="23">
        <f t="shared" si="34"/>
        <v>59.346199999999996</v>
      </c>
      <c r="P143">
        <v>1</v>
      </c>
      <c r="Q143">
        <f t="shared" si="35"/>
        <v>2</v>
      </c>
      <c r="R143">
        <f t="shared" si="36"/>
        <v>1</v>
      </c>
      <c r="S143">
        <f t="shared" si="37"/>
        <v>-1</v>
      </c>
      <c r="V143" t="s">
        <v>1046</v>
      </c>
      <c r="X143" t="s">
        <v>607</v>
      </c>
    </row>
    <row r="144" spans="1:24">
      <c r="A144">
        <v>143</v>
      </c>
      <c r="B144" s="12" t="s">
        <v>682</v>
      </c>
      <c r="C144" s="79">
        <v>75</v>
      </c>
      <c r="D144" s="79">
        <v>80</v>
      </c>
      <c r="E144" s="79">
        <v>40</v>
      </c>
      <c r="F144" s="79">
        <v>45</v>
      </c>
      <c r="G144" s="23">
        <f t="shared" si="26"/>
        <v>195</v>
      </c>
      <c r="H144" s="23">
        <f t="shared" si="28"/>
        <v>65</v>
      </c>
      <c r="I144" s="23">
        <f t="shared" si="27"/>
        <v>240</v>
      </c>
      <c r="J144" s="23">
        <f t="shared" si="29"/>
        <v>30.477599999999999</v>
      </c>
      <c r="K144" s="23">
        <f t="shared" si="30"/>
        <v>35.354700000000001</v>
      </c>
      <c r="L144" s="23">
        <f t="shared" si="31"/>
        <v>7.1791999999999998</v>
      </c>
      <c r="M144" s="23">
        <f t="shared" si="32"/>
        <v>9.4130000000000003</v>
      </c>
      <c r="N144" s="23">
        <f t="shared" si="33"/>
        <v>73.011499999999998</v>
      </c>
      <c r="O144" s="23">
        <f t="shared" si="34"/>
        <v>82.424499999999995</v>
      </c>
      <c r="P144">
        <v>1</v>
      </c>
      <c r="Q144">
        <f t="shared" si="35"/>
        <v>2</v>
      </c>
      <c r="R144">
        <f t="shared" si="36"/>
        <v>2</v>
      </c>
      <c r="S144">
        <f t="shared" si="37"/>
        <v>0</v>
      </c>
      <c r="V144" t="s">
        <v>1046</v>
      </c>
    </row>
    <row r="145" spans="1:24">
      <c r="A145">
        <v>144</v>
      </c>
      <c r="B145" s="12" t="s">
        <v>650</v>
      </c>
      <c r="C145" s="79">
        <v>45</v>
      </c>
      <c r="D145" s="79">
        <v>30</v>
      </c>
      <c r="E145" s="79">
        <v>55</v>
      </c>
      <c r="F145" s="79">
        <v>95</v>
      </c>
      <c r="G145" s="23">
        <f t="shared" si="26"/>
        <v>130</v>
      </c>
      <c r="H145" s="23">
        <f t="shared" si="28"/>
        <v>43.333333333333336</v>
      </c>
      <c r="I145" s="23">
        <f t="shared" si="27"/>
        <v>225</v>
      </c>
      <c r="J145" s="23">
        <f t="shared" si="29"/>
        <v>9.4130000000000003</v>
      </c>
      <c r="K145" s="23">
        <f t="shared" si="30"/>
        <v>3.7044000000000001</v>
      </c>
      <c r="L145" s="23">
        <f t="shared" si="31"/>
        <v>14.9339</v>
      </c>
      <c r="M145" s="23">
        <f t="shared" si="32"/>
        <v>52.493400000000001</v>
      </c>
      <c r="N145" s="23">
        <f t="shared" si="33"/>
        <v>28.051299999999998</v>
      </c>
      <c r="O145" s="23">
        <f t="shared" si="34"/>
        <v>80.544700000000006</v>
      </c>
      <c r="P145">
        <v>1</v>
      </c>
      <c r="Q145">
        <f t="shared" si="35"/>
        <v>1</v>
      </c>
      <c r="R145">
        <f t="shared" si="36"/>
        <v>2</v>
      </c>
      <c r="S145">
        <f t="shared" si="37"/>
        <v>1</v>
      </c>
      <c r="V145" t="s">
        <v>1046</v>
      </c>
      <c r="X145" t="s">
        <v>651</v>
      </c>
    </row>
    <row r="146" spans="1:24">
      <c r="A146">
        <v>145</v>
      </c>
      <c r="B146" s="12" t="s">
        <v>683</v>
      </c>
      <c r="C146" s="79">
        <v>45</v>
      </c>
      <c r="D146" s="79">
        <v>40</v>
      </c>
      <c r="E146" s="79">
        <v>75</v>
      </c>
      <c r="F146" s="79">
        <v>65</v>
      </c>
      <c r="G146" s="23">
        <f t="shared" si="26"/>
        <v>160</v>
      </c>
      <c r="H146" s="23">
        <f t="shared" si="28"/>
        <v>53.333333333333336</v>
      </c>
      <c r="I146" s="23">
        <f t="shared" si="27"/>
        <v>225</v>
      </c>
      <c r="J146" s="23">
        <f t="shared" si="29"/>
        <v>9.4130000000000003</v>
      </c>
      <c r="K146" s="23">
        <f t="shared" si="30"/>
        <v>7.1791999999999998</v>
      </c>
      <c r="L146" s="23">
        <f t="shared" si="31"/>
        <v>30.477599999999999</v>
      </c>
      <c r="M146" s="23">
        <f t="shared" si="32"/>
        <v>21.930099999999999</v>
      </c>
      <c r="N146" s="23">
        <f t="shared" si="33"/>
        <v>47.069800000000001</v>
      </c>
      <c r="O146" s="23">
        <f t="shared" si="34"/>
        <v>68.999899999999997</v>
      </c>
      <c r="P146">
        <v>1</v>
      </c>
      <c r="Q146">
        <f t="shared" si="35"/>
        <v>2</v>
      </c>
      <c r="R146">
        <f t="shared" si="36"/>
        <v>2</v>
      </c>
      <c r="S146">
        <f t="shared" si="37"/>
        <v>0</v>
      </c>
      <c r="V146" t="s">
        <v>1046</v>
      </c>
    </row>
    <row r="147" spans="1:24">
      <c r="A147">
        <v>146</v>
      </c>
      <c r="B147" s="12" t="s">
        <v>667</v>
      </c>
      <c r="C147" s="79">
        <v>95</v>
      </c>
      <c r="D147" s="79">
        <v>85</v>
      </c>
      <c r="E147" s="79">
        <v>75</v>
      </c>
      <c r="F147" s="79">
        <v>90</v>
      </c>
      <c r="G147" s="23">
        <f t="shared" si="26"/>
        <v>255</v>
      </c>
      <c r="H147" s="23">
        <f t="shared" si="28"/>
        <v>85</v>
      </c>
      <c r="I147" s="23">
        <f t="shared" si="27"/>
        <v>345</v>
      </c>
      <c r="J147" s="23">
        <f t="shared" si="29"/>
        <v>52.493400000000001</v>
      </c>
      <c r="K147" s="23">
        <f t="shared" si="30"/>
        <v>40.6447</v>
      </c>
      <c r="L147" s="23">
        <f t="shared" si="31"/>
        <v>30.477599999999999</v>
      </c>
      <c r="M147" s="23">
        <f t="shared" si="32"/>
        <v>46.3551</v>
      </c>
      <c r="N147" s="23">
        <f t="shared" si="33"/>
        <v>123.6157</v>
      </c>
      <c r="O147" s="23">
        <f t="shared" si="34"/>
        <v>169.9708</v>
      </c>
      <c r="P147">
        <v>1</v>
      </c>
      <c r="Q147">
        <f t="shared" si="35"/>
        <v>3</v>
      </c>
      <c r="R147">
        <f t="shared" si="36"/>
        <v>3</v>
      </c>
      <c r="S147">
        <f t="shared" si="37"/>
        <v>0</v>
      </c>
      <c r="V147" t="s">
        <v>1046</v>
      </c>
    </row>
    <row r="148" spans="1:24">
      <c r="A148">
        <v>147</v>
      </c>
      <c r="B148" s="12" t="s">
        <v>598</v>
      </c>
      <c r="C148" s="79">
        <v>45</v>
      </c>
      <c r="D148" s="79">
        <v>30</v>
      </c>
      <c r="E148" s="79">
        <v>50</v>
      </c>
      <c r="F148" s="79">
        <v>55</v>
      </c>
      <c r="G148" s="23">
        <f t="shared" si="26"/>
        <v>125</v>
      </c>
      <c r="H148" s="23">
        <f t="shared" si="28"/>
        <v>41.666666666666664</v>
      </c>
      <c r="I148" s="23">
        <f t="shared" si="27"/>
        <v>180</v>
      </c>
      <c r="J148" s="23">
        <f t="shared" si="29"/>
        <v>9.4130000000000003</v>
      </c>
      <c r="K148" s="23">
        <f t="shared" si="30"/>
        <v>3.7044000000000001</v>
      </c>
      <c r="L148" s="23">
        <f t="shared" si="31"/>
        <v>11.994199999999999</v>
      </c>
      <c r="M148" s="23">
        <f t="shared" si="32"/>
        <v>14.9339</v>
      </c>
      <c r="N148" s="23">
        <f t="shared" si="33"/>
        <v>25.111599999999999</v>
      </c>
      <c r="O148" s="23">
        <f t="shared" si="34"/>
        <v>40.045499999999997</v>
      </c>
      <c r="P148">
        <v>1</v>
      </c>
      <c r="Q148">
        <f t="shared" si="35"/>
        <v>1</v>
      </c>
      <c r="R148">
        <f t="shared" si="36"/>
        <v>1</v>
      </c>
      <c r="S148">
        <f t="shared" si="37"/>
        <v>0</v>
      </c>
      <c r="V148" t="s">
        <v>1046</v>
      </c>
    </row>
    <row r="149" spans="1:24">
      <c r="A149">
        <v>148</v>
      </c>
      <c r="B149" s="12" t="s">
        <v>597</v>
      </c>
      <c r="C149" s="79">
        <v>60</v>
      </c>
      <c r="D149" s="79">
        <v>70</v>
      </c>
      <c r="E149" s="79">
        <v>45</v>
      </c>
      <c r="F149" s="79">
        <v>50</v>
      </c>
      <c r="G149" s="23">
        <f t="shared" si="26"/>
        <v>175</v>
      </c>
      <c r="H149" s="23">
        <f t="shared" si="28"/>
        <v>58.333333333333336</v>
      </c>
      <c r="I149" s="23">
        <f t="shared" si="27"/>
        <v>225</v>
      </c>
      <c r="J149" s="23">
        <f t="shared" si="29"/>
        <v>18.242699999999999</v>
      </c>
      <c r="K149" s="23">
        <f t="shared" si="30"/>
        <v>26.005500000000001</v>
      </c>
      <c r="L149" s="23">
        <f t="shared" si="31"/>
        <v>9.4130000000000003</v>
      </c>
      <c r="M149" s="23">
        <f t="shared" si="32"/>
        <v>11.994199999999999</v>
      </c>
      <c r="N149" s="23">
        <f t="shared" si="33"/>
        <v>53.661199999999994</v>
      </c>
      <c r="O149" s="23">
        <f t="shared" si="34"/>
        <v>65.655399999999986</v>
      </c>
      <c r="P149">
        <v>1</v>
      </c>
      <c r="Q149">
        <f t="shared" si="35"/>
        <v>2</v>
      </c>
      <c r="R149">
        <f t="shared" si="36"/>
        <v>2</v>
      </c>
      <c r="S149">
        <f t="shared" si="37"/>
        <v>0</v>
      </c>
      <c r="V149" t="s">
        <v>1046</v>
      </c>
    </row>
    <row r="150" spans="1:24">
      <c r="A150">
        <v>149</v>
      </c>
      <c r="B150" s="12" t="s">
        <v>1036</v>
      </c>
      <c r="C150" s="79">
        <v>75</v>
      </c>
      <c r="D150" s="79">
        <v>45</v>
      </c>
      <c r="E150" s="79">
        <v>85</v>
      </c>
      <c r="F150" s="79">
        <v>70</v>
      </c>
      <c r="G150" s="23">
        <f t="shared" si="26"/>
        <v>205</v>
      </c>
      <c r="H150" s="23">
        <f t="shared" si="28"/>
        <v>68.333333333333329</v>
      </c>
      <c r="I150" s="23">
        <f t="shared" si="27"/>
        <v>275</v>
      </c>
      <c r="J150" s="23">
        <f t="shared" si="29"/>
        <v>30.477599999999999</v>
      </c>
      <c r="K150" s="23">
        <f t="shared" si="30"/>
        <v>9.4130000000000003</v>
      </c>
      <c r="L150" s="23">
        <f t="shared" si="31"/>
        <v>40.6447</v>
      </c>
      <c r="M150" s="23">
        <f t="shared" si="32"/>
        <v>26.005500000000001</v>
      </c>
      <c r="N150" s="23">
        <f t="shared" si="33"/>
        <v>80.535300000000007</v>
      </c>
      <c r="O150" s="23">
        <f t="shared" si="34"/>
        <v>106.5408</v>
      </c>
      <c r="P150">
        <v>1</v>
      </c>
      <c r="Q150">
        <f t="shared" si="35"/>
        <v>2</v>
      </c>
      <c r="R150">
        <f t="shared" si="36"/>
        <v>2</v>
      </c>
      <c r="S150">
        <f t="shared" si="37"/>
        <v>0</v>
      </c>
      <c r="V150" t="s">
        <v>1046</v>
      </c>
    </row>
    <row r="151" spans="1:24">
      <c r="A151">
        <v>150</v>
      </c>
      <c r="B151" s="12" t="s">
        <v>655</v>
      </c>
      <c r="C151" s="79">
        <v>40</v>
      </c>
      <c r="D151" s="79">
        <v>40</v>
      </c>
      <c r="E151" s="79">
        <v>75</v>
      </c>
      <c r="F151" s="79">
        <v>70</v>
      </c>
      <c r="G151" s="23">
        <f t="shared" si="26"/>
        <v>155</v>
      </c>
      <c r="H151" s="23">
        <f t="shared" si="28"/>
        <v>51.666666666666664</v>
      </c>
      <c r="I151" s="23">
        <f t="shared" si="27"/>
        <v>225</v>
      </c>
      <c r="J151" s="23">
        <f t="shared" si="29"/>
        <v>7.1791999999999998</v>
      </c>
      <c r="K151" s="23">
        <f t="shared" si="30"/>
        <v>7.1791999999999998</v>
      </c>
      <c r="L151" s="23">
        <f t="shared" si="31"/>
        <v>30.477599999999999</v>
      </c>
      <c r="M151" s="23">
        <f t="shared" si="32"/>
        <v>26.005500000000001</v>
      </c>
      <c r="N151" s="23">
        <f t="shared" si="33"/>
        <v>44.835999999999999</v>
      </c>
      <c r="O151" s="23">
        <f t="shared" si="34"/>
        <v>70.841499999999996</v>
      </c>
      <c r="P151">
        <v>1</v>
      </c>
      <c r="Q151">
        <f t="shared" si="35"/>
        <v>1</v>
      </c>
      <c r="R151">
        <f t="shared" si="36"/>
        <v>2</v>
      </c>
      <c r="S151">
        <f t="shared" si="37"/>
        <v>1</v>
      </c>
      <c r="V151" t="s">
        <v>1046</v>
      </c>
      <c r="X151" t="s">
        <v>656</v>
      </c>
    </row>
    <row r="152" spans="1:24">
      <c r="A152">
        <v>151</v>
      </c>
      <c r="B152" s="12" t="s">
        <v>672</v>
      </c>
      <c r="C152" s="79">
        <v>40</v>
      </c>
      <c r="D152" s="79">
        <v>35</v>
      </c>
      <c r="E152" s="79">
        <v>60</v>
      </c>
      <c r="F152" s="79">
        <v>75</v>
      </c>
      <c r="G152" s="23">
        <f t="shared" si="26"/>
        <v>135</v>
      </c>
      <c r="H152" s="23">
        <f t="shared" si="28"/>
        <v>45</v>
      </c>
      <c r="I152" s="23">
        <f t="shared" si="27"/>
        <v>210</v>
      </c>
      <c r="J152" s="23">
        <f t="shared" si="29"/>
        <v>7.1791999999999998</v>
      </c>
      <c r="K152" s="23">
        <f t="shared" si="30"/>
        <v>5.2808000000000002</v>
      </c>
      <c r="L152" s="23">
        <f t="shared" si="31"/>
        <v>18.242699999999999</v>
      </c>
      <c r="M152" s="23">
        <f t="shared" si="32"/>
        <v>30.477599999999999</v>
      </c>
      <c r="N152" s="23">
        <f t="shared" si="33"/>
        <v>30.7027</v>
      </c>
      <c r="O152" s="23">
        <f t="shared" si="34"/>
        <v>61.180300000000003</v>
      </c>
      <c r="P152">
        <v>1</v>
      </c>
      <c r="Q152">
        <f t="shared" si="35"/>
        <v>1</v>
      </c>
      <c r="R152">
        <f t="shared" si="36"/>
        <v>2</v>
      </c>
      <c r="S152">
        <f t="shared" si="37"/>
        <v>1</v>
      </c>
      <c r="V152" t="s">
        <v>1046</v>
      </c>
      <c r="X152" t="s">
        <v>673</v>
      </c>
    </row>
    <row r="153" spans="1:24">
      <c r="A153">
        <v>152</v>
      </c>
      <c r="B153" s="12" t="s">
        <v>674</v>
      </c>
      <c r="C153" s="79">
        <v>35</v>
      </c>
      <c r="D153" s="79">
        <v>30</v>
      </c>
      <c r="E153" s="79">
        <v>55</v>
      </c>
      <c r="F153" s="79">
        <v>70</v>
      </c>
      <c r="G153" s="23">
        <f t="shared" si="26"/>
        <v>120</v>
      </c>
      <c r="H153" s="23">
        <f t="shared" si="28"/>
        <v>40</v>
      </c>
      <c r="I153" s="23">
        <f t="shared" si="27"/>
        <v>190</v>
      </c>
      <c r="J153" s="23">
        <f t="shared" si="29"/>
        <v>5.2808000000000002</v>
      </c>
      <c r="K153" s="23">
        <f t="shared" si="30"/>
        <v>3.7044000000000001</v>
      </c>
      <c r="L153" s="23">
        <f t="shared" si="31"/>
        <v>14.9339</v>
      </c>
      <c r="M153" s="23">
        <f t="shared" si="32"/>
        <v>26.005500000000001</v>
      </c>
      <c r="N153" s="23">
        <f t="shared" si="33"/>
        <v>23.9191</v>
      </c>
      <c r="O153" s="23">
        <f t="shared" si="34"/>
        <v>49.924599999999998</v>
      </c>
      <c r="P153">
        <v>1</v>
      </c>
      <c r="Q153">
        <f t="shared" si="35"/>
        <v>1</v>
      </c>
      <c r="R153">
        <f t="shared" si="36"/>
        <v>1</v>
      </c>
      <c r="S153">
        <f t="shared" si="37"/>
        <v>0</v>
      </c>
      <c r="V153" t="s">
        <v>1046</v>
      </c>
      <c r="X153" t="s">
        <v>675</v>
      </c>
    </row>
    <row r="154" spans="1:24">
      <c r="A154">
        <v>153</v>
      </c>
      <c r="B154" s="12" t="s">
        <v>663</v>
      </c>
      <c r="C154" s="79">
        <v>75</v>
      </c>
      <c r="D154" s="79">
        <v>80</v>
      </c>
      <c r="E154" s="79">
        <v>35</v>
      </c>
      <c r="F154" s="79">
        <v>40</v>
      </c>
      <c r="G154" s="23">
        <f t="shared" si="26"/>
        <v>190</v>
      </c>
      <c r="H154" s="23">
        <f t="shared" si="28"/>
        <v>63.333333333333336</v>
      </c>
      <c r="I154" s="23">
        <f t="shared" si="27"/>
        <v>230</v>
      </c>
      <c r="J154" s="23">
        <f t="shared" si="29"/>
        <v>30.477599999999999</v>
      </c>
      <c r="K154" s="23">
        <f t="shared" si="30"/>
        <v>35.354700000000001</v>
      </c>
      <c r="L154" s="23">
        <f t="shared" si="31"/>
        <v>5.2808000000000002</v>
      </c>
      <c r="M154" s="23">
        <f t="shared" si="32"/>
        <v>7.1791999999999998</v>
      </c>
      <c r="N154" s="23">
        <f t="shared" si="33"/>
        <v>71.113100000000003</v>
      </c>
      <c r="O154" s="23">
        <f t="shared" si="34"/>
        <v>78.292299999999997</v>
      </c>
      <c r="P154">
        <v>1</v>
      </c>
      <c r="Q154">
        <f t="shared" si="35"/>
        <v>2</v>
      </c>
      <c r="R154">
        <f t="shared" si="36"/>
        <v>2</v>
      </c>
      <c r="S154">
        <f t="shared" si="37"/>
        <v>0</v>
      </c>
      <c r="V154" t="s">
        <v>1046</v>
      </c>
      <c r="X154" t="s">
        <v>664</v>
      </c>
    </row>
    <row r="155" spans="1:24">
      <c r="A155">
        <v>154</v>
      </c>
      <c r="B155" s="12" t="s">
        <v>558</v>
      </c>
      <c r="C155" s="79">
        <v>70</v>
      </c>
      <c r="D155" s="79">
        <v>70</v>
      </c>
      <c r="E155" s="79">
        <v>55</v>
      </c>
      <c r="F155" s="79">
        <v>60</v>
      </c>
      <c r="G155" s="23">
        <f t="shared" si="26"/>
        <v>195</v>
      </c>
      <c r="H155" s="23">
        <f t="shared" si="28"/>
        <v>65</v>
      </c>
      <c r="I155" s="23">
        <f t="shared" si="27"/>
        <v>255</v>
      </c>
      <c r="J155" s="23">
        <f t="shared" si="29"/>
        <v>26.005500000000001</v>
      </c>
      <c r="K155" s="23">
        <f t="shared" si="30"/>
        <v>26.005500000000001</v>
      </c>
      <c r="L155" s="23">
        <f t="shared" si="31"/>
        <v>14.9339</v>
      </c>
      <c r="M155" s="23">
        <f t="shared" si="32"/>
        <v>18.242699999999999</v>
      </c>
      <c r="N155" s="23">
        <f t="shared" si="33"/>
        <v>66.944900000000004</v>
      </c>
      <c r="O155" s="23">
        <f t="shared" si="34"/>
        <v>85.187600000000003</v>
      </c>
      <c r="P155">
        <v>1</v>
      </c>
      <c r="Q155">
        <f t="shared" si="35"/>
        <v>2</v>
      </c>
      <c r="R155">
        <f t="shared" si="36"/>
        <v>2</v>
      </c>
      <c r="S155">
        <f t="shared" si="37"/>
        <v>0</v>
      </c>
      <c r="V155" t="s">
        <v>1046</v>
      </c>
      <c r="X155" t="s">
        <v>559</v>
      </c>
    </row>
    <row r="156" spans="1:24">
      <c r="A156">
        <v>155</v>
      </c>
      <c r="B156" s="12" t="s">
        <v>556</v>
      </c>
      <c r="C156" s="79">
        <v>40</v>
      </c>
      <c r="D156" s="79">
        <v>35</v>
      </c>
      <c r="E156" s="79">
        <v>55</v>
      </c>
      <c r="F156" s="79">
        <v>50</v>
      </c>
      <c r="G156" s="23">
        <f t="shared" si="26"/>
        <v>130</v>
      </c>
      <c r="H156" s="23">
        <f t="shared" si="28"/>
        <v>43.333333333333336</v>
      </c>
      <c r="I156" s="23">
        <f t="shared" si="27"/>
        <v>180</v>
      </c>
      <c r="J156" s="23">
        <f t="shared" si="29"/>
        <v>7.1791999999999998</v>
      </c>
      <c r="K156" s="23">
        <f t="shared" si="30"/>
        <v>5.2808000000000002</v>
      </c>
      <c r="L156" s="23">
        <f t="shared" si="31"/>
        <v>14.9339</v>
      </c>
      <c r="M156" s="23">
        <f t="shared" si="32"/>
        <v>11.994199999999999</v>
      </c>
      <c r="N156" s="23">
        <f t="shared" si="33"/>
        <v>27.393900000000002</v>
      </c>
      <c r="O156" s="23">
        <f t="shared" si="34"/>
        <v>39.388100000000001</v>
      </c>
      <c r="P156">
        <v>1</v>
      </c>
      <c r="Q156">
        <f t="shared" si="35"/>
        <v>1</v>
      </c>
      <c r="R156">
        <f t="shared" si="36"/>
        <v>1</v>
      </c>
      <c r="S156">
        <f t="shared" si="37"/>
        <v>0</v>
      </c>
      <c r="V156" t="s">
        <v>1046</v>
      </c>
      <c r="X156" t="s">
        <v>557</v>
      </c>
    </row>
    <row r="157" spans="1:24">
      <c r="A157">
        <v>156</v>
      </c>
      <c r="B157" s="12" t="s">
        <v>666</v>
      </c>
      <c r="C157" s="79">
        <v>65</v>
      </c>
      <c r="D157" s="79">
        <v>75</v>
      </c>
      <c r="E157" s="79">
        <v>35</v>
      </c>
      <c r="F157" s="79">
        <v>40</v>
      </c>
      <c r="G157" s="23">
        <f t="shared" si="26"/>
        <v>175</v>
      </c>
      <c r="H157" s="23">
        <f t="shared" si="28"/>
        <v>58.333333333333336</v>
      </c>
      <c r="I157" s="23">
        <f t="shared" si="27"/>
        <v>215</v>
      </c>
      <c r="J157" s="23">
        <f t="shared" si="29"/>
        <v>21.930099999999999</v>
      </c>
      <c r="K157" s="23">
        <f t="shared" si="30"/>
        <v>30.477599999999999</v>
      </c>
      <c r="L157" s="23">
        <f t="shared" si="31"/>
        <v>5.2808000000000002</v>
      </c>
      <c r="M157" s="23">
        <f t="shared" si="32"/>
        <v>7.1791999999999998</v>
      </c>
      <c r="N157" s="23">
        <f t="shared" si="33"/>
        <v>57.688499999999998</v>
      </c>
      <c r="O157" s="23">
        <f t="shared" si="34"/>
        <v>64.867699999999999</v>
      </c>
      <c r="P157">
        <v>1</v>
      </c>
      <c r="Q157">
        <f t="shared" si="35"/>
        <v>2</v>
      </c>
      <c r="R157">
        <f t="shared" si="36"/>
        <v>2</v>
      </c>
      <c r="S157">
        <f t="shared" si="37"/>
        <v>0</v>
      </c>
      <c r="V157" t="s">
        <v>1046</v>
      </c>
    </row>
    <row r="158" spans="1:24">
      <c r="A158">
        <v>157</v>
      </c>
      <c r="B158" s="12" t="s">
        <v>670</v>
      </c>
      <c r="C158" s="79">
        <v>60</v>
      </c>
      <c r="D158" s="79">
        <v>75</v>
      </c>
      <c r="E158" s="79">
        <v>45</v>
      </c>
      <c r="F158" s="79">
        <v>30</v>
      </c>
      <c r="G158" s="23">
        <f t="shared" si="26"/>
        <v>180</v>
      </c>
      <c r="H158" s="23">
        <f t="shared" si="28"/>
        <v>60</v>
      </c>
      <c r="I158" s="23">
        <f t="shared" si="27"/>
        <v>210</v>
      </c>
      <c r="J158" s="23">
        <f t="shared" si="29"/>
        <v>18.242699999999999</v>
      </c>
      <c r="K158" s="23">
        <f t="shared" si="30"/>
        <v>30.477599999999999</v>
      </c>
      <c r="L158" s="23">
        <f t="shared" si="31"/>
        <v>9.4130000000000003</v>
      </c>
      <c r="M158" s="23">
        <f t="shared" si="32"/>
        <v>3.7044000000000001</v>
      </c>
      <c r="N158" s="23">
        <f t="shared" si="33"/>
        <v>58.133299999999991</v>
      </c>
      <c r="O158" s="23">
        <f t="shared" si="34"/>
        <v>61.837699999999991</v>
      </c>
      <c r="P158">
        <v>1</v>
      </c>
      <c r="Q158">
        <f t="shared" si="35"/>
        <v>2</v>
      </c>
      <c r="R158">
        <f t="shared" si="36"/>
        <v>2</v>
      </c>
      <c r="S158">
        <f t="shared" si="37"/>
        <v>0</v>
      </c>
      <c r="V158" t="s">
        <v>1046</v>
      </c>
    </row>
    <row r="159" spans="1:24">
      <c r="A159">
        <v>158</v>
      </c>
      <c r="B159" s="12" t="s">
        <v>671</v>
      </c>
      <c r="C159" s="79">
        <v>65</v>
      </c>
      <c r="D159" s="79">
        <v>85</v>
      </c>
      <c r="E159" s="79">
        <v>35</v>
      </c>
      <c r="F159" s="79">
        <v>35</v>
      </c>
      <c r="G159" s="23">
        <f t="shared" ref="G159:G222" si="38">SUM(C159:E159)</f>
        <v>185</v>
      </c>
      <c r="H159" s="23">
        <f t="shared" si="28"/>
        <v>61.666666666666664</v>
      </c>
      <c r="I159" s="23">
        <f t="shared" ref="I159:I222" si="39">SUM(C159:F159)</f>
        <v>220</v>
      </c>
      <c r="J159" s="23">
        <f t="shared" si="29"/>
        <v>21.930099999999999</v>
      </c>
      <c r="K159" s="23">
        <f t="shared" si="30"/>
        <v>40.6447</v>
      </c>
      <c r="L159" s="23">
        <f t="shared" si="31"/>
        <v>5.2808000000000002</v>
      </c>
      <c r="M159" s="23">
        <f t="shared" si="32"/>
        <v>5.2808000000000002</v>
      </c>
      <c r="N159" s="23">
        <f t="shared" si="33"/>
        <v>67.855599999999995</v>
      </c>
      <c r="O159" s="23">
        <f t="shared" si="34"/>
        <v>73.136399999999995</v>
      </c>
      <c r="P159">
        <v>1</v>
      </c>
      <c r="Q159">
        <f t="shared" si="35"/>
        <v>2</v>
      </c>
      <c r="R159">
        <f t="shared" si="36"/>
        <v>2</v>
      </c>
      <c r="S159">
        <f t="shared" si="37"/>
        <v>0</v>
      </c>
      <c r="V159" t="s">
        <v>1046</v>
      </c>
    </row>
    <row r="160" spans="1:24">
      <c r="A160">
        <v>159</v>
      </c>
      <c r="B160" s="12" t="s">
        <v>527</v>
      </c>
      <c r="C160" s="79">
        <v>75</v>
      </c>
      <c r="D160" s="79">
        <v>65</v>
      </c>
      <c r="E160" s="79">
        <v>85</v>
      </c>
      <c r="F160" s="79">
        <v>70</v>
      </c>
      <c r="G160" s="23">
        <f t="shared" si="38"/>
        <v>225</v>
      </c>
      <c r="H160" s="23">
        <f t="shared" si="28"/>
        <v>75</v>
      </c>
      <c r="I160" s="23">
        <f t="shared" si="39"/>
        <v>295</v>
      </c>
      <c r="J160" s="23">
        <f t="shared" si="29"/>
        <v>30.477599999999999</v>
      </c>
      <c r="K160" s="23">
        <f t="shared" si="30"/>
        <v>21.930099999999999</v>
      </c>
      <c r="L160" s="23">
        <f t="shared" si="31"/>
        <v>40.6447</v>
      </c>
      <c r="M160" s="23">
        <f t="shared" si="32"/>
        <v>26.005500000000001</v>
      </c>
      <c r="N160" s="23">
        <f t="shared" si="33"/>
        <v>93.052400000000006</v>
      </c>
      <c r="O160" s="23">
        <f t="shared" si="34"/>
        <v>119.0579</v>
      </c>
      <c r="P160">
        <v>1</v>
      </c>
      <c r="Q160">
        <f t="shared" si="35"/>
        <v>3</v>
      </c>
      <c r="R160">
        <f t="shared" si="36"/>
        <v>2</v>
      </c>
      <c r="S160">
        <f t="shared" si="37"/>
        <v>-1</v>
      </c>
      <c r="V160" t="s">
        <v>1046</v>
      </c>
      <c r="X160" t="s">
        <v>528</v>
      </c>
    </row>
    <row r="161" spans="1:24">
      <c r="A161">
        <v>160</v>
      </c>
      <c r="B161" s="12" t="s">
        <v>529</v>
      </c>
      <c r="C161" s="79">
        <v>50</v>
      </c>
      <c r="D161" s="79">
        <v>40</v>
      </c>
      <c r="E161" s="79">
        <v>65</v>
      </c>
      <c r="F161" s="79">
        <v>60</v>
      </c>
      <c r="G161" s="23">
        <f t="shared" si="38"/>
        <v>155</v>
      </c>
      <c r="H161" s="23">
        <f t="shared" si="28"/>
        <v>51.666666666666664</v>
      </c>
      <c r="I161" s="23">
        <f t="shared" si="39"/>
        <v>215</v>
      </c>
      <c r="J161" s="23">
        <f t="shared" si="29"/>
        <v>11.994199999999999</v>
      </c>
      <c r="K161" s="23">
        <f t="shared" si="30"/>
        <v>7.1791999999999998</v>
      </c>
      <c r="L161" s="23">
        <f t="shared" si="31"/>
        <v>21.930099999999999</v>
      </c>
      <c r="M161" s="23">
        <f t="shared" si="32"/>
        <v>18.242699999999999</v>
      </c>
      <c r="N161" s="23">
        <f t="shared" si="33"/>
        <v>41.103499999999997</v>
      </c>
      <c r="O161" s="23">
        <f t="shared" si="34"/>
        <v>59.346199999999996</v>
      </c>
      <c r="P161">
        <v>1</v>
      </c>
      <c r="Q161">
        <f t="shared" si="35"/>
        <v>1</v>
      </c>
      <c r="R161">
        <f t="shared" si="36"/>
        <v>1</v>
      </c>
      <c r="S161">
        <f t="shared" si="37"/>
        <v>0</v>
      </c>
      <c r="V161" t="s">
        <v>1046</v>
      </c>
      <c r="X161" t="s">
        <v>530</v>
      </c>
    </row>
    <row r="162" spans="1:24">
      <c r="A162">
        <v>161</v>
      </c>
      <c r="B162" s="12" t="s">
        <v>533</v>
      </c>
      <c r="C162" s="79">
        <v>30</v>
      </c>
      <c r="D162" s="79">
        <v>30</v>
      </c>
      <c r="E162" s="79">
        <v>45</v>
      </c>
      <c r="F162" s="79">
        <v>40</v>
      </c>
      <c r="G162" s="23">
        <f t="shared" si="38"/>
        <v>105</v>
      </c>
      <c r="H162" s="23">
        <f t="shared" si="28"/>
        <v>35</v>
      </c>
      <c r="I162" s="23">
        <f t="shared" si="39"/>
        <v>145</v>
      </c>
      <c r="J162" s="23">
        <f t="shared" si="29"/>
        <v>3.7044000000000001</v>
      </c>
      <c r="K162" s="23">
        <f t="shared" si="30"/>
        <v>3.7044000000000001</v>
      </c>
      <c r="L162" s="23">
        <f t="shared" si="31"/>
        <v>9.4130000000000003</v>
      </c>
      <c r="M162" s="23">
        <f t="shared" si="32"/>
        <v>7.1791999999999998</v>
      </c>
      <c r="N162" s="23">
        <f t="shared" si="33"/>
        <v>16.8218</v>
      </c>
      <c r="O162" s="23">
        <f t="shared" si="34"/>
        <v>24.000999999999998</v>
      </c>
      <c r="P162">
        <v>1</v>
      </c>
      <c r="Q162">
        <f t="shared" si="35"/>
        <v>1</v>
      </c>
      <c r="R162">
        <f t="shared" si="36"/>
        <v>1</v>
      </c>
      <c r="S162">
        <f t="shared" si="37"/>
        <v>0</v>
      </c>
      <c r="V162" t="s">
        <v>1046</v>
      </c>
    </row>
    <row r="163" spans="1:24">
      <c r="A163">
        <v>162</v>
      </c>
      <c r="B163" s="12" t="s">
        <v>535</v>
      </c>
      <c r="C163" s="79">
        <v>35</v>
      </c>
      <c r="D163" s="79">
        <v>40</v>
      </c>
      <c r="E163" s="79">
        <v>50</v>
      </c>
      <c r="F163" s="79">
        <v>45</v>
      </c>
      <c r="G163" s="23">
        <f t="shared" si="38"/>
        <v>125</v>
      </c>
      <c r="H163" s="23">
        <f t="shared" si="28"/>
        <v>41.666666666666664</v>
      </c>
      <c r="I163" s="23">
        <f t="shared" si="39"/>
        <v>170</v>
      </c>
      <c r="J163" s="23">
        <f t="shared" si="29"/>
        <v>5.2808000000000002</v>
      </c>
      <c r="K163" s="23">
        <f t="shared" si="30"/>
        <v>7.1791999999999998</v>
      </c>
      <c r="L163" s="23">
        <f t="shared" si="31"/>
        <v>11.994199999999999</v>
      </c>
      <c r="M163" s="23">
        <f t="shared" si="32"/>
        <v>9.4130000000000003</v>
      </c>
      <c r="N163" s="23">
        <f t="shared" si="33"/>
        <v>24.4542</v>
      </c>
      <c r="O163" s="23">
        <f t="shared" si="34"/>
        <v>33.867199999999997</v>
      </c>
      <c r="P163">
        <v>1</v>
      </c>
      <c r="Q163">
        <f t="shared" si="35"/>
        <v>1</v>
      </c>
      <c r="R163">
        <f t="shared" si="36"/>
        <v>1</v>
      </c>
      <c r="S163">
        <f t="shared" si="37"/>
        <v>0</v>
      </c>
      <c r="V163" t="s">
        <v>1046</v>
      </c>
    </row>
    <row r="164" spans="1:24">
      <c r="A164">
        <v>163</v>
      </c>
      <c r="B164" s="12" t="s">
        <v>536</v>
      </c>
      <c r="C164" s="79">
        <v>65</v>
      </c>
      <c r="D164" s="79">
        <v>70</v>
      </c>
      <c r="E164" s="79">
        <v>55</v>
      </c>
      <c r="F164" s="79">
        <v>45</v>
      </c>
      <c r="G164" s="23">
        <f t="shared" si="38"/>
        <v>190</v>
      </c>
      <c r="H164" s="23">
        <f t="shared" si="28"/>
        <v>63.333333333333336</v>
      </c>
      <c r="I164" s="23">
        <f t="shared" si="39"/>
        <v>235</v>
      </c>
      <c r="J164" s="23">
        <f t="shared" si="29"/>
        <v>21.930099999999999</v>
      </c>
      <c r="K164" s="23">
        <f t="shared" si="30"/>
        <v>26.005500000000001</v>
      </c>
      <c r="L164" s="23">
        <f t="shared" si="31"/>
        <v>14.9339</v>
      </c>
      <c r="M164" s="23">
        <f t="shared" si="32"/>
        <v>9.4130000000000003</v>
      </c>
      <c r="N164" s="23">
        <f t="shared" si="33"/>
        <v>62.869500000000002</v>
      </c>
      <c r="O164" s="23">
        <f t="shared" si="34"/>
        <v>72.282499999999999</v>
      </c>
      <c r="P164">
        <v>1</v>
      </c>
      <c r="Q164">
        <f t="shared" si="35"/>
        <v>2</v>
      </c>
      <c r="R164">
        <f t="shared" si="36"/>
        <v>2</v>
      </c>
      <c r="S164">
        <f t="shared" si="37"/>
        <v>0</v>
      </c>
      <c r="V164" t="s">
        <v>1046</v>
      </c>
      <c r="X164" t="s">
        <v>537</v>
      </c>
    </row>
    <row r="165" spans="1:24">
      <c r="A165">
        <v>164</v>
      </c>
      <c r="B165" s="12" t="s">
        <v>534</v>
      </c>
      <c r="C165" s="79">
        <v>45</v>
      </c>
      <c r="D165" s="79">
        <v>50</v>
      </c>
      <c r="E165" s="79">
        <v>70</v>
      </c>
      <c r="F165" s="79">
        <v>50</v>
      </c>
      <c r="G165" s="23">
        <f t="shared" si="38"/>
        <v>165</v>
      </c>
      <c r="H165" s="23">
        <f t="shared" si="28"/>
        <v>55</v>
      </c>
      <c r="I165" s="23">
        <f t="shared" si="39"/>
        <v>215</v>
      </c>
      <c r="J165" s="23">
        <f t="shared" si="29"/>
        <v>9.4130000000000003</v>
      </c>
      <c r="K165" s="23">
        <f t="shared" si="30"/>
        <v>11.994199999999999</v>
      </c>
      <c r="L165" s="23">
        <f t="shared" si="31"/>
        <v>26.005500000000001</v>
      </c>
      <c r="M165" s="23">
        <f t="shared" si="32"/>
        <v>11.994199999999999</v>
      </c>
      <c r="N165" s="23">
        <f t="shared" si="33"/>
        <v>47.412700000000001</v>
      </c>
      <c r="O165" s="23">
        <f t="shared" si="34"/>
        <v>59.4069</v>
      </c>
      <c r="P165">
        <v>1</v>
      </c>
      <c r="Q165">
        <f t="shared" si="35"/>
        <v>2</v>
      </c>
      <c r="R165">
        <f t="shared" si="36"/>
        <v>1</v>
      </c>
      <c r="S165">
        <f t="shared" si="37"/>
        <v>-1</v>
      </c>
      <c r="V165" t="s">
        <v>1046</v>
      </c>
    </row>
    <row r="166" spans="1:24">
      <c r="A166">
        <v>165</v>
      </c>
      <c r="B166" s="12" t="s">
        <v>288</v>
      </c>
      <c r="C166" s="79">
        <v>40</v>
      </c>
      <c r="D166" s="79">
        <v>35</v>
      </c>
      <c r="E166" s="79">
        <v>55</v>
      </c>
      <c r="F166" s="79">
        <v>80</v>
      </c>
      <c r="G166" s="23">
        <f t="shared" si="38"/>
        <v>130</v>
      </c>
      <c r="H166" s="23">
        <f t="shared" si="28"/>
        <v>43.333333333333336</v>
      </c>
      <c r="I166" s="23">
        <f t="shared" si="39"/>
        <v>210</v>
      </c>
      <c r="J166" s="23">
        <f t="shared" si="29"/>
        <v>7.1791999999999998</v>
      </c>
      <c r="K166" s="23">
        <f t="shared" si="30"/>
        <v>5.2808000000000002</v>
      </c>
      <c r="L166" s="23">
        <f t="shared" si="31"/>
        <v>14.9339</v>
      </c>
      <c r="M166" s="23">
        <f t="shared" si="32"/>
        <v>35.354700000000001</v>
      </c>
      <c r="N166" s="23">
        <f t="shared" si="33"/>
        <v>27.393900000000002</v>
      </c>
      <c r="O166" s="23">
        <f t="shared" si="34"/>
        <v>62.748600000000003</v>
      </c>
      <c r="P166">
        <v>1</v>
      </c>
      <c r="Q166">
        <f t="shared" si="35"/>
        <v>1</v>
      </c>
      <c r="R166">
        <f t="shared" si="36"/>
        <v>2</v>
      </c>
      <c r="S166">
        <f t="shared" si="37"/>
        <v>1</v>
      </c>
      <c r="V166" t="s">
        <v>1046</v>
      </c>
      <c r="X166" t="s">
        <v>531</v>
      </c>
    </row>
    <row r="167" spans="1:24">
      <c r="A167">
        <v>166</v>
      </c>
      <c r="B167" s="12" t="s">
        <v>532</v>
      </c>
      <c r="C167" s="79">
        <v>45</v>
      </c>
      <c r="D167" s="79">
        <v>55</v>
      </c>
      <c r="E167" s="79">
        <v>70</v>
      </c>
      <c r="F167" s="79">
        <v>60</v>
      </c>
      <c r="G167" s="23">
        <f t="shared" si="38"/>
        <v>170</v>
      </c>
      <c r="H167" s="23">
        <f t="shared" si="28"/>
        <v>56.666666666666664</v>
      </c>
      <c r="I167" s="23">
        <f t="shared" si="39"/>
        <v>230</v>
      </c>
      <c r="J167" s="23">
        <f t="shared" si="29"/>
        <v>9.4130000000000003</v>
      </c>
      <c r="K167" s="23">
        <f t="shared" si="30"/>
        <v>14.9339</v>
      </c>
      <c r="L167" s="23">
        <f t="shared" si="31"/>
        <v>26.005500000000001</v>
      </c>
      <c r="M167" s="23">
        <f t="shared" si="32"/>
        <v>18.242699999999999</v>
      </c>
      <c r="N167" s="23">
        <f t="shared" si="33"/>
        <v>50.352400000000003</v>
      </c>
      <c r="O167" s="23">
        <f t="shared" si="34"/>
        <v>68.595100000000002</v>
      </c>
      <c r="P167">
        <v>1</v>
      </c>
      <c r="Q167">
        <f t="shared" si="35"/>
        <v>2</v>
      </c>
      <c r="R167">
        <f t="shared" si="36"/>
        <v>2</v>
      </c>
      <c r="S167">
        <f t="shared" si="37"/>
        <v>0</v>
      </c>
      <c r="V167" t="s">
        <v>1046</v>
      </c>
    </row>
    <row r="168" spans="1:24">
      <c r="A168">
        <v>167</v>
      </c>
      <c r="B168" s="12" t="s">
        <v>665</v>
      </c>
      <c r="C168" s="79">
        <v>60</v>
      </c>
      <c r="D168" s="79">
        <v>35</v>
      </c>
      <c r="E168" s="79">
        <v>85</v>
      </c>
      <c r="F168" s="79">
        <v>85</v>
      </c>
      <c r="G168" s="23">
        <f t="shared" si="38"/>
        <v>180</v>
      </c>
      <c r="H168" s="23">
        <f t="shared" si="28"/>
        <v>60</v>
      </c>
      <c r="I168" s="23">
        <f t="shared" si="39"/>
        <v>265</v>
      </c>
      <c r="J168" s="23">
        <f t="shared" si="29"/>
        <v>18.242699999999999</v>
      </c>
      <c r="K168" s="23">
        <f t="shared" si="30"/>
        <v>5.2808000000000002</v>
      </c>
      <c r="L168" s="23">
        <f t="shared" si="31"/>
        <v>40.6447</v>
      </c>
      <c r="M168" s="23">
        <f t="shared" si="32"/>
        <v>40.6447</v>
      </c>
      <c r="N168" s="23">
        <f t="shared" si="33"/>
        <v>64.168199999999999</v>
      </c>
      <c r="O168" s="23">
        <f t="shared" si="34"/>
        <v>104.8129</v>
      </c>
      <c r="P168">
        <v>1</v>
      </c>
      <c r="Q168">
        <f t="shared" si="35"/>
        <v>2</v>
      </c>
      <c r="R168">
        <f t="shared" si="36"/>
        <v>2</v>
      </c>
      <c r="S168">
        <f t="shared" si="37"/>
        <v>0</v>
      </c>
      <c r="V168" t="s">
        <v>1046</v>
      </c>
    </row>
    <row r="169" spans="1:24">
      <c r="A169">
        <v>168</v>
      </c>
      <c r="B169" s="12" t="s">
        <v>304</v>
      </c>
      <c r="C169" s="79">
        <v>80</v>
      </c>
      <c r="D169" s="79">
        <v>60</v>
      </c>
      <c r="E169" s="79">
        <v>90</v>
      </c>
      <c r="F169" s="79">
        <v>85</v>
      </c>
      <c r="G169" s="23">
        <f t="shared" si="38"/>
        <v>230</v>
      </c>
      <c r="H169" s="23">
        <f t="shared" si="28"/>
        <v>76.666666666666671</v>
      </c>
      <c r="I169" s="23">
        <f t="shared" si="39"/>
        <v>315</v>
      </c>
      <c r="J169" s="23">
        <f t="shared" si="29"/>
        <v>35.354700000000001</v>
      </c>
      <c r="K169" s="23">
        <f t="shared" si="30"/>
        <v>18.242699999999999</v>
      </c>
      <c r="L169" s="23">
        <f t="shared" si="31"/>
        <v>46.3551</v>
      </c>
      <c r="M169" s="23">
        <f t="shared" si="32"/>
        <v>40.6447</v>
      </c>
      <c r="N169" s="23">
        <f t="shared" si="33"/>
        <v>99.952500000000001</v>
      </c>
      <c r="O169" s="23">
        <f t="shared" si="34"/>
        <v>140.59719999999999</v>
      </c>
      <c r="P169">
        <v>1</v>
      </c>
      <c r="Q169">
        <f t="shared" si="35"/>
        <v>3</v>
      </c>
      <c r="R169">
        <f t="shared" si="36"/>
        <v>3</v>
      </c>
      <c r="S169">
        <f t="shared" si="37"/>
        <v>0</v>
      </c>
      <c r="V169" t="s">
        <v>1046</v>
      </c>
      <c r="X169" t="s">
        <v>305</v>
      </c>
    </row>
    <row r="170" spans="1:24">
      <c r="A170">
        <v>169</v>
      </c>
      <c r="B170" s="12" t="s">
        <v>579</v>
      </c>
      <c r="C170" s="79">
        <v>35</v>
      </c>
      <c r="D170" s="79">
        <v>30</v>
      </c>
      <c r="E170" s="79">
        <v>45</v>
      </c>
      <c r="F170" s="79">
        <v>40</v>
      </c>
      <c r="G170" s="23">
        <f t="shared" si="38"/>
        <v>110</v>
      </c>
      <c r="H170" s="23">
        <f t="shared" si="28"/>
        <v>36.666666666666664</v>
      </c>
      <c r="I170" s="23">
        <f t="shared" si="39"/>
        <v>150</v>
      </c>
      <c r="J170" s="23">
        <f t="shared" si="29"/>
        <v>5.2808000000000002</v>
      </c>
      <c r="K170" s="23">
        <f t="shared" si="30"/>
        <v>3.7044000000000001</v>
      </c>
      <c r="L170" s="23">
        <f t="shared" si="31"/>
        <v>9.4130000000000003</v>
      </c>
      <c r="M170" s="23">
        <f t="shared" si="32"/>
        <v>7.1791999999999998</v>
      </c>
      <c r="N170" s="23">
        <f t="shared" si="33"/>
        <v>18.398200000000003</v>
      </c>
      <c r="O170" s="23">
        <f t="shared" si="34"/>
        <v>25.577400000000004</v>
      </c>
      <c r="P170">
        <v>1</v>
      </c>
      <c r="Q170">
        <f t="shared" si="35"/>
        <v>1</v>
      </c>
      <c r="R170">
        <f t="shared" si="36"/>
        <v>1</v>
      </c>
      <c r="S170">
        <f t="shared" si="37"/>
        <v>0</v>
      </c>
      <c r="V170" t="s">
        <v>1046</v>
      </c>
      <c r="X170" t="s">
        <v>580</v>
      </c>
    </row>
    <row r="171" spans="1:24">
      <c r="A171">
        <v>170</v>
      </c>
      <c r="B171" s="12" t="s">
        <v>311</v>
      </c>
      <c r="C171" s="79">
        <v>80</v>
      </c>
      <c r="D171" s="79">
        <v>130</v>
      </c>
      <c r="E171" s="79">
        <v>30</v>
      </c>
      <c r="F171" s="79">
        <v>30</v>
      </c>
      <c r="G171" s="23">
        <f t="shared" si="38"/>
        <v>240</v>
      </c>
      <c r="H171" s="23">
        <f t="shared" si="28"/>
        <v>80</v>
      </c>
      <c r="I171" s="23">
        <f t="shared" si="39"/>
        <v>270</v>
      </c>
      <c r="J171" s="23">
        <f t="shared" si="29"/>
        <v>35.354700000000001</v>
      </c>
      <c r="K171" s="23">
        <f t="shared" si="30"/>
        <v>107.9965</v>
      </c>
      <c r="L171" s="23">
        <f t="shared" si="31"/>
        <v>3.7044000000000001</v>
      </c>
      <c r="M171" s="23">
        <f t="shared" si="32"/>
        <v>3.7044000000000001</v>
      </c>
      <c r="N171" s="23">
        <f t="shared" si="33"/>
        <v>147.0556</v>
      </c>
      <c r="O171" s="23">
        <f t="shared" si="34"/>
        <v>150.76</v>
      </c>
      <c r="P171">
        <v>1</v>
      </c>
      <c r="Q171">
        <f t="shared" si="35"/>
        <v>4</v>
      </c>
      <c r="R171">
        <f t="shared" si="36"/>
        <v>3</v>
      </c>
      <c r="S171">
        <f t="shared" si="37"/>
        <v>-1</v>
      </c>
      <c r="V171" t="s">
        <v>1046</v>
      </c>
      <c r="X171" t="s">
        <v>578</v>
      </c>
    </row>
    <row r="172" spans="1:24">
      <c r="A172">
        <v>171</v>
      </c>
      <c r="B172" s="12" t="s">
        <v>698</v>
      </c>
      <c r="C172" s="79">
        <v>80</v>
      </c>
      <c r="D172" s="79">
        <v>65</v>
      </c>
      <c r="E172" s="79">
        <v>75</v>
      </c>
      <c r="F172" s="79">
        <v>85</v>
      </c>
      <c r="G172" s="23">
        <f t="shared" si="38"/>
        <v>220</v>
      </c>
      <c r="H172" s="23">
        <f t="shared" si="28"/>
        <v>73.333333333333329</v>
      </c>
      <c r="I172" s="23">
        <f t="shared" si="39"/>
        <v>305</v>
      </c>
      <c r="J172" s="23">
        <f t="shared" si="29"/>
        <v>35.354700000000001</v>
      </c>
      <c r="K172" s="23">
        <f t="shared" si="30"/>
        <v>21.930099999999999</v>
      </c>
      <c r="L172" s="23">
        <f t="shared" si="31"/>
        <v>30.477599999999999</v>
      </c>
      <c r="M172" s="23">
        <f t="shared" si="32"/>
        <v>40.6447</v>
      </c>
      <c r="N172" s="23">
        <f t="shared" si="33"/>
        <v>87.7624</v>
      </c>
      <c r="O172" s="23">
        <f t="shared" si="34"/>
        <v>128.40710000000001</v>
      </c>
      <c r="P172">
        <v>1</v>
      </c>
      <c r="Q172">
        <f t="shared" si="35"/>
        <v>2</v>
      </c>
      <c r="R172">
        <f t="shared" si="36"/>
        <v>3</v>
      </c>
      <c r="S172">
        <f t="shared" si="37"/>
        <v>1</v>
      </c>
      <c r="V172" t="s">
        <v>1046</v>
      </c>
    </row>
    <row r="173" spans="1:24">
      <c r="A173">
        <v>172</v>
      </c>
      <c r="B173" s="12" t="s">
        <v>285</v>
      </c>
      <c r="C173" s="79">
        <v>60</v>
      </c>
      <c r="D173" s="79">
        <v>45</v>
      </c>
      <c r="E173" s="79">
        <v>55</v>
      </c>
      <c r="F173" s="79">
        <v>80</v>
      </c>
      <c r="G173" s="23">
        <f t="shared" si="38"/>
        <v>160</v>
      </c>
      <c r="H173" s="23">
        <f t="shared" si="28"/>
        <v>53.333333333333336</v>
      </c>
      <c r="I173" s="23">
        <f t="shared" si="39"/>
        <v>240</v>
      </c>
      <c r="J173" s="23">
        <f t="shared" si="29"/>
        <v>18.242699999999999</v>
      </c>
      <c r="K173" s="23">
        <f t="shared" si="30"/>
        <v>9.4130000000000003</v>
      </c>
      <c r="L173" s="23">
        <f t="shared" si="31"/>
        <v>14.9339</v>
      </c>
      <c r="M173" s="23">
        <f t="shared" si="32"/>
        <v>35.354700000000001</v>
      </c>
      <c r="N173" s="23">
        <f t="shared" si="33"/>
        <v>42.589599999999997</v>
      </c>
      <c r="O173" s="23">
        <f t="shared" si="34"/>
        <v>77.944299999999998</v>
      </c>
      <c r="P173">
        <v>1</v>
      </c>
      <c r="Q173">
        <f t="shared" si="35"/>
        <v>1</v>
      </c>
      <c r="R173">
        <f t="shared" si="36"/>
        <v>2</v>
      </c>
      <c r="S173">
        <f t="shared" si="37"/>
        <v>1</v>
      </c>
      <c r="V173" t="s">
        <v>1046</v>
      </c>
      <c r="X173" t="s">
        <v>286</v>
      </c>
    </row>
    <row r="174" spans="1:24">
      <c r="A174">
        <v>173</v>
      </c>
      <c r="B174" s="12" t="s">
        <v>567</v>
      </c>
      <c r="C174" s="79">
        <v>85</v>
      </c>
      <c r="D174" s="79">
        <v>100</v>
      </c>
      <c r="E174" s="79">
        <v>35</v>
      </c>
      <c r="F174" s="79">
        <v>40</v>
      </c>
      <c r="G174" s="23">
        <f t="shared" si="38"/>
        <v>220</v>
      </c>
      <c r="H174" s="23">
        <f t="shared" si="28"/>
        <v>73.333333333333329</v>
      </c>
      <c r="I174" s="23">
        <f t="shared" si="39"/>
        <v>260</v>
      </c>
      <c r="J174" s="23">
        <f t="shared" si="29"/>
        <v>40.6447</v>
      </c>
      <c r="K174" s="23">
        <f t="shared" si="30"/>
        <v>59.066299999999998</v>
      </c>
      <c r="L174" s="23">
        <f t="shared" si="31"/>
        <v>5.2808000000000002</v>
      </c>
      <c r="M174" s="23">
        <f t="shared" si="32"/>
        <v>7.1791999999999998</v>
      </c>
      <c r="N174" s="23">
        <f t="shared" si="33"/>
        <v>104.9918</v>
      </c>
      <c r="O174" s="23">
        <f t="shared" si="34"/>
        <v>112.17099999999999</v>
      </c>
      <c r="P174">
        <v>1</v>
      </c>
      <c r="Q174">
        <f t="shared" si="35"/>
        <v>3</v>
      </c>
      <c r="R174">
        <f t="shared" si="36"/>
        <v>2</v>
      </c>
      <c r="S174">
        <f t="shared" si="37"/>
        <v>-1</v>
      </c>
      <c r="V174" t="s">
        <v>1046</v>
      </c>
      <c r="X174" t="s">
        <v>568</v>
      </c>
    </row>
    <row r="175" spans="1:24">
      <c r="A175">
        <v>174</v>
      </c>
      <c r="B175" s="12" t="s">
        <v>564</v>
      </c>
      <c r="C175" s="79">
        <v>60</v>
      </c>
      <c r="D175" s="79">
        <v>75</v>
      </c>
      <c r="E175" s="79">
        <v>45</v>
      </c>
      <c r="F175" s="79">
        <v>40</v>
      </c>
      <c r="G175" s="23">
        <f t="shared" si="38"/>
        <v>180</v>
      </c>
      <c r="H175" s="23">
        <f t="shared" si="28"/>
        <v>60</v>
      </c>
      <c r="I175" s="23">
        <f t="shared" si="39"/>
        <v>220</v>
      </c>
      <c r="J175" s="23">
        <f t="shared" si="29"/>
        <v>18.242699999999999</v>
      </c>
      <c r="K175" s="23">
        <f t="shared" si="30"/>
        <v>30.477599999999999</v>
      </c>
      <c r="L175" s="23">
        <f t="shared" si="31"/>
        <v>9.4130000000000003</v>
      </c>
      <c r="M175" s="23">
        <f t="shared" si="32"/>
        <v>7.1791999999999998</v>
      </c>
      <c r="N175" s="23">
        <f t="shared" si="33"/>
        <v>58.133299999999991</v>
      </c>
      <c r="O175" s="23">
        <f t="shared" si="34"/>
        <v>65.312499999999986</v>
      </c>
      <c r="P175">
        <v>1</v>
      </c>
      <c r="Q175">
        <f t="shared" si="35"/>
        <v>2</v>
      </c>
      <c r="R175">
        <f t="shared" si="36"/>
        <v>2</v>
      </c>
      <c r="S175">
        <f t="shared" si="37"/>
        <v>0</v>
      </c>
      <c r="V175" t="s">
        <v>1046</v>
      </c>
    </row>
    <row r="176" spans="1:24">
      <c r="A176">
        <v>175</v>
      </c>
      <c r="B176" s="12" t="s">
        <v>563</v>
      </c>
      <c r="C176" s="79">
        <v>35</v>
      </c>
      <c r="D176" s="79">
        <v>30</v>
      </c>
      <c r="E176" s="79">
        <v>90</v>
      </c>
      <c r="F176" s="79">
        <v>70</v>
      </c>
      <c r="G176" s="23">
        <f t="shared" si="38"/>
        <v>155</v>
      </c>
      <c r="H176" s="23">
        <f t="shared" si="28"/>
        <v>51.666666666666664</v>
      </c>
      <c r="I176" s="23">
        <f t="shared" si="39"/>
        <v>225</v>
      </c>
      <c r="J176" s="23">
        <f t="shared" si="29"/>
        <v>5.2808000000000002</v>
      </c>
      <c r="K176" s="23">
        <f t="shared" si="30"/>
        <v>3.7044000000000001</v>
      </c>
      <c r="L176" s="23">
        <f t="shared" si="31"/>
        <v>46.3551</v>
      </c>
      <c r="M176" s="23">
        <f t="shared" si="32"/>
        <v>26.005500000000001</v>
      </c>
      <c r="N176" s="23">
        <f t="shared" si="33"/>
        <v>55.340299999999999</v>
      </c>
      <c r="O176" s="23">
        <f t="shared" si="34"/>
        <v>81.345799999999997</v>
      </c>
      <c r="P176">
        <v>1</v>
      </c>
      <c r="Q176">
        <f t="shared" si="35"/>
        <v>2</v>
      </c>
      <c r="R176">
        <f t="shared" si="36"/>
        <v>2</v>
      </c>
      <c r="S176">
        <f t="shared" si="37"/>
        <v>0</v>
      </c>
      <c r="V176" t="s">
        <v>1046</v>
      </c>
    </row>
    <row r="177" spans="1:24">
      <c r="A177">
        <v>176</v>
      </c>
      <c r="B177" s="12" t="s">
        <v>295</v>
      </c>
      <c r="C177" s="79">
        <v>55</v>
      </c>
      <c r="D177" s="79">
        <v>30</v>
      </c>
      <c r="E177" s="79">
        <v>75</v>
      </c>
      <c r="F177" s="79">
        <v>70</v>
      </c>
      <c r="G177" s="23">
        <f t="shared" si="38"/>
        <v>160</v>
      </c>
      <c r="H177" s="23">
        <f t="shared" si="28"/>
        <v>53.333333333333336</v>
      </c>
      <c r="I177" s="23">
        <f t="shared" si="39"/>
        <v>230</v>
      </c>
      <c r="J177" s="23">
        <f t="shared" si="29"/>
        <v>14.9339</v>
      </c>
      <c r="K177" s="23">
        <f t="shared" si="30"/>
        <v>3.7044000000000001</v>
      </c>
      <c r="L177" s="23">
        <f t="shared" si="31"/>
        <v>30.477599999999999</v>
      </c>
      <c r="M177" s="23">
        <f t="shared" si="32"/>
        <v>26.005500000000001</v>
      </c>
      <c r="N177" s="23">
        <f t="shared" si="33"/>
        <v>49.115899999999996</v>
      </c>
      <c r="O177" s="23">
        <f t="shared" si="34"/>
        <v>75.121399999999994</v>
      </c>
      <c r="P177">
        <v>1</v>
      </c>
      <c r="Q177">
        <f t="shared" si="35"/>
        <v>2</v>
      </c>
      <c r="R177">
        <f t="shared" si="36"/>
        <v>2</v>
      </c>
      <c r="S177">
        <f t="shared" si="37"/>
        <v>0</v>
      </c>
      <c r="V177" t="s">
        <v>1046</v>
      </c>
      <c r="X177" t="s">
        <v>296</v>
      </c>
    </row>
    <row r="178" spans="1:24">
      <c r="A178">
        <v>177</v>
      </c>
      <c r="B178" s="12" t="s">
        <v>565</v>
      </c>
      <c r="C178" s="79">
        <v>70</v>
      </c>
      <c r="D178" s="79">
        <v>70</v>
      </c>
      <c r="E178" s="79">
        <v>35</v>
      </c>
      <c r="F178" s="79">
        <v>30</v>
      </c>
      <c r="G178" s="23">
        <f t="shared" si="38"/>
        <v>175</v>
      </c>
      <c r="H178" s="23">
        <f t="shared" si="28"/>
        <v>58.333333333333336</v>
      </c>
      <c r="I178" s="23">
        <f t="shared" si="39"/>
        <v>205</v>
      </c>
      <c r="J178" s="23">
        <f t="shared" si="29"/>
        <v>26.005500000000001</v>
      </c>
      <c r="K178" s="23">
        <f t="shared" si="30"/>
        <v>26.005500000000001</v>
      </c>
      <c r="L178" s="23">
        <f t="shared" si="31"/>
        <v>5.2808000000000002</v>
      </c>
      <c r="M178" s="23">
        <f t="shared" si="32"/>
        <v>3.7044000000000001</v>
      </c>
      <c r="N178" s="23">
        <f t="shared" si="33"/>
        <v>57.291800000000002</v>
      </c>
      <c r="O178" s="23">
        <f t="shared" si="34"/>
        <v>60.996200000000002</v>
      </c>
      <c r="P178">
        <v>1</v>
      </c>
      <c r="Q178">
        <f t="shared" si="35"/>
        <v>2</v>
      </c>
      <c r="R178">
        <f t="shared" si="36"/>
        <v>2</v>
      </c>
      <c r="S178">
        <f t="shared" si="37"/>
        <v>0</v>
      </c>
      <c r="V178" t="s">
        <v>1046</v>
      </c>
      <c r="X178" t="s">
        <v>566</v>
      </c>
    </row>
    <row r="179" spans="1:24">
      <c r="A179">
        <v>178</v>
      </c>
      <c r="B179" s="12" t="s">
        <v>629</v>
      </c>
      <c r="C179" s="79">
        <v>65</v>
      </c>
      <c r="D179" s="79">
        <v>75</v>
      </c>
      <c r="E179" s="79">
        <v>30</v>
      </c>
      <c r="F179" s="79">
        <v>30</v>
      </c>
      <c r="G179" s="23">
        <f t="shared" si="38"/>
        <v>170</v>
      </c>
      <c r="H179" s="23">
        <f t="shared" si="28"/>
        <v>56.666666666666664</v>
      </c>
      <c r="I179" s="23">
        <f t="shared" si="39"/>
        <v>200</v>
      </c>
      <c r="J179" s="23">
        <f t="shared" si="29"/>
        <v>21.930099999999999</v>
      </c>
      <c r="K179" s="23">
        <f t="shared" si="30"/>
        <v>30.477599999999999</v>
      </c>
      <c r="L179" s="23">
        <f t="shared" si="31"/>
        <v>3.7044000000000001</v>
      </c>
      <c r="M179" s="23">
        <f t="shared" si="32"/>
        <v>3.7044000000000001</v>
      </c>
      <c r="N179" s="23">
        <f t="shared" si="33"/>
        <v>56.112099999999998</v>
      </c>
      <c r="O179" s="23">
        <f t="shared" si="34"/>
        <v>59.816499999999998</v>
      </c>
      <c r="P179">
        <v>1</v>
      </c>
      <c r="Q179">
        <f t="shared" si="35"/>
        <v>2</v>
      </c>
      <c r="R179">
        <f t="shared" si="36"/>
        <v>1</v>
      </c>
      <c r="S179">
        <f t="shared" si="37"/>
        <v>-1</v>
      </c>
      <c r="V179" t="s">
        <v>1046</v>
      </c>
      <c r="X179" t="s">
        <v>630</v>
      </c>
    </row>
    <row r="180" spans="1:24">
      <c r="A180">
        <v>179</v>
      </c>
      <c r="B180" s="12" t="s">
        <v>678</v>
      </c>
      <c r="C180" s="79">
        <v>40</v>
      </c>
      <c r="D180" s="79">
        <v>35</v>
      </c>
      <c r="E180" s="79">
        <v>65</v>
      </c>
      <c r="F180" s="79">
        <v>60</v>
      </c>
      <c r="G180" s="23">
        <f t="shared" si="38"/>
        <v>140</v>
      </c>
      <c r="H180" s="23">
        <f t="shared" si="28"/>
        <v>46.666666666666664</v>
      </c>
      <c r="I180" s="23">
        <f t="shared" si="39"/>
        <v>200</v>
      </c>
      <c r="J180" s="23">
        <f t="shared" si="29"/>
        <v>7.1791999999999998</v>
      </c>
      <c r="K180" s="23">
        <f t="shared" si="30"/>
        <v>5.2808000000000002</v>
      </c>
      <c r="L180" s="23">
        <f t="shared" si="31"/>
        <v>21.930099999999999</v>
      </c>
      <c r="M180" s="23">
        <f t="shared" si="32"/>
        <v>18.242699999999999</v>
      </c>
      <c r="N180" s="23">
        <f t="shared" si="33"/>
        <v>34.390100000000004</v>
      </c>
      <c r="O180" s="23">
        <f t="shared" si="34"/>
        <v>52.632800000000003</v>
      </c>
      <c r="P180">
        <v>1</v>
      </c>
      <c r="Q180">
        <f t="shared" si="35"/>
        <v>1</v>
      </c>
      <c r="R180">
        <f t="shared" si="36"/>
        <v>1</v>
      </c>
      <c r="S180">
        <f t="shared" si="37"/>
        <v>0</v>
      </c>
      <c r="V180" t="s">
        <v>1046</v>
      </c>
    </row>
    <row r="181" spans="1:24">
      <c r="A181">
        <v>180</v>
      </c>
      <c r="B181" s="12" t="s">
        <v>679</v>
      </c>
      <c r="C181" s="79">
        <v>45</v>
      </c>
      <c r="D181" s="79">
        <v>40</v>
      </c>
      <c r="E181" s="79">
        <v>70</v>
      </c>
      <c r="F181" s="79">
        <v>65</v>
      </c>
      <c r="G181" s="23">
        <f t="shared" si="38"/>
        <v>155</v>
      </c>
      <c r="H181" s="23">
        <f t="shared" si="28"/>
        <v>51.666666666666664</v>
      </c>
      <c r="I181" s="23">
        <f t="shared" si="39"/>
        <v>220</v>
      </c>
      <c r="J181" s="23">
        <f t="shared" si="29"/>
        <v>9.4130000000000003</v>
      </c>
      <c r="K181" s="23">
        <f t="shared" si="30"/>
        <v>7.1791999999999998</v>
      </c>
      <c r="L181" s="23">
        <f t="shared" si="31"/>
        <v>26.005500000000001</v>
      </c>
      <c r="M181" s="23">
        <f t="shared" si="32"/>
        <v>21.930099999999999</v>
      </c>
      <c r="N181" s="23">
        <f t="shared" si="33"/>
        <v>42.597700000000003</v>
      </c>
      <c r="O181" s="23">
        <f t="shared" si="34"/>
        <v>64.527799999999999</v>
      </c>
      <c r="P181">
        <v>1</v>
      </c>
      <c r="Q181">
        <f t="shared" si="35"/>
        <v>1</v>
      </c>
      <c r="R181">
        <f t="shared" si="36"/>
        <v>2</v>
      </c>
      <c r="S181">
        <f t="shared" si="37"/>
        <v>1</v>
      </c>
      <c r="V181" t="s">
        <v>1046</v>
      </c>
      <c r="X181" t="s">
        <v>680</v>
      </c>
    </row>
    <row r="182" spans="1:24">
      <c r="A182">
        <v>181</v>
      </c>
      <c r="B182" s="12" t="s">
        <v>645</v>
      </c>
      <c r="C182" s="79">
        <v>60</v>
      </c>
      <c r="D182" s="79">
        <v>70</v>
      </c>
      <c r="E182" s="79">
        <v>35</v>
      </c>
      <c r="F182" s="79">
        <v>40</v>
      </c>
      <c r="G182" s="23">
        <f t="shared" si="38"/>
        <v>165</v>
      </c>
      <c r="H182" s="23">
        <f t="shared" si="28"/>
        <v>55</v>
      </c>
      <c r="I182" s="23">
        <f t="shared" si="39"/>
        <v>205</v>
      </c>
      <c r="J182" s="23">
        <f t="shared" si="29"/>
        <v>18.242699999999999</v>
      </c>
      <c r="K182" s="23">
        <f t="shared" si="30"/>
        <v>26.005500000000001</v>
      </c>
      <c r="L182" s="23">
        <f t="shared" si="31"/>
        <v>5.2808000000000002</v>
      </c>
      <c r="M182" s="23">
        <f t="shared" si="32"/>
        <v>7.1791999999999998</v>
      </c>
      <c r="N182" s="23">
        <f t="shared" si="33"/>
        <v>49.528999999999996</v>
      </c>
      <c r="O182" s="23">
        <f t="shared" si="34"/>
        <v>56.708199999999998</v>
      </c>
      <c r="P182">
        <v>1</v>
      </c>
      <c r="Q182">
        <f t="shared" si="35"/>
        <v>2</v>
      </c>
      <c r="R182">
        <f t="shared" si="36"/>
        <v>1</v>
      </c>
      <c r="S182">
        <f t="shared" si="37"/>
        <v>-1</v>
      </c>
      <c r="V182" t="s">
        <v>1046</v>
      </c>
      <c r="X182" t="s">
        <v>646</v>
      </c>
    </row>
    <row r="183" spans="1:24">
      <c r="A183">
        <v>182</v>
      </c>
      <c r="B183" s="12" t="s">
        <v>631</v>
      </c>
      <c r="C183" s="79">
        <v>75</v>
      </c>
      <c r="D183" s="79">
        <v>85</v>
      </c>
      <c r="E183" s="79">
        <v>30</v>
      </c>
      <c r="F183" s="79">
        <v>45</v>
      </c>
      <c r="G183" s="23">
        <f t="shared" si="38"/>
        <v>190</v>
      </c>
      <c r="H183" s="23">
        <f t="shared" si="28"/>
        <v>63.333333333333336</v>
      </c>
      <c r="I183" s="23">
        <f t="shared" si="39"/>
        <v>235</v>
      </c>
      <c r="J183" s="23">
        <f t="shared" si="29"/>
        <v>30.477599999999999</v>
      </c>
      <c r="K183" s="23">
        <f t="shared" si="30"/>
        <v>40.6447</v>
      </c>
      <c r="L183" s="23">
        <f t="shared" si="31"/>
        <v>3.7044000000000001</v>
      </c>
      <c r="M183" s="23">
        <f t="shared" si="32"/>
        <v>9.4130000000000003</v>
      </c>
      <c r="N183" s="23">
        <f t="shared" si="33"/>
        <v>74.826700000000002</v>
      </c>
      <c r="O183" s="23">
        <f t="shared" si="34"/>
        <v>84.239699999999999</v>
      </c>
      <c r="P183">
        <v>1</v>
      </c>
      <c r="Q183">
        <f t="shared" si="35"/>
        <v>2</v>
      </c>
      <c r="R183">
        <f t="shared" si="36"/>
        <v>2</v>
      </c>
      <c r="S183">
        <f t="shared" si="37"/>
        <v>0</v>
      </c>
      <c r="V183" t="s">
        <v>1046</v>
      </c>
    </row>
    <row r="184" spans="1:24">
      <c r="A184">
        <v>183</v>
      </c>
      <c r="B184" s="12" t="s">
        <v>694</v>
      </c>
      <c r="C184" s="79">
        <v>80</v>
      </c>
      <c r="D184" s="79">
        <v>30</v>
      </c>
      <c r="E184" s="79">
        <v>85</v>
      </c>
      <c r="F184" s="79">
        <v>90</v>
      </c>
      <c r="G184" s="23">
        <f t="shared" si="38"/>
        <v>195</v>
      </c>
      <c r="H184" s="23">
        <f t="shared" si="28"/>
        <v>65</v>
      </c>
      <c r="I184" s="23">
        <f t="shared" si="39"/>
        <v>285</v>
      </c>
      <c r="J184" s="23">
        <f t="shared" si="29"/>
        <v>35.354700000000001</v>
      </c>
      <c r="K184" s="23">
        <f t="shared" si="30"/>
        <v>3.7044000000000001</v>
      </c>
      <c r="L184" s="23">
        <f t="shared" si="31"/>
        <v>40.6447</v>
      </c>
      <c r="M184" s="23">
        <f t="shared" si="32"/>
        <v>46.3551</v>
      </c>
      <c r="N184" s="23">
        <f t="shared" si="33"/>
        <v>79.703800000000001</v>
      </c>
      <c r="O184" s="23">
        <f t="shared" si="34"/>
        <v>126.05889999999999</v>
      </c>
      <c r="P184">
        <v>1</v>
      </c>
      <c r="Q184">
        <f t="shared" si="35"/>
        <v>2</v>
      </c>
      <c r="R184">
        <f t="shared" si="36"/>
        <v>3</v>
      </c>
      <c r="S184">
        <f t="shared" si="37"/>
        <v>1</v>
      </c>
      <c r="V184" t="s">
        <v>1046</v>
      </c>
    </row>
    <row r="185" spans="1:24">
      <c r="A185">
        <v>184</v>
      </c>
      <c r="B185" s="12" t="s">
        <v>662</v>
      </c>
      <c r="C185" s="79">
        <v>65</v>
      </c>
      <c r="D185" s="79">
        <v>65</v>
      </c>
      <c r="E185" s="79">
        <v>40</v>
      </c>
      <c r="F185" s="79">
        <v>45</v>
      </c>
      <c r="G185" s="23">
        <f t="shared" si="38"/>
        <v>170</v>
      </c>
      <c r="H185" s="23">
        <f t="shared" si="28"/>
        <v>56.666666666666664</v>
      </c>
      <c r="I185" s="23">
        <f t="shared" si="39"/>
        <v>215</v>
      </c>
      <c r="J185" s="23">
        <f t="shared" si="29"/>
        <v>21.930099999999999</v>
      </c>
      <c r="K185" s="23">
        <f t="shared" si="30"/>
        <v>21.930099999999999</v>
      </c>
      <c r="L185" s="23">
        <f t="shared" si="31"/>
        <v>7.1791999999999998</v>
      </c>
      <c r="M185" s="23">
        <f t="shared" si="32"/>
        <v>9.4130000000000003</v>
      </c>
      <c r="N185" s="23">
        <f t="shared" si="33"/>
        <v>51.039400000000001</v>
      </c>
      <c r="O185" s="23">
        <f t="shared" si="34"/>
        <v>60.452399999999997</v>
      </c>
      <c r="P185">
        <v>1</v>
      </c>
      <c r="Q185">
        <f t="shared" si="35"/>
        <v>2</v>
      </c>
      <c r="R185">
        <f t="shared" si="36"/>
        <v>2</v>
      </c>
      <c r="S185">
        <f t="shared" si="37"/>
        <v>0</v>
      </c>
      <c r="V185" t="s">
        <v>1046</v>
      </c>
    </row>
    <row r="186" spans="1:24">
      <c r="A186">
        <v>185</v>
      </c>
      <c r="B186" s="12" t="s">
        <v>595</v>
      </c>
      <c r="C186" s="79">
        <v>65</v>
      </c>
      <c r="D186" s="79">
        <v>50</v>
      </c>
      <c r="E186" s="79">
        <v>70</v>
      </c>
      <c r="F186" s="79">
        <v>70</v>
      </c>
      <c r="G186" s="23">
        <f t="shared" si="38"/>
        <v>185</v>
      </c>
      <c r="H186" s="23">
        <f t="shared" si="28"/>
        <v>61.666666666666664</v>
      </c>
      <c r="I186" s="23">
        <f t="shared" si="39"/>
        <v>255</v>
      </c>
      <c r="J186" s="23">
        <f t="shared" si="29"/>
        <v>21.930099999999999</v>
      </c>
      <c r="K186" s="23">
        <f t="shared" si="30"/>
        <v>11.994199999999999</v>
      </c>
      <c r="L186" s="23">
        <f t="shared" si="31"/>
        <v>26.005500000000001</v>
      </c>
      <c r="M186" s="23">
        <f t="shared" si="32"/>
        <v>26.005500000000001</v>
      </c>
      <c r="N186" s="23">
        <f t="shared" si="33"/>
        <v>59.9298</v>
      </c>
      <c r="O186" s="23">
        <f t="shared" si="34"/>
        <v>85.935299999999998</v>
      </c>
      <c r="P186">
        <v>1</v>
      </c>
      <c r="Q186">
        <f t="shared" si="35"/>
        <v>2</v>
      </c>
      <c r="R186">
        <f t="shared" si="36"/>
        <v>2</v>
      </c>
      <c r="S186">
        <f t="shared" si="37"/>
        <v>0</v>
      </c>
      <c r="V186" t="s">
        <v>1046</v>
      </c>
    </row>
    <row r="187" spans="1:24">
      <c r="A187">
        <v>186</v>
      </c>
      <c r="B187" s="12" t="s">
        <v>695</v>
      </c>
      <c r="C187" s="79">
        <v>90</v>
      </c>
      <c r="D187" s="79">
        <v>30</v>
      </c>
      <c r="E187" s="79">
        <v>85</v>
      </c>
      <c r="F187" s="79">
        <v>100</v>
      </c>
      <c r="G187" s="23">
        <f t="shared" si="38"/>
        <v>205</v>
      </c>
      <c r="H187" s="23">
        <f t="shared" si="28"/>
        <v>68.333333333333329</v>
      </c>
      <c r="I187" s="23">
        <f t="shared" si="39"/>
        <v>305</v>
      </c>
      <c r="J187" s="23">
        <f t="shared" si="29"/>
        <v>46.3551</v>
      </c>
      <c r="K187" s="23">
        <f t="shared" si="30"/>
        <v>3.7044000000000001</v>
      </c>
      <c r="L187" s="23">
        <f t="shared" si="31"/>
        <v>40.6447</v>
      </c>
      <c r="M187" s="23">
        <f t="shared" si="32"/>
        <v>59.066299999999998</v>
      </c>
      <c r="N187" s="23">
        <f t="shared" si="33"/>
        <v>90.7042</v>
      </c>
      <c r="O187" s="23">
        <f t="shared" si="34"/>
        <v>149.7705</v>
      </c>
      <c r="P187">
        <v>1</v>
      </c>
      <c r="Q187">
        <f t="shared" si="35"/>
        <v>3</v>
      </c>
      <c r="R187">
        <f t="shared" si="36"/>
        <v>3</v>
      </c>
      <c r="S187">
        <f t="shared" si="37"/>
        <v>0</v>
      </c>
      <c r="V187" t="s">
        <v>1046</v>
      </c>
    </row>
    <row r="188" spans="1:24">
      <c r="A188">
        <v>187</v>
      </c>
      <c r="B188" s="12" t="s">
        <v>596</v>
      </c>
      <c r="C188" s="79">
        <v>35</v>
      </c>
      <c r="D188" s="79">
        <v>40</v>
      </c>
      <c r="E188" s="79">
        <v>60</v>
      </c>
      <c r="F188" s="79">
        <v>55</v>
      </c>
      <c r="G188" s="23">
        <f t="shared" si="38"/>
        <v>135</v>
      </c>
      <c r="H188" s="23">
        <f t="shared" si="28"/>
        <v>45</v>
      </c>
      <c r="I188" s="23">
        <f t="shared" si="39"/>
        <v>190</v>
      </c>
      <c r="J188" s="23">
        <f t="shared" si="29"/>
        <v>5.2808000000000002</v>
      </c>
      <c r="K188" s="23">
        <f t="shared" si="30"/>
        <v>7.1791999999999998</v>
      </c>
      <c r="L188" s="23">
        <f t="shared" si="31"/>
        <v>18.242699999999999</v>
      </c>
      <c r="M188" s="23">
        <f t="shared" si="32"/>
        <v>14.9339</v>
      </c>
      <c r="N188" s="23">
        <f t="shared" si="33"/>
        <v>30.7027</v>
      </c>
      <c r="O188" s="23">
        <f t="shared" si="34"/>
        <v>45.636600000000001</v>
      </c>
      <c r="P188">
        <v>1</v>
      </c>
      <c r="Q188">
        <f t="shared" si="35"/>
        <v>1</v>
      </c>
      <c r="R188">
        <f t="shared" si="36"/>
        <v>1</v>
      </c>
      <c r="S188">
        <f t="shared" si="37"/>
        <v>0</v>
      </c>
      <c r="V188" t="s">
        <v>1046</v>
      </c>
    </row>
    <row r="189" spans="1:24">
      <c r="A189">
        <v>188</v>
      </c>
      <c r="B189" s="12" t="s">
        <v>541</v>
      </c>
      <c r="C189" s="79">
        <v>80</v>
      </c>
      <c r="D189" s="79">
        <v>90</v>
      </c>
      <c r="E189" s="79">
        <v>40</v>
      </c>
      <c r="F189" s="79">
        <v>40</v>
      </c>
      <c r="G189" s="23">
        <f t="shared" si="38"/>
        <v>210</v>
      </c>
      <c r="H189" s="23">
        <f t="shared" si="28"/>
        <v>70</v>
      </c>
      <c r="I189" s="23">
        <f t="shared" si="39"/>
        <v>250</v>
      </c>
      <c r="J189" s="23">
        <f t="shared" si="29"/>
        <v>35.354700000000001</v>
      </c>
      <c r="K189" s="23">
        <f t="shared" si="30"/>
        <v>46.3551</v>
      </c>
      <c r="L189" s="23">
        <f t="shared" si="31"/>
        <v>7.1791999999999998</v>
      </c>
      <c r="M189" s="23">
        <f t="shared" si="32"/>
        <v>7.1791999999999998</v>
      </c>
      <c r="N189" s="23">
        <f t="shared" si="33"/>
        <v>88.888999999999996</v>
      </c>
      <c r="O189" s="23">
        <f t="shared" si="34"/>
        <v>96.06819999999999</v>
      </c>
      <c r="P189">
        <v>1</v>
      </c>
      <c r="Q189">
        <f t="shared" si="35"/>
        <v>2</v>
      </c>
      <c r="R189">
        <f t="shared" si="36"/>
        <v>2</v>
      </c>
      <c r="S189">
        <f t="shared" si="37"/>
        <v>0</v>
      </c>
      <c r="V189" t="s">
        <v>1046</v>
      </c>
      <c r="X189" t="s">
        <v>542</v>
      </c>
    </row>
    <row r="190" spans="1:24">
      <c r="A190">
        <v>189</v>
      </c>
      <c r="B190" s="12" t="s">
        <v>303</v>
      </c>
      <c r="C190" s="79">
        <v>75</v>
      </c>
      <c r="D190" s="79">
        <v>70</v>
      </c>
      <c r="E190" s="79">
        <v>60</v>
      </c>
      <c r="F190" s="79">
        <v>40</v>
      </c>
      <c r="G190" s="23">
        <f t="shared" si="38"/>
        <v>205</v>
      </c>
      <c r="H190" s="23">
        <f t="shared" si="28"/>
        <v>68.333333333333329</v>
      </c>
      <c r="I190" s="23">
        <f t="shared" si="39"/>
        <v>245</v>
      </c>
      <c r="J190" s="23">
        <f t="shared" si="29"/>
        <v>30.477599999999999</v>
      </c>
      <c r="K190" s="23">
        <f t="shared" si="30"/>
        <v>26.005500000000001</v>
      </c>
      <c r="L190" s="23">
        <f t="shared" si="31"/>
        <v>18.242699999999999</v>
      </c>
      <c r="M190" s="23">
        <f t="shared" si="32"/>
        <v>7.1791999999999998</v>
      </c>
      <c r="N190" s="23">
        <f t="shared" si="33"/>
        <v>74.725799999999992</v>
      </c>
      <c r="O190" s="23">
        <f t="shared" si="34"/>
        <v>81.904999999999987</v>
      </c>
      <c r="P190">
        <v>1</v>
      </c>
      <c r="Q190">
        <f t="shared" si="35"/>
        <v>2</v>
      </c>
      <c r="R190">
        <f t="shared" si="36"/>
        <v>2</v>
      </c>
      <c r="S190">
        <f t="shared" si="37"/>
        <v>0</v>
      </c>
      <c r="V190" t="s">
        <v>1046</v>
      </c>
      <c r="X190" t="s">
        <v>540</v>
      </c>
    </row>
    <row r="191" spans="1:24">
      <c r="A191">
        <v>190</v>
      </c>
      <c r="B191" s="12" t="s">
        <v>543</v>
      </c>
      <c r="C191" s="79">
        <v>60</v>
      </c>
      <c r="D191" s="79">
        <v>55</v>
      </c>
      <c r="E191" s="79">
        <v>80</v>
      </c>
      <c r="F191" s="79">
        <v>75</v>
      </c>
      <c r="G191" s="23">
        <f t="shared" si="38"/>
        <v>195</v>
      </c>
      <c r="H191" s="23">
        <f t="shared" si="28"/>
        <v>65</v>
      </c>
      <c r="I191" s="23">
        <f t="shared" si="39"/>
        <v>270</v>
      </c>
      <c r="J191" s="23">
        <f t="shared" si="29"/>
        <v>18.242699999999999</v>
      </c>
      <c r="K191" s="23">
        <f t="shared" si="30"/>
        <v>14.9339</v>
      </c>
      <c r="L191" s="23">
        <f t="shared" si="31"/>
        <v>35.354700000000001</v>
      </c>
      <c r="M191" s="23">
        <f t="shared" si="32"/>
        <v>30.477599999999999</v>
      </c>
      <c r="N191" s="23">
        <f t="shared" si="33"/>
        <v>68.531300000000002</v>
      </c>
      <c r="O191" s="23">
        <f t="shared" si="34"/>
        <v>99.008899999999997</v>
      </c>
      <c r="P191">
        <v>1</v>
      </c>
      <c r="Q191">
        <f t="shared" si="35"/>
        <v>2</v>
      </c>
      <c r="R191">
        <f t="shared" si="36"/>
        <v>2</v>
      </c>
      <c r="S191">
        <f t="shared" si="37"/>
        <v>0</v>
      </c>
      <c r="V191" t="s">
        <v>1046</v>
      </c>
      <c r="X191" t="s">
        <v>544</v>
      </c>
    </row>
    <row r="192" spans="1:24">
      <c r="A192">
        <v>191</v>
      </c>
      <c r="B192" s="12" t="s">
        <v>306</v>
      </c>
      <c r="C192" s="79">
        <v>75</v>
      </c>
      <c r="D192" s="79">
        <v>95</v>
      </c>
      <c r="E192" s="79">
        <v>35</v>
      </c>
      <c r="F192" s="79">
        <v>30</v>
      </c>
      <c r="G192" s="23">
        <f t="shared" si="38"/>
        <v>205</v>
      </c>
      <c r="H192" s="23">
        <f t="shared" si="28"/>
        <v>68.333333333333329</v>
      </c>
      <c r="I192" s="23">
        <f t="shared" si="39"/>
        <v>235</v>
      </c>
      <c r="J192" s="23">
        <f t="shared" si="29"/>
        <v>30.477599999999999</v>
      </c>
      <c r="K192" s="23">
        <f t="shared" si="30"/>
        <v>52.493400000000001</v>
      </c>
      <c r="L192" s="23">
        <f t="shared" si="31"/>
        <v>5.2808000000000002</v>
      </c>
      <c r="M192" s="23">
        <f t="shared" si="32"/>
        <v>3.7044000000000001</v>
      </c>
      <c r="N192" s="23">
        <f t="shared" si="33"/>
        <v>88.251800000000003</v>
      </c>
      <c r="O192" s="23">
        <f t="shared" si="34"/>
        <v>91.95620000000001</v>
      </c>
      <c r="P192">
        <v>1</v>
      </c>
      <c r="Q192">
        <f t="shared" si="35"/>
        <v>2</v>
      </c>
      <c r="R192">
        <f t="shared" si="36"/>
        <v>2</v>
      </c>
      <c r="S192">
        <f t="shared" si="37"/>
        <v>0</v>
      </c>
      <c r="V192" t="s">
        <v>1046</v>
      </c>
      <c r="X192" t="s">
        <v>669</v>
      </c>
    </row>
    <row r="193" spans="1:24">
      <c r="A193">
        <v>192</v>
      </c>
      <c r="B193" s="12" t="s">
        <v>293</v>
      </c>
      <c r="C193" s="79">
        <v>70</v>
      </c>
      <c r="D193" s="79">
        <v>75</v>
      </c>
      <c r="E193" s="79">
        <v>45</v>
      </c>
      <c r="F193" s="79">
        <v>50</v>
      </c>
      <c r="G193" s="23">
        <f t="shared" si="38"/>
        <v>190</v>
      </c>
      <c r="H193" s="23">
        <f t="shared" si="28"/>
        <v>63.333333333333336</v>
      </c>
      <c r="I193" s="23">
        <f t="shared" si="39"/>
        <v>240</v>
      </c>
      <c r="J193" s="23">
        <f t="shared" si="29"/>
        <v>26.005500000000001</v>
      </c>
      <c r="K193" s="23">
        <f t="shared" si="30"/>
        <v>30.477599999999999</v>
      </c>
      <c r="L193" s="23">
        <f t="shared" si="31"/>
        <v>9.4130000000000003</v>
      </c>
      <c r="M193" s="23">
        <f t="shared" si="32"/>
        <v>11.994199999999999</v>
      </c>
      <c r="N193" s="23">
        <f t="shared" si="33"/>
        <v>65.896100000000004</v>
      </c>
      <c r="O193" s="23">
        <f t="shared" si="34"/>
        <v>77.890299999999996</v>
      </c>
      <c r="P193">
        <v>1</v>
      </c>
      <c r="Q193">
        <f t="shared" si="35"/>
        <v>2</v>
      </c>
      <c r="R193">
        <f t="shared" si="36"/>
        <v>2</v>
      </c>
      <c r="S193">
        <f t="shared" si="37"/>
        <v>0</v>
      </c>
      <c r="V193" t="s">
        <v>1046</v>
      </c>
      <c r="X193" t="s">
        <v>294</v>
      </c>
    </row>
    <row r="194" spans="1:24">
      <c r="A194">
        <v>193</v>
      </c>
      <c r="B194" s="12" t="s">
        <v>538</v>
      </c>
      <c r="C194" s="79">
        <v>35</v>
      </c>
      <c r="D194" s="79">
        <v>30</v>
      </c>
      <c r="E194" s="79">
        <v>70</v>
      </c>
      <c r="F194" s="79">
        <v>75</v>
      </c>
      <c r="G194" s="23">
        <f t="shared" si="38"/>
        <v>135</v>
      </c>
      <c r="H194" s="23">
        <f t="shared" ref="H194:H257" si="40">G194/COUNT(C194:E194)</f>
        <v>45</v>
      </c>
      <c r="I194" s="23">
        <f t="shared" si="39"/>
        <v>210</v>
      </c>
      <c r="J194" s="23">
        <f t="shared" ref="J194:J257" si="41">ROUND(POWER(C194,2.3)/674,4)</f>
        <v>5.2808000000000002</v>
      </c>
      <c r="K194" s="23">
        <f t="shared" ref="K194:K257" si="42">ROUND(POWER(D194,2.3)/674,4)</f>
        <v>3.7044000000000001</v>
      </c>
      <c r="L194" s="23">
        <f t="shared" ref="L194:L257" si="43">ROUND(POWER(E194,2.3)/674,4)</f>
        <v>26.005500000000001</v>
      </c>
      <c r="M194" s="23">
        <f t="shared" ref="M194:M257" si="44">ROUND(POWER(F194,2.3)/674,4)</f>
        <v>30.477599999999999</v>
      </c>
      <c r="N194" s="23">
        <f t="shared" ref="N194:N257" si="45">SUM(J194:L194)</f>
        <v>34.990700000000004</v>
      </c>
      <c r="O194" s="23">
        <f t="shared" ref="O194:O257" si="46">SUM(J194:M194)</f>
        <v>65.468299999999999</v>
      </c>
      <c r="P194">
        <v>1</v>
      </c>
      <c r="Q194">
        <f t="shared" si="35"/>
        <v>1</v>
      </c>
      <c r="R194">
        <f t="shared" si="36"/>
        <v>2</v>
      </c>
      <c r="S194">
        <f t="shared" si="37"/>
        <v>1</v>
      </c>
      <c r="V194" t="s">
        <v>1046</v>
      </c>
      <c r="X194" t="s">
        <v>539</v>
      </c>
    </row>
    <row r="195" spans="1:24">
      <c r="A195">
        <v>194</v>
      </c>
      <c r="B195" s="12" t="s">
        <v>657</v>
      </c>
      <c r="C195" s="79">
        <v>75</v>
      </c>
      <c r="D195" s="79">
        <v>90</v>
      </c>
      <c r="E195" s="79">
        <v>35</v>
      </c>
      <c r="F195" s="79">
        <v>45</v>
      </c>
      <c r="G195" s="23">
        <f t="shared" si="38"/>
        <v>200</v>
      </c>
      <c r="H195" s="23">
        <f t="shared" si="40"/>
        <v>66.666666666666671</v>
      </c>
      <c r="I195" s="23">
        <f t="shared" si="39"/>
        <v>245</v>
      </c>
      <c r="J195" s="23">
        <f t="shared" si="41"/>
        <v>30.477599999999999</v>
      </c>
      <c r="K195" s="23">
        <f t="shared" si="42"/>
        <v>46.3551</v>
      </c>
      <c r="L195" s="23">
        <f t="shared" si="43"/>
        <v>5.2808000000000002</v>
      </c>
      <c r="M195" s="23">
        <f t="shared" si="44"/>
        <v>9.4130000000000003</v>
      </c>
      <c r="N195" s="23">
        <f t="shared" si="45"/>
        <v>82.113500000000002</v>
      </c>
      <c r="O195" s="23">
        <f t="shared" si="46"/>
        <v>91.526499999999999</v>
      </c>
      <c r="P195">
        <v>1</v>
      </c>
      <c r="Q195">
        <f t="shared" ref="Q195:Q258" si="47">commanderStars(N195,P195,FALSE)</f>
        <v>2</v>
      </c>
      <c r="R195">
        <f t="shared" ref="R195:R258" si="48">commanderStars(O195,P195,TRUE)</f>
        <v>2</v>
      </c>
      <c r="S195">
        <f t="shared" ref="S195:S258" si="49">R195-Q195</f>
        <v>0</v>
      </c>
      <c r="V195" t="s">
        <v>1046</v>
      </c>
    </row>
    <row r="196" spans="1:24">
      <c r="A196">
        <v>195</v>
      </c>
      <c r="B196" s="12" t="s">
        <v>648</v>
      </c>
      <c r="C196" s="79">
        <v>70</v>
      </c>
      <c r="D196" s="79">
        <v>95</v>
      </c>
      <c r="E196" s="79">
        <v>30</v>
      </c>
      <c r="F196" s="79">
        <v>35</v>
      </c>
      <c r="G196" s="23">
        <f t="shared" si="38"/>
        <v>195</v>
      </c>
      <c r="H196" s="23">
        <f t="shared" si="40"/>
        <v>65</v>
      </c>
      <c r="I196" s="23">
        <f t="shared" si="39"/>
        <v>230</v>
      </c>
      <c r="J196" s="23">
        <f t="shared" si="41"/>
        <v>26.005500000000001</v>
      </c>
      <c r="K196" s="23">
        <f t="shared" si="42"/>
        <v>52.493400000000001</v>
      </c>
      <c r="L196" s="23">
        <f t="shared" si="43"/>
        <v>3.7044000000000001</v>
      </c>
      <c r="M196" s="23">
        <f t="shared" si="44"/>
        <v>5.2808000000000002</v>
      </c>
      <c r="N196" s="23">
        <f t="shared" si="45"/>
        <v>82.203300000000013</v>
      </c>
      <c r="O196" s="23">
        <f t="shared" si="46"/>
        <v>87.484100000000012</v>
      </c>
      <c r="P196">
        <v>1</v>
      </c>
      <c r="Q196">
        <f t="shared" si="47"/>
        <v>2</v>
      </c>
      <c r="R196">
        <f t="shared" si="48"/>
        <v>2</v>
      </c>
      <c r="S196">
        <f t="shared" si="49"/>
        <v>0</v>
      </c>
      <c r="V196" t="s">
        <v>1046</v>
      </c>
      <c r="X196" t="s">
        <v>649</v>
      </c>
    </row>
    <row r="197" spans="1:24">
      <c r="A197">
        <v>196</v>
      </c>
      <c r="B197" s="12" t="s">
        <v>647</v>
      </c>
      <c r="C197" s="79">
        <v>75</v>
      </c>
      <c r="D197" s="79">
        <v>80</v>
      </c>
      <c r="E197" s="79">
        <v>45</v>
      </c>
      <c r="F197" s="79">
        <v>40</v>
      </c>
      <c r="G197" s="23">
        <f t="shared" si="38"/>
        <v>200</v>
      </c>
      <c r="H197" s="23">
        <f t="shared" si="40"/>
        <v>66.666666666666671</v>
      </c>
      <c r="I197" s="23">
        <f t="shared" si="39"/>
        <v>240</v>
      </c>
      <c r="J197" s="23">
        <f t="shared" si="41"/>
        <v>30.477599999999999</v>
      </c>
      <c r="K197" s="23">
        <f t="shared" si="42"/>
        <v>35.354700000000001</v>
      </c>
      <c r="L197" s="23">
        <f t="shared" si="43"/>
        <v>9.4130000000000003</v>
      </c>
      <c r="M197" s="23">
        <f t="shared" si="44"/>
        <v>7.1791999999999998</v>
      </c>
      <c r="N197" s="23">
        <f t="shared" si="45"/>
        <v>75.2453</v>
      </c>
      <c r="O197" s="23">
        <f t="shared" si="46"/>
        <v>82.424499999999995</v>
      </c>
      <c r="P197">
        <v>1</v>
      </c>
      <c r="Q197">
        <f t="shared" si="47"/>
        <v>2</v>
      </c>
      <c r="R197">
        <f t="shared" si="48"/>
        <v>2</v>
      </c>
      <c r="S197">
        <f t="shared" si="49"/>
        <v>0</v>
      </c>
      <c r="V197" t="s">
        <v>1046</v>
      </c>
    </row>
    <row r="198" spans="1:24">
      <c r="A198">
        <v>197</v>
      </c>
      <c r="B198" s="12" t="s">
        <v>575</v>
      </c>
      <c r="C198" s="79">
        <v>70</v>
      </c>
      <c r="D198" s="79">
        <v>75</v>
      </c>
      <c r="E198" s="79">
        <v>40</v>
      </c>
      <c r="F198" s="79">
        <v>45</v>
      </c>
      <c r="G198" s="23">
        <f t="shared" si="38"/>
        <v>185</v>
      </c>
      <c r="H198" s="23">
        <f t="shared" si="40"/>
        <v>61.666666666666664</v>
      </c>
      <c r="I198" s="23">
        <f t="shared" si="39"/>
        <v>230</v>
      </c>
      <c r="J198" s="23">
        <f t="shared" si="41"/>
        <v>26.005500000000001</v>
      </c>
      <c r="K198" s="23">
        <f t="shared" si="42"/>
        <v>30.477599999999999</v>
      </c>
      <c r="L198" s="23">
        <f t="shared" si="43"/>
        <v>7.1791999999999998</v>
      </c>
      <c r="M198" s="23">
        <f t="shared" si="44"/>
        <v>9.4130000000000003</v>
      </c>
      <c r="N198" s="23">
        <f t="shared" si="45"/>
        <v>63.662300000000002</v>
      </c>
      <c r="O198" s="23">
        <f t="shared" si="46"/>
        <v>73.075299999999999</v>
      </c>
      <c r="P198">
        <v>1</v>
      </c>
      <c r="Q198">
        <f t="shared" si="47"/>
        <v>2</v>
      </c>
      <c r="R198">
        <f t="shared" si="48"/>
        <v>2</v>
      </c>
      <c r="S198">
        <f t="shared" si="49"/>
        <v>0</v>
      </c>
      <c r="V198" t="s">
        <v>1046</v>
      </c>
    </row>
    <row r="199" spans="1:24">
      <c r="A199">
        <v>198</v>
      </c>
      <c r="B199" s="12" t="s">
        <v>290</v>
      </c>
      <c r="C199" s="79">
        <v>85</v>
      </c>
      <c r="D199" s="79">
        <v>90</v>
      </c>
      <c r="E199" s="79">
        <v>40</v>
      </c>
      <c r="F199" s="79">
        <v>50</v>
      </c>
      <c r="G199" s="23">
        <f t="shared" si="38"/>
        <v>215</v>
      </c>
      <c r="H199" s="23">
        <f t="shared" si="40"/>
        <v>71.666666666666671</v>
      </c>
      <c r="I199" s="23">
        <f t="shared" si="39"/>
        <v>265</v>
      </c>
      <c r="J199" s="23">
        <f t="shared" si="41"/>
        <v>40.6447</v>
      </c>
      <c r="K199" s="23">
        <f t="shared" si="42"/>
        <v>46.3551</v>
      </c>
      <c r="L199" s="23">
        <f t="shared" si="43"/>
        <v>7.1791999999999998</v>
      </c>
      <c r="M199" s="23">
        <f t="shared" si="44"/>
        <v>11.994199999999999</v>
      </c>
      <c r="N199" s="23">
        <f t="shared" si="45"/>
        <v>94.178999999999988</v>
      </c>
      <c r="O199" s="23">
        <f t="shared" si="46"/>
        <v>106.17319999999998</v>
      </c>
      <c r="P199">
        <v>1</v>
      </c>
      <c r="Q199">
        <f t="shared" si="47"/>
        <v>3</v>
      </c>
      <c r="R199">
        <f t="shared" si="48"/>
        <v>2</v>
      </c>
      <c r="S199">
        <f t="shared" si="49"/>
        <v>-1</v>
      </c>
      <c r="V199" t="s">
        <v>1046</v>
      </c>
      <c r="X199" t="s">
        <v>291</v>
      </c>
    </row>
    <row r="200" spans="1:24">
      <c r="A200">
        <v>199</v>
      </c>
      <c r="B200" s="12" t="s">
        <v>574</v>
      </c>
      <c r="C200" s="79">
        <v>60</v>
      </c>
      <c r="D200" s="79">
        <v>65</v>
      </c>
      <c r="E200" s="79">
        <v>40</v>
      </c>
      <c r="F200" s="79">
        <v>45</v>
      </c>
      <c r="G200" s="23">
        <f t="shared" si="38"/>
        <v>165</v>
      </c>
      <c r="H200" s="23">
        <f t="shared" si="40"/>
        <v>55</v>
      </c>
      <c r="I200" s="23">
        <f t="shared" si="39"/>
        <v>210</v>
      </c>
      <c r="J200" s="23">
        <f t="shared" si="41"/>
        <v>18.242699999999999</v>
      </c>
      <c r="K200" s="23">
        <f t="shared" si="42"/>
        <v>21.930099999999999</v>
      </c>
      <c r="L200" s="23">
        <f t="shared" si="43"/>
        <v>7.1791999999999998</v>
      </c>
      <c r="M200" s="23">
        <f t="shared" si="44"/>
        <v>9.4130000000000003</v>
      </c>
      <c r="N200" s="23">
        <f t="shared" si="45"/>
        <v>47.351999999999997</v>
      </c>
      <c r="O200" s="23">
        <f t="shared" si="46"/>
        <v>56.765000000000001</v>
      </c>
      <c r="P200">
        <v>1</v>
      </c>
      <c r="Q200">
        <f t="shared" si="47"/>
        <v>2</v>
      </c>
      <c r="R200">
        <f t="shared" si="48"/>
        <v>1</v>
      </c>
      <c r="S200">
        <f t="shared" si="49"/>
        <v>-1</v>
      </c>
      <c r="V200" t="s">
        <v>1046</v>
      </c>
    </row>
    <row r="201" spans="1:24">
      <c r="A201">
        <v>200</v>
      </c>
      <c r="B201" s="12" t="s">
        <v>573</v>
      </c>
      <c r="C201" s="79">
        <v>55</v>
      </c>
      <c r="D201" s="79">
        <v>60</v>
      </c>
      <c r="E201" s="79">
        <v>50</v>
      </c>
      <c r="F201" s="79">
        <v>45</v>
      </c>
      <c r="G201" s="23">
        <f t="shared" si="38"/>
        <v>165</v>
      </c>
      <c r="H201" s="23">
        <f t="shared" si="40"/>
        <v>55</v>
      </c>
      <c r="I201" s="23">
        <f t="shared" si="39"/>
        <v>210</v>
      </c>
      <c r="J201" s="23">
        <f t="shared" si="41"/>
        <v>14.9339</v>
      </c>
      <c r="K201" s="23">
        <f t="shared" si="42"/>
        <v>18.242699999999999</v>
      </c>
      <c r="L201" s="23">
        <f t="shared" si="43"/>
        <v>11.994199999999999</v>
      </c>
      <c r="M201" s="23">
        <f t="shared" si="44"/>
        <v>9.4130000000000003</v>
      </c>
      <c r="N201" s="23">
        <f t="shared" si="45"/>
        <v>45.1708</v>
      </c>
      <c r="O201" s="23">
        <f t="shared" si="46"/>
        <v>54.583799999999997</v>
      </c>
      <c r="P201">
        <v>1</v>
      </c>
      <c r="Q201">
        <f t="shared" si="47"/>
        <v>2</v>
      </c>
      <c r="R201">
        <f t="shared" si="48"/>
        <v>1</v>
      </c>
      <c r="S201">
        <f t="shared" si="49"/>
        <v>-1</v>
      </c>
      <c r="V201" t="s">
        <v>1046</v>
      </c>
    </row>
    <row r="202" spans="1:24">
      <c r="A202">
        <v>201</v>
      </c>
      <c r="B202" s="12" t="s">
        <v>576</v>
      </c>
      <c r="C202" s="79">
        <v>75</v>
      </c>
      <c r="D202" s="79">
        <v>90</v>
      </c>
      <c r="E202" s="79">
        <v>35</v>
      </c>
      <c r="F202" s="79">
        <v>40</v>
      </c>
      <c r="G202" s="23">
        <f t="shared" si="38"/>
        <v>200</v>
      </c>
      <c r="H202" s="23">
        <f t="shared" si="40"/>
        <v>66.666666666666671</v>
      </c>
      <c r="I202" s="23">
        <f t="shared" si="39"/>
        <v>240</v>
      </c>
      <c r="J202" s="23">
        <f t="shared" si="41"/>
        <v>30.477599999999999</v>
      </c>
      <c r="K202" s="23">
        <f t="shared" si="42"/>
        <v>46.3551</v>
      </c>
      <c r="L202" s="23">
        <f t="shared" si="43"/>
        <v>5.2808000000000002</v>
      </c>
      <c r="M202" s="23">
        <f t="shared" si="44"/>
        <v>7.1791999999999998</v>
      </c>
      <c r="N202" s="23">
        <f t="shared" si="45"/>
        <v>82.113500000000002</v>
      </c>
      <c r="O202" s="23">
        <f t="shared" si="46"/>
        <v>89.292699999999996</v>
      </c>
      <c r="P202">
        <v>1</v>
      </c>
      <c r="Q202">
        <f t="shared" si="47"/>
        <v>2</v>
      </c>
      <c r="R202">
        <f t="shared" si="48"/>
        <v>2</v>
      </c>
      <c r="S202">
        <f t="shared" si="49"/>
        <v>0</v>
      </c>
      <c r="V202" t="s">
        <v>1046</v>
      </c>
      <c r="X202" t="s">
        <v>577</v>
      </c>
    </row>
    <row r="203" spans="1:24">
      <c r="A203">
        <v>202</v>
      </c>
      <c r="B203" s="12" t="s">
        <v>696</v>
      </c>
      <c r="C203" s="79">
        <v>30</v>
      </c>
      <c r="D203" s="79">
        <v>35</v>
      </c>
      <c r="E203" s="79">
        <v>70</v>
      </c>
      <c r="F203" s="79">
        <v>55</v>
      </c>
      <c r="G203" s="23">
        <f t="shared" si="38"/>
        <v>135</v>
      </c>
      <c r="H203" s="23">
        <f t="shared" si="40"/>
        <v>45</v>
      </c>
      <c r="I203" s="23">
        <f t="shared" si="39"/>
        <v>190</v>
      </c>
      <c r="J203" s="23">
        <f t="shared" si="41"/>
        <v>3.7044000000000001</v>
      </c>
      <c r="K203" s="23">
        <f t="shared" si="42"/>
        <v>5.2808000000000002</v>
      </c>
      <c r="L203" s="23">
        <f t="shared" si="43"/>
        <v>26.005500000000001</v>
      </c>
      <c r="M203" s="23">
        <f t="shared" si="44"/>
        <v>14.9339</v>
      </c>
      <c r="N203" s="23">
        <f t="shared" si="45"/>
        <v>34.990700000000004</v>
      </c>
      <c r="O203" s="23">
        <f t="shared" si="46"/>
        <v>49.924600000000005</v>
      </c>
      <c r="P203">
        <v>1</v>
      </c>
      <c r="Q203">
        <f t="shared" si="47"/>
        <v>1</v>
      </c>
      <c r="R203">
        <f t="shared" si="48"/>
        <v>1</v>
      </c>
      <c r="S203">
        <f t="shared" si="49"/>
        <v>0</v>
      </c>
      <c r="V203" t="s">
        <v>1046</v>
      </c>
    </row>
    <row r="204" spans="1:24">
      <c r="A204">
        <v>203</v>
      </c>
      <c r="B204" s="12" t="s">
        <v>636</v>
      </c>
      <c r="C204" s="79">
        <v>85</v>
      </c>
      <c r="D204" s="79">
        <v>90</v>
      </c>
      <c r="E204" s="79">
        <v>40</v>
      </c>
      <c r="F204" s="79">
        <v>70</v>
      </c>
      <c r="G204" s="23">
        <f t="shared" si="38"/>
        <v>215</v>
      </c>
      <c r="H204" s="23">
        <f t="shared" si="40"/>
        <v>71.666666666666671</v>
      </c>
      <c r="I204" s="23">
        <f t="shared" si="39"/>
        <v>285</v>
      </c>
      <c r="J204" s="23">
        <f t="shared" si="41"/>
        <v>40.6447</v>
      </c>
      <c r="K204" s="23">
        <f t="shared" si="42"/>
        <v>46.3551</v>
      </c>
      <c r="L204" s="23">
        <f t="shared" si="43"/>
        <v>7.1791999999999998</v>
      </c>
      <c r="M204" s="23">
        <f t="shared" si="44"/>
        <v>26.005500000000001</v>
      </c>
      <c r="N204" s="23">
        <f t="shared" si="45"/>
        <v>94.178999999999988</v>
      </c>
      <c r="O204" s="23">
        <f t="shared" si="46"/>
        <v>120.18449999999999</v>
      </c>
      <c r="P204">
        <v>1</v>
      </c>
      <c r="Q204">
        <f t="shared" si="47"/>
        <v>3</v>
      </c>
      <c r="R204">
        <f t="shared" si="48"/>
        <v>3</v>
      </c>
      <c r="S204">
        <f t="shared" si="49"/>
        <v>0</v>
      </c>
      <c r="V204" t="s">
        <v>1046</v>
      </c>
    </row>
    <row r="205" spans="1:24">
      <c r="A205">
        <v>204</v>
      </c>
      <c r="B205" s="12" t="s">
        <v>638</v>
      </c>
      <c r="C205" s="79">
        <v>75</v>
      </c>
      <c r="D205" s="79">
        <v>80</v>
      </c>
      <c r="E205" s="79">
        <v>40</v>
      </c>
      <c r="F205" s="79">
        <v>50</v>
      </c>
      <c r="G205" s="23">
        <f t="shared" si="38"/>
        <v>195</v>
      </c>
      <c r="H205" s="23">
        <f t="shared" si="40"/>
        <v>65</v>
      </c>
      <c r="I205" s="23">
        <f t="shared" si="39"/>
        <v>245</v>
      </c>
      <c r="J205" s="23">
        <f t="shared" si="41"/>
        <v>30.477599999999999</v>
      </c>
      <c r="K205" s="23">
        <f t="shared" si="42"/>
        <v>35.354700000000001</v>
      </c>
      <c r="L205" s="23">
        <f t="shared" si="43"/>
        <v>7.1791999999999998</v>
      </c>
      <c r="M205" s="23">
        <f t="shared" si="44"/>
        <v>11.994199999999999</v>
      </c>
      <c r="N205" s="23">
        <f t="shared" si="45"/>
        <v>73.011499999999998</v>
      </c>
      <c r="O205" s="23">
        <f t="shared" si="46"/>
        <v>85.00569999999999</v>
      </c>
      <c r="P205">
        <v>1</v>
      </c>
      <c r="Q205">
        <f t="shared" si="47"/>
        <v>2</v>
      </c>
      <c r="R205">
        <f t="shared" si="48"/>
        <v>2</v>
      </c>
      <c r="S205">
        <f t="shared" si="49"/>
        <v>0</v>
      </c>
      <c r="V205" t="s">
        <v>1046</v>
      </c>
    </row>
    <row r="206" spans="1:24">
      <c r="A206">
        <v>205</v>
      </c>
      <c r="B206" s="12" t="s">
        <v>637</v>
      </c>
      <c r="C206" s="79">
        <v>35</v>
      </c>
      <c r="D206" s="79">
        <v>30</v>
      </c>
      <c r="E206" s="79">
        <v>60</v>
      </c>
      <c r="F206" s="79">
        <v>85</v>
      </c>
      <c r="G206" s="23">
        <f t="shared" si="38"/>
        <v>125</v>
      </c>
      <c r="H206" s="23">
        <f t="shared" si="40"/>
        <v>41.666666666666664</v>
      </c>
      <c r="I206" s="23">
        <f t="shared" si="39"/>
        <v>210</v>
      </c>
      <c r="J206" s="23">
        <f t="shared" si="41"/>
        <v>5.2808000000000002</v>
      </c>
      <c r="K206" s="23">
        <f t="shared" si="42"/>
        <v>3.7044000000000001</v>
      </c>
      <c r="L206" s="23">
        <f t="shared" si="43"/>
        <v>18.242699999999999</v>
      </c>
      <c r="M206" s="23">
        <f t="shared" si="44"/>
        <v>40.6447</v>
      </c>
      <c r="N206" s="23">
        <f t="shared" si="45"/>
        <v>27.227899999999998</v>
      </c>
      <c r="O206" s="23">
        <f t="shared" si="46"/>
        <v>67.872600000000006</v>
      </c>
      <c r="P206">
        <v>1</v>
      </c>
      <c r="Q206">
        <f t="shared" si="47"/>
        <v>1</v>
      </c>
      <c r="R206">
        <f t="shared" si="48"/>
        <v>2</v>
      </c>
      <c r="S206">
        <f t="shared" si="49"/>
        <v>1</v>
      </c>
      <c r="V206" t="s">
        <v>1046</v>
      </c>
    </row>
    <row r="207" spans="1:24">
      <c r="A207">
        <v>206</v>
      </c>
      <c r="B207" s="12" t="s">
        <v>588</v>
      </c>
      <c r="C207" s="79">
        <v>35</v>
      </c>
      <c r="D207" s="79">
        <v>105</v>
      </c>
      <c r="E207" s="79">
        <v>30</v>
      </c>
      <c r="F207" s="79">
        <v>40</v>
      </c>
      <c r="G207" s="23">
        <f t="shared" si="38"/>
        <v>170</v>
      </c>
      <c r="H207" s="23">
        <f t="shared" si="40"/>
        <v>56.666666666666664</v>
      </c>
      <c r="I207" s="23">
        <f t="shared" si="39"/>
        <v>210</v>
      </c>
      <c r="J207" s="23">
        <f t="shared" si="41"/>
        <v>5.2808000000000002</v>
      </c>
      <c r="K207" s="23">
        <f t="shared" si="42"/>
        <v>66.080799999999996</v>
      </c>
      <c r="L207" s="23">
        <f t="shared" si="43"/>
        <v>3.7044000000000001</v>
      </c>
      <c r="M207" s="23">
        <f t="shared" si="44"/>
        <v>7.1791999999999998</v>
      </c>
      <c r="N207" s="23">
        <f t="shared" si="45"/>
        <v>75.066000000000003</v>
      </c>
      <c r="O207" s="23">
        <f t="shared" si="46"/>
        <v>82.245199999999997</v>
      </c>
      <c r="P207">
        <v>1</v>
      </c>
      <c r="Q207">
        <f t="shared" si="47"/>
        <v>2</v>
      </c>
      <c r="R207">
        <f t="shared" si="48"/>
        <v>2</v>
      </c>
      <c r="S207">
        <f t="shared" si="49"/>
        <v>0</v>
      </c>
      <c r="V207" t="s">
        <v>1046</v>
      </c>
    </row>
    <row r="208" spans="1:24">
      <c r="A208">
        <v>207</v>
      </c>
      <c r="B208" s="12" t="s">
        <v>589</v>
      </c>
      <c r="C208" s="79">
        <v>40</v>
      </c>
      <c r="D208" s="79">
        <v>35</v>
      </c>
      <c r="E208" s="79">
        <v>65</v>
      </c>
      <c r="F208" s="79">
        <v>80</v>
      </c>
      <c r="G208" s="23">
        <f t="shared" si="38"/>
        <v>140</v>
      </c>
      <c r="H208" s="23">
        <f t="shared" si="40"/>
        <v>46.666666666666664</v>
      </c>
      <c r="I208" s="23">
        <f t="shared" si="39"/>
        <v>220</v>
      </c>
      <c r="J208" s="23">
        <f t="shared" si="41"/>
        <v>7.1791999999999998</v>
      </c>
      <c r="K208" s="23">
        <f t="shared" si="42"/>
        <v>5.2808000000000002</v>
      </c>
      <c r="L208" s="23">
        <f t="shared" si="43"/>
        <v>21.930099999999999</v>
      </c>
      <c r="M208" s="23">
        <f t="shared" si="44"/>
        <v>35.354700000000001</v>
      </c>
      <c r="N208" s="23">
        <f t="shared" si="45"/>
        <v>34.390100000000004</v>
      </c>
      <c r="O208" s="23">
        <f t="shared" si="46"/>
        <v>69.744799999999998</v>
      </c>
      <c r="P208">
        <v>1</v>
      </c>
      <c r="Q208">
        <f t="shared" si="47"/>
        <v>1</v>
      </c>
      <c r="R208">
        <f t="shared" si="48"/>
        <v>2</v>
      </c>
      <c r="S208">
        <f t="shared" si="49"/>
        <v>1</v>
      </c>
      <c r="V208" t="s">
        <v>1046</v>
      </c>
      <c r="X208" t="s">
        <v>590</v>
      </c>
    </row>
    <row r="209" spans="1:24">
      <c r="A209">
        <v>208</v>
      </c>
      <c r="B209" s="12" t="s">
        <v>619</v>
      </c>
      <c r="C209" s="79">
        <v>45</v>
      </c>
      <c r="D209" s="79">
        <v>40</v>
      </c>
      <c r="E209" s="79">
        <v>85</v>
      </c>
      <c r="F209" s="79">
        <v>75</v>
      </c>
      <c r="G209" s="23">
        <f t="shared" si="38"/>
        <v>170</v>
      </c>
      <c r="H209" s="23">
        <f t="shared" si="40"/>
        <v>56.666666666666664</v>
      </c>
      <c r="I209" s="23">
        <f t="shared" si="39"/>
        <v>245</v>
      </c>
      <c r="J209" s="23">
        <f t="shared" si="41"/>
        <v>9.4130000000000003</v>
      </c>
      <c r="K209" s="23">
        <f t="shared" si="42"/>
        <v>7.1791999999999998</v>
      </c>
      <c r="L209" s="23">
        <f t="shared" si="43"/>
        <v>40.6447</v>
      </c>
      <c r="M209" s="23">
        <f t="shared" si="44"/>
        <v>30.477599999999999</v>
      </c>
      <c r="N209" s="23">
        <f t="shared" si="45"/>
        <v>57.236899999999999</v>
      </c>
      <c r="O209" s="23">
        <f t="shared" si="46"/>
        <v>87.714500000000001</v>
      </c>
      <c r="P209">
        <v>1</v>
      </c>
      <c r="Q209">
        <f t="shared" si="47"/>
        <v>2</v>
      </c>
      <c r="R209">
        <f t="shared" si="48"/>
        <v>2</v>
      </c>
      <c r="S209">
        <f t="shared" si="49"/>
        <v>0</v>
      </c>
      <c r="V209" t="s">
        <v>1046</v>
      </c>
      <c r="X209" t="s">
        <v>620</v>
      </c>
    </row>
    <row r="210" spans="1:24">
      <c r="A210">
        <v>209</v>
      </c>
      <c r="B210" s="12" t="s">
        <v>621</v>
      </c>
      <c r="C210" s="79">
        <v>40</v>
      </c>
      <c r="D210" s="79">
        <v>35</v>
      </c>
      <c r="E210" s="79">
        <v>90</v>
      </c>
      <c r="F210" s="79">
        <v>85</v>
      </c>
      <c r="G210" s="23">
        <f t="shared" si="38"/>
        <v>165</v>
      </c>
      <c r="H210" s="23">
        <f t="shared" si="40"/>
        <v>55</v>
      </c>
      <c r="I210" s="23">
        <f t="shared" si="39"/>
        <v>250</v>
      </c>
      <c r="J210" s="23">
        <f t="shared" si="41"/>
        <v>7.1791999999999998</v>
      </c>
      <c r="K210" s="23">
        <f t="shared" si="42"/>
        <v>5.2808000000000002</v>
      </c>
      <c r="L210" s="23">
        <f t="shared" si="43"/>
        <v>46.3551</v>
      </c>
      <c r="M210" s="23">
        <f t="shared" si="44"/>
        <v>40.6447</v>
      </c>
      <c r="N210" s="23">
        <f t="shared" si="45"/>
        <v>58.815100000000001</v>
      </c>
      <c r="O210" s="23">
        <f t="shared" si="46"/>
        <v>99.459800000000001</v>
      </c>
      <c r="P210">
        <v>1</v>
      </c>
      <c r="Q210">
        <f t="shared" si="47"/>
        <v>2</v>
      </c>
      <c r="R210">
        <f t="shared" si="48"/>
        <v>2</v>
      </c>
      <c r="S210">
        <f t="shared" si="49"/>
        <v>0</v>
      </c>
      <c r="V210" t="s">
        <v>1046</v>
      </c>
      <c r="X210" t="s">
        <v>622</v>
      </c>
    </row>
    <row r="211" spans="1:24">
      <c r="A211">
        <v>210</v>
      </c>
      <c r="B211" s="12" t="s">
        <v>644</v>
      </c>
      <c r="C211" s="79">
        <v>60</v>
      </c>
      <c r="D211" s="79">
        <v>75</v>
      </c>
      <c r="E211" s="79">
        <v>35</v>
      </c>
      <c r="F211" s="79">
        <v>40</v>
      </c>
      <c r="G211" s="23">
        <f t="shared" si="38"/>
        <v>170</v>
      </c>
      <c r="H211" s="23">
        <f t="shared" si="40"/>
        <v>56.666666666666664</v>
      </c>
      <c r="I211" s="23">
        <f t="shared" si="39"/>
        <v>210</v>
      </c>
      <c r="J211" s="23">
        <f t="shared" si="41"/>
        <v>18.242699999999999</v>
      </c>
      <c r="K211" s="23">
        <f t="shared" si="42"/>
        <v>30.477599999999999</v>
      </c>
      <c r="L211" s="23">
        <f t="shared" si="43"/>
        <v>5.2808000000000002</v>
      </c>
      <c r="M211" s="23">
        <f t="shared" si="44"/>
        <v>7.1791999999999998</v>
      </c>
      <c r="N211" s="23">
        <f t="shared" si="45"/>
        <v>54.001099999999994</v>
      </c>
      <c r="O211" s="23">
        <f t="shared" si="46"/>
        <v>61.180299999999995</v>
      </c>
      <c r="P211">
        <v>1</v>
      </c>
      <c r="Q211">
        <f t="shared" si="47"/>
        <v>2</v>
      </c>
      <c r="R211">
        <f t="shared" si="48"/>
        <v>2</v>
      </c>
      <c r="S211">
        <f t="shared" si="49"/>
        <v>0</v>
      </c>
      <c r="V211" t="s">
        <v>1046</v>
      </c>
    </row>
    <row r="212" spans="1:24">
      <c r="A212">
        <v>211</v>
      </c>
      <c r="B212" s="12" t="s">
        <v>684</v>
      </c>
      <c r="C212" s="79">
        <v>65</v>
      </c>
      <c r="D212" s="79">
        <v>95</v>
      </c>
      <c r="E212" s="79">
        <v>40</v>
      </c>
      <c r="F212" s="79">
        <v>35</v>
      </c>
      <c r="G212" s="23">
        <f t="shared" si="38"/>
        <v>200</v>
      </c>
      <c r="H212" s="23">
        <f t="shared" si="40"/>
        <v>66.666666666666671</v>
      </c>
      <c r="I212" s="23">
        <f t="shared" si="39"/>
        <v>235</v>
      </c>
      <c r="J212" s="23">
        <f t="shared" si="41"/>
        <v>21.930099999999999</v>
      </c>
      <c r="K212" s="23">
        <f t="shared" si="42"/>
        <v>52.493400000000001</v>
      </c>
      <c r="L212" s="23">
        <f t="shared" si="43"/>
        <v>7.1791999999999998</v>
      </c>
      <c r="M212" s="23">
        <f t="shared" si="44"/>
        <v>5.2808000000000002</v>
      </c>
      <c r="N212" s="23">
        <f t="shared" si="45"/>
        <v>81.602699999999999</v>
      </c>
      <c r="O212" s="23">
        <f t="shared" si="46"/>
        <v>86.883499999999998</v>
      </c>
      <c r="P212">
        <v>1</v>
      </c>
      <c r="Q212">
        <f t="shared" si="47"/>
        <v>2</v>
      </c>
      <c r="R212">
        <f t="shared" si="48"/>
        <v>2</v>
      </c>
      <c r="S212">
        <f t="shared" si="49"/>
        <v>0</v>
      </c>
      <c r="V212" t="s">
        <v>1046</v>
      </c>
      <c r="X212" t="s">
        <v>685</v>
      </c>
    </row>
    <row r="213" spans="1:24">
      <c r="A213">
        <v>212</v>
      </c>
      <c r="B213" s="12" t="s">
        <v>307</v>
      </c>
      <c r="C213" s="79">
        <v>40</v>
      </c>
      <c r="D213" s="79">
        <v>30</v>
      </c>
      <c r="E213" s="79">
        <v>55</v>
      </c>
      <c r="F213" s="79">
        <v>50</v>
      </c>
      <c r="G213" s="23">
        <f t="shared" si="38"/>
        <v>125</v>
      </c>
      <c r="H213" s="23">
        <f t="shared" si="40"/>
        <v>41.666666666666664</v>
      </c>
      <c r="I213" s="23">
        <f t="shared" si="39"/>
        <v>175</v>
      </c>
      <c r="J213" s="23">
        <f t="shared" si="41"/>
        <v>7.1791999999999998</v>
      </c>
      <c r="K213" s="23">
        <f t="shared" si="42"/>
        <v>3.7044000000000001</v>
      </c>
      <c r="L213" s="23">
        <f t="shared" si="43"/>
        <v>14.9339</v>
      </c>
      <c r="M213" s="23">
        <f t="shared" si="44"/>
        <v>11.994199999999999</v>
      </c>
      <c r="N213" s="23">
        <f t="shared" si="45"/>
        <v>25.817499999999999</v>
      </c>
      <c r="O213" s="23">
        <f t="shared" si="46"/>
        <v>37.811700000000002</v>
      </c>
      <c r="P213">
        <v>1</v>
      </c>
      <c r="Q213">
        <f t="shared" si="47"/>
        <v>1</v>
      </c>
      <c r="R213">
        <f t="shared" si="48"/>
        <v>1</v>
      </c>
      <c r="S213">
        <f t="shared" si="49"/>
        <v>0</v>
      </c>
      <c r="V213" t="s">
        <v>1046</v>
      </c>
      <c r="X213" t="s">
        <v>308</v>
      </c>
    </row>
    <row r="214" spans="1:24">
      <c r="A214">
        <v>213</v>
      </c>
      <c r="B214" s="12" t="s">
        <v>612</v>
      </c>
      <c r="C214" s="79">
        <v>55</v>
      </c>
      <c r="D214" s="79">
        <v>50</v>
      </c>
      <c r="E214" s="79">
        <v>55</v>
      </c>
      <c r="F214" s="79">
        <v>50</v>
      </c>
      <c r="G214" s="23">
        <f t="shared" si="38"/>
        <v>160</v>
      </c>
      <c r="H214" s="23">
        <f t="shared" si="40"/>
        <v>53.333333333333336</v>
      </c>
      <c r="I214" s="23">
        <f t="shared" si="39"/>
        <v>210</v>
      </c>
      <c r="J214" s="23">
        <f t="shared" si="41"/>
        <v>14.9339</v>
      </c>
      <c r="K214" s="23">
        <f t="shared" si="42"/>
        <v>11.994199999999999</v>
      </c>
      <c r="L214" s="23">
        <f t="shared" si="43"/>
        <v>14.9339</v>
      </c>
      <c r="M214" s="23">
        <f t="shared" si="44"/>
        <v>11.994199999999999</v>
      </c>
      <c r="N214" s="23">
        <f t="shared" si="45"/>
        <v>41.862000000000002</v>
      </c>
      <c r="O214" s="23">
        <f t="shared" si="46"/>
        <v>53.856200000000001</v>
      </c>
      <c r="P214">
        <v>1</v>
      </c>
      <c r="Q214">
        <f t="shared" si="47"/>
        <v>1</v>
      </c>
      <c r="R214">
        <f t="shared" si="48"/>
        <v>1</v>
      </c>
      <c r="S214">
        <f t="shared" si="49"/>
        <v>0</v>
      </c>
      <c r="V214" t="s">
        <v>1046</v>
      </c>
    </row>
    <row r="215" spans="1:24">
      <c r="A215">
        <v>214</v>
      </c>
      <c r="B215" s="12" t="s">
        <v>613</v>
      </c>
      <c r="C215" s="79">
        <v>70</v>
      </c>
      <c r="D215" s="79">
        <v>50</v>
      </c>
      <c r="E215" s="79">
        <v>65</v>
      </c>
      <c r="F215" s="79">
        <v>45</v>
      </c>
      <c r="G215" s="23">
        <f t="shared" si="38"/>
        <v>185</v>
      </c>
      <c r="H215" s="23">
        <f t="shared" si="40"/>
        <v>61.666666666666664</v>
      </c>
      <c r="I215" s="23">
        <f t="shared" si="39"/>
        <v>230</v>
      </c>
      <c r="J215" s="23">
        <f t="shared" si="41"/>
        <v>26.005500000000001</v>
      </c>
      <c r="K215" s="23">
        <f t="shared" si="42"/>
        <v>11.994199999999999</v>
      </c>
      <c r="L215" s="23">
        <f t="shared" si="43"/>
        <v>21.930099999999999</v>
      </c>
      <c r="M215" s="23">
        <f t="shared" si="44"/>
        <v>9.4130000000000003</v>
      </c>
      <c r="N215" s="23">
        <f t="shared" si="45"/>
        <v>59.9298</v>
      </c>
      <c r="O215" s="23">
        <f t="shared" si="46"/>
        <v>69.342799999999997</v>
      </c>
      <c r="P215">
        <v>1</v>
      </c>
      <c r="Q215">
        <f t="shared" si="47"/>
        <v>2</v>
      </c>
      <c r="R215">
        <f t="shared" si="48"/>
        <v>2</v>
      </c>
      <c r="S215">
        <f t="shared" si="49"/>
        <v>0</v>
      </c>
      <c r="V215" t="s">
        <v>1046</v>
      </c>
      <c r="X215" t="s">
        <v>614</v>
      </c>
    </row>
    <row r="216" spans="1:24">
      <c r="A216">
        <v>215</v>
      </c>
      <c r="B216" s="12" t="s">
        <v>615</v>
      </c>
      <c r="C216" s="79">
        <v>45</v>
      </c>
      <c r="D216" s="79">
        <v>35</v>
      </c>
      <c r="E216" s="79">
        <v>60</v>
      </c>
      <c r="F216" s="79">
        <v>50</v>
      </c>
      <c r="G216" s="23">
        <f t="shared" si="38"/>
        <v>140</v>
      </c>
      <c r="H216" s="23">
        <f t="shared" si="40"/>
        <v>46.666666666666664</v>
      </c>
      <c r="I216" s="23">
        <f t="shared" si="39"/>
        <v>190</v>
      </c>
      <c r="J216" s="23">
        <f t="shared" si="41"/>
        <v>9.4130000000000003</v>
      </c>
      <c r="K216" s="23">
        <f t="shared" si="42"/>
        <v>5.2808000000000002</v>
      </c>
      <c r="L216" s="23">
        <f t="shared" si="43"/>
        <v>18.242699999999999</v>
      </c>
      <c r="M216" s="23">
        <f t="shared" si="44"/>
        <v>11.994199999999999</v>
      </c>
      <c r="N216" s="23">
        <f t="shared" si="45"/>
        <v>32.936499999999995</v>
      </c>
      <c r="O216" s="23">
        <f t="shared" si="46"/>
        <v>44.930699999999995</v>
      </c>
      <c r="P216">
        <v>1</v>
      </c>
      <c r="Q216">
        <f t="shared" si="47"/>
        <v>1</v>
      </c>
      <c r="R216">
        <f t="shared" si="48"/>
        <v>1</v>
      </c>
      <c r="S216">
        <f t="shared" si="49"/>
        <v>0</v>
      </c>
      <c r="V216" t="s">
        <v>1046</v>
      </c>
      <c r="X216" t="s">
        <v>616</v>
      </c>
    </row>
    <row r="217" spans="1:24">
      <c r="A217">
        <v>216</v>
      </c>
      <c r="B217" s="12" t="s">
        <v>610</v>
      </c>
      <c r="C217" s="79">
        <v>50</v>
      </c>
      <c r="D217" s="79">
        <v>45</v>
      </c>
      <c r="E217" s="79">
        <v>60</v>
      </c>
      <c r="F217" s="79">
        <v>55</v>
      </c>
      <c r="G217" s="23">
        <f t="shared" si="38"/>
        <v>155</v>
      </c>
      <c r="H217" s="23">
        <f t="shared" si="40"/>
        <v>51.666666666666664</v>
      </c>
      <c r="I217" s="23">
        <f t="shared" si="39"/>
        <v>210</v>
      </c>
      <c r="J217" s="23">
        <f t="shared" si="41"/>
        <v>11.994199999999999</v>
      </c>
      <c r="K217" s="23">
        <f t="shared" si="42"/>
        <v>9.4130000000000003</v>
      </c>
      <c r="L217" s="23">
        <f t="shared" si="43"/>
        <v>18.242699999999999</v>
      </c>
      <c r="M217" s="23">
        <f t="shared" si="44"/>
        <v>14.9339</v>
      </c>
      <c r="N217" s="23">
        <f t="shared" si="45"/>
        <v>39.649900000000002</v>
      </c>
      <c r="O217" s="23">
        <f t="shared" si="46"/>
        <v>54.583800000000004</v>
      </c>
      <c r="P217">
        <v>1</v>
      </c>
      <c r="Q217">
        <f t="shared" si="47"/>
        <v>1</v>
      </c>
      <c r="R217">
        <f t="shared" si="48"/>
        <v>1</v>
      </c>
      <c r="S217">
        <f t="shared" si="49"/>
        <v>0</v>
      </c>
      <c r="V217" t="s">
        <v>1046</v>
      </c>
    </row>
    <row r="218" spans="1:24">
      <c r="A218">
        <v>217</v>
      </c>
      <c r="B218" s="12" t="s">
        <v>611</v>
      </c>
      <c r="C218" s="79">
        <v>45</v>
      </c>
      <c r="D218" s="79">
        <v>50</v>
      </c>
      <c r="E218" s="79">
        <v>50</v>
      </c>
      <c r="F218" s="79">
        <v>55</v>
      </c>
      <c r="G218" s="23">
        <f t="shared" si="38"/>
        <v>145</v>
      </c>
      <c r="H218" s="23">
        <f t="shared" si="40"/>
        <v>48.333333333333336</v>
      </c>
      <c r="I218" s="23">
        <f t="shared" si="39"/>
        <v>200</v>
      </c>
      <c r="J218" s="23">
        <f t="shared" si="41"/>
        <v>9.4130000000000003</v>
      </c>
      <c r="K218" s="23">
        <f t="shared" si="42"/>
        <v>11.994199999999999</v>
      </c>
      <c r="L218" s="23">
        <f t="shared" si="43"/>
        <v>11.994199999999999</v>
      </c>
      <c r="M218" s="23">
        <f t="shared" si="44"/>
        <v>14.9339</v>
      </c>
      <c r="N218" s="23">
        <f t="shared" si="45"/>
        <v>33.401399999999995</v>
      </c>
      <c r="O218" s="23">
        <f t="shared" si="46"/>
        <v>48.335299999999997</v>
      </c>
      <c r="P218">
        <v>1</v>
      </c>
      <c r="Q218">
        <f t="shared" si="47"/>
        <v>1</v>
      </c>
      <c r="R218">
        <f t="shared" si="48"/>
        <v>1</v>
      </c>
      <c r="S218">
        <f t="shared" si="49"/>
        <v>0</v>
      </c>
      <c r="V218" t="s">
        <v>1046</v>
      </c>
    </row>
    <row r="219" spans="1:24">
      <c r="A219">
        <v>218</v>
      </c>
      <c r="B219" s="12" t="s">
        <v>525</v>
      </c>
      <c r="C219" s="79">
        <v>60</v>
      </c>
      <c r="D219" s="79">
        <v>70</v>
      </c>
      <c r="E219" s="79">
        <v>35</v>
      </c>
      <c r="F219" s="79">
        <v>30</v>
      </c>
      <c r="G219" s="23">
        <f t="shared" si="38"/>
        <v>165</v>
      </c>
      <c r="H219" s="23">
        <f t="shared" si="40"/>
        <v>55</v>
      </c>
      <c r="I219" s="23">
        <f t="shared" si="39"/>
        <v>195</v>
      </c>
      <c r="J219" s="23">
        <f t="shared" si="41"/>
        <v>18.242699999999999</v>
      </c>
      <c r="K219" s="23">
        <f t="shared" si="42"/>
        <v>26.005500000000001</v>
      </c>
      <c r="L219" s="23">
        <f t="shared" si="43"/>
        <v>5.2808000000000002</v>
      </c>
      <c r="M219" s="23">
        <f t="shared" si="44"/>
        <v>3.7044000000000001</v>
      </c>
      <c r="N219" s="23">
        <f t="shared" si="45"/>
        <v>49.528999999999996</v>
      </c>
      <c r="O219" s="23">
        <f t="shared" si="46"/>
        <v>53.233399999999996</v>
      </c>
      <c r="P219">
        <v>1</v>
      </c>
      <c r="Q219">
        <f t="shared" si="47"/>
        <v>2</v>
      </c>
      <c r="R219">
        <f t="shared" si="48"/>
        <v>1</v>
      </c>
      <c r="S219">
        <f t="shared" si="49"/>
        <v>-1</v>
      </c>
      <c r="V219" t="s">
        <v>1046</v>
      </c>
      <c r="X219" t="s">
        <v>526</v>
      </c>
    </row>
    <row r="220" spans="1:24">
      <c r="A220">
        <v>219</v>
      </c>
      <c r="B220" s="12" t="s">
        <v>511</v>
      </c>
      <c r="C220" s="79">
        <v>60</v>
      </c>
      <c r="D220" s="79">
        <v>55</v>
      </c>
      <c r="E220" s="79">
        <v>40</v>
      </c>
      <c r="F220" s="79">
        <v>35</v>
      </c>
      <c r="G220" s="23">
        <f t="shared" si="38"/>
        <v>155</v>
      </c>
      <c r="H220" s="23">
        <f t="shared" si="40"/>
        <v>51.666666666666664</v>
      </c>
      <c r="I220" s="23">
        <f t="shared" si="39"/>
        <v>190</v>
      </c>
      <c r="J220" s="23">
        <f t="shared" si="41"/>
        <v>18.242699999999999</v>
      </c>
      <c r="K220" s="23">
        <f t="shared" si="42"/>
        <v>14.9339</v>
      </c>
      <c r="L220" s="23">
        <f t="shared" si="43"/>
        <v>7.1791999999999998</v>
      </c>
      <c r="M220" s="23">
        <f t="shared" si="44"/>
        <v>5.2808000000000002</v>
      </c>
      <c r="N220" s="23">
        <f t="shared" si="45"/>
        <v>40.355800000000002</v>
      </c>
      <c r="O220" s="23">
        <f t="shared" si="46"/>
        <v>45.636600000000001</v>
      </c>
      <c r="P220">
        <v>1</v>
      </c>
      <c r="Q220">
        <f t="shared" si="47"/>
        <v>1</v>
      </c>
      <c r="R220">
        <f t="shared" si="48"/>
        <v>1</v>
      </c>
      <c r="S220">
        <f t="shared" si="49"/>
        <v>0</v>
      </c>
      <c r="V220" t="s">
        <v>1046</v>
      </c>
      <c r="X220" t="s">
        <v>516</v>
      </c>
    </row>
    <row r="221" spans="1:24">
      <c r="A221">
        <v>220</v>
      </c>
      <c r="B221" s="12" t="s">
        <v>297</v>
      </c>
      <c r="C221" s="79">
        <v>70</v>
      </c>
      <c r="D221" s="79">
        <v>100</v>
      </c>
      <c r="E221" s="79">
        <v>30</v>
      </c>
      <c r="F221" s="79">
        <v>50</v>
      </c>
      <c r="G221" s="23">
        <f t="shared" si="38"/>
        <v>200</v>
      </c>
      <c r="H221" s="23">
        <f t="shared" si="40"/>
        <v>66.666666666666671</v>
      </c>
      <c r="I221" s="23">
        <f t="shared" si="39"/>
        <v>250</v>
      </c>
      <c r="J221" s="23">
        <f t="shared" si="41"/>
        <v>26.005500000000001</v>
      </c>
      <c r="K221" s="23">
        <f t="shared" si="42"/>
        <v>59.066299999999998</v>
      </c>
      <c r="L221" s="23">
        <f t="shared" si="43"/>
        <v>3.7044000000000001</v>
      </c>
      <c r="M221" s="23">
        <f t="shared" si="44"/>
        <v>11.994199999999999</v>
      </c>
      <c r="N221" s="23">
        <f t="shared" si="45"/>
        <v>88.776200000000003</v>
      </c>
      <c r="O221" s="23">
        <f t="shared" si="46"/>
        <v>100.7704</v>
      </c>
      <c r="P221">
        <v>1</v>
      </c>
      <c r="Q221">
        <f t="shared" si="47"/>
        <v>2</v>
      </c>
      <c r="R221">
        <f t="shared" si="48"/>
        <v>2</v>
      </c>
      <c r="S221">
        <f t="shared" si="49"/>
        <v>0</v>
      </c>
      <c r="V221" t="s">
        <v>1046</v>
      </c>
      <c r="X221" t="s">
        <v>518</v>
      </c>
    </row>
    <row r="222" spans="1:24">
      <c r="A222">
        <v>221</v>
      </c>
      <c r="B222" s="12" t="s">
        <v>523</v>
      </c>
      <c r="C222" s="79">
        <v>45</v>
      </c>
      <c r="D222" s="79">
        <v>35</v>
      </c>
      <c r="E222" s="79">
        <v>75</v>
      </c>
      <c r="F222" s="79">
        <v>70</v>
      </c>
      <c r="G222" s="23">
        <f t="shared" si="38"/>
        <v>155</v>
      </c>
      <c r="H222" s="23">
        <f t="shared" si="40"/>
        <v>51.666666666666664</v>
      </c>
      <c r="I222" s="23">
        <f t="shared" si="39"/>
        <v>225</v>
      </c>
      <c r="J222" s="23">
        <f t="shared" si="41"/>
        <v>9.4130000000000003</v>
      </c>
      <c r="K222" s="23">
        <f t="shared" si="42"/>
        <v>5.2808000000000002</v>
      </c>
      <c r="L222" s="23">
        <f t="shared" si="43"/>
        <v>30.477599999999999</v>
      </c>
      <c r="M222" s="23">
        <f t="shared" si="44"/>
        <v>26.005500000000001</v>
      </c>
      <c r="N222" s="23">
        <f t="shared" si="45"/>
        <v>45.171399999999998</v>
      </c>
      <c r="O222" s="23">
        <f t="shared" si="46"/>
        <v>71.176900000000003</v>
      </c>
      <c r="P222">
        <v>1</v>
      </c>
      <c r="Q222">
        <f t="shared" si="47"/>
        <v>2</v>
      </c>
      <c r="R222">
        <f t="shared" si="48"/>
        <v>2</v>
      </c>
      <c r="S222">
        <f t="shared" si="49"/>
        <v>0</v>
      </c>
      <c r="V222" t="s">
        <v>1046</v>
      </c>
      <c r="X222" t="s">
        <v>524</v>
      </c>
    </row>
    <row r="223" spans="1:24">
      <c r="A223">
        <v>222</v>
      </c>
      <c r="B223" s="12" t="s">
        <v>510</v>
      </c>
      <c r="C223" s="79">
        <v>65</v>
      </c>
      <c r="D223" s="79">
        <v>40</v>
      </c>
      <c r="E223" s="79">
        <v>55</v>
      </c>
      <c r="F223" s="79">
        <v>50</v>
      </c>
      <c r="G223" s="23">
        <f t="shared" ref="G223:G238" si="50">SUM(C223:E223)</f>
        <v>160</v>
      </c>
      <c r="H223" s="23">
        <f t="shared" si="40"/>
        <v>53.333333333333336</v>
      </c>
      <c r="I223" s="23">
        <f t="shared" ref="I223:I238" si="51">SUM(C223:F223)</f>
        <v>210</v>
      </c>
      <c r="J223" s="23">
        <f t="shared" si="41"/>
        <v>21.930099999999999</v>
      </c>
      <c r="K223" s="23">
        <f t="shared" si="42"/>
        <v>7.1791999999999998</v>
      </c>
      <c r="L223" s="23">
        <f t="shared" si="43"/>
        <v>14.9339</v>
      </c>
      <c r="M223" s="23">
        <f t="shared" si="44"/>
        <v>11.994199999999999</v>
      </c>
      <c r="N223" s="23">
        <f t="shared" si="45"/>
        <v>44.043199999999999</v>
      </c>
      <c r="O223" s="23">
        <f t="shared" si="46"/>
        <v>56.037399999999998</v>
      </c>
      <c r="P223">
        <v>1</v>
      </c>
      <c r="Q223">
        <f t="shared" si="47"/>
        <v>1</v>
      </c>
      <c r="R223">
        <f t="shared" si="48"/>
        <v>1</v>
      </c>
      <c r="S223">
        <f t="shared" si="49"/>
        <v>0</v>
      </c>
      <c r="V223" t="s">
        <v>1046</v>
      </c>
      <c r="X223" t="s">
        <v>515</v>
      </c>
    </row>
    <row r="224" spans="1:24">
      <c r="A224">
        <v>223</v>
      </c>
      <c r="B224" s="12" t="s">
        <v>512</v>
      </c>
      <c r="C224" s="79">
        <v>60</v>
      </c>
      <c r="D224" s="79">
        <v>40</v>
      </c>
      <c r="E224" s="79">
        <v>45</v>
      </c>
      <c r="F224" s="79">
        <v>50</v>
      </c>
      <c r="G224" s="23">
        <f t="shared" si="50"/>
        <v>145</v>
      </c>
      <c r="H224" s="23">
        <f t="shared" si="40"/>
        <v>48.333333333333336</v>
      </c>
      <c r="I224" s="23">
        <f t="shared" si="51"/>
        <v>195</v>
      </c>
      <c r="J224" s="23">
        <f t="shared" si="41"/>
        <v>18.242699999999999</v>
      </c>
      <c r="K224" s="23">
        <f t="shared" si="42"/>
        <v>7.1791999999999998</v>
      </c>
      <c r="L224" s="23">
        <f t="shared" si="43"/>
        <v>9.4130000000000003</v>
      </c>
      <c r="M224" s="23">
        <f t="shared" si="44"/>
        <v>11.994199999999999</v>
      </c>
      <c r="N224" s="23">
        <f t="shared" si="45"/>
        <v>34.834900000000005</v>
      </c>
      <c r="O224" s="23">
        <f t="shared" si="46"/>
        <v>46.829100000000004</v>
      </c>
      <c r="P224">
        <v>1</v>
      </c>
      <c r="Q224">
        <f t="shared" si="47"/>
        <v>1</v>
      </c>
      <c r="R224">
        <f t="shared" si="48"/>
        <v>1</v>
      </c>
      <c r="S224">
        <f t="shared" si="49"/>
        <v>0</v>
      </c>
      <c r="V224" t="s">
        <v>1046</v>
      </c>
      <c r="X224" t="s">
        <v>517</v>
      </c>
    </row>
    <row r="225" spans="1:24">
      <c r="A225">
        <v>224</v>
      </c>
      <c r="B225" s="12" t="s">
        <v>513</v>
      </c>
      <c r="C225" s="79">
        <v>80</v>
      </c>
      <c r="D225" s="79">
        <v>90</v>
      </c>
      <c r="E225" s="79">
        <v>45</v>
      </c>
      <c r="F225" s="79">
        <v>55</v>
      </c>
      <c r="G225" s="23">
        <f t="shared" si="50"/>
        <v>215</v>
      </c>
      <c r="H225" s="23">
        <f t="shared" si="40"/>
        <v>71.666666666666671</v>
      </c>
      <c r="I225" s="23">
        <f t="shared" si="51"/>
        <v>270</v>
      </c>
      <c r="J225" s="23">
        <f t="shared" si="41"/>
        <v>35.354700000000001</v>
      </c>
      <c r="K225" s="23">
        <f t="shared" si="42"/>
        <v>46.3551</v>
      </c>
      <c r="L225" s="23">
        <f t="shared" si="43"/>
        <v>9.4130000000000003</v>
      </c>
      <c r="M225" s="23">
        <f t="shared" si="44"/>
        <v>14.9339</v>
      </c>
      <c r="N225" s="23">
        <f t="shared" si="45"/>
        <v>91.122799999999998</v>
      </c>
      <c r="O225" s="23">
        <f t="shared" si="46"/>
        <v>106.05669999999999</v>
      </c>
      <c r="P225">
        <v>1</v>
      </c>
      <c r="Q225">
        <f t="shared" si="47"/>
        <v>3</v>
      </c>
      <c r="R225">
        <f t="shared" si="48"/>
        <v>2</v>
      </c>
      <c r="S225">
        <f t="shared" si="49"/>
        <v>-1</v>
      </c>
      <c r="V225" t="s">
        <v>1046</v>
      </c>
      <c r="X225" t="s">
        <v>519</v>
      </c>
    </row>
    <row r="226" spans="1:24">
      <c r="A226">
        <v>225</v>
      </c>
      <c r="B226" s="12" t="s">
        <v>521</v>
      </c>
      <c r="C226" s="79">
        <v>50</v>
      </c>
      <c r="D226" s="79">
        <v>40</v>
      </c>
      <c r="E226" s="79">
        <v>70</v>
      </c>
      <c r="F226" s="79">
        <v>75</v>
      </c>
      <c r="G226" s="23">
        <f t="shared" si="50"/>
        <v>160</v>
      </c>
      <c r="H226" s="23">
        <f t="shared" si="40"/>
        <v>53.333333333333336</v>
      </c>
      <c r="I226" s="23">
        <f t="shared" si="51"/>
        <v>235</v>
      </c>
      <c r="J226" s="23">
        <f t="shared" si="41"/>
        <v>11.994199999999999</v>
      </c>
      <c r="K226" s="23">
        <f t="shared" si="42"/>
        <v>7.1791999999999998</v>
      </c>
      <c r="L226" s="23">
        <f t="shared" si="43"/>
        <v>26.005500000000001</v>
      </c>
      <c r="M226" s="23">
        <f t="shared" si="44"/>
        <v>30.477599999999999</v>
      </c>
      <c r="N226" s="23">
        <f t="shared" si="45"/>
        <v>45.178899999999999</v>
      </c>
      <c r="O226" s="23">
        <f t="shared" si="46"/>
        <v>75.656499999999994</v>
      </c>
      <c r="P226">
        <v>1</v>
      </c>
      <c r="Q226">
        <f t="shared" si="47"/>
        <v>2</v>
      </c>
      <c r="R226">
        <f t="shared" si="48"/>
        <v>2</v>
      </c>
      <c r="S226">
        <f t="shared" si="49"/>
        <v>0</v>
      </c>
      <c r="V226" t="s">
        <v>1046</v>
      </c>
      <c r="X226" t="s">
        <v>522</v>
      </c>
    </row>
    <row r="227" spans="1:24">
      <c r="A227">
        <v>226</v>
      </c>
      <c r="B227" s="12" t="s">
        <v>514</v>
      </c>
      <c r="C227" s="79">
        <v>70</v>
      </c>
      <c r="D227" s="79">
        <v>85</v>
      </c>
      <c r="E227" s="79">
        <v>45</v>
      </c>
      <c r="F227" s="79">
        <v>50</v>
      </c>
      <c r="G227" s="23">
        <f t="shared" si="50"/>
        <v>200</v>
      </c>
      <c r="H227" s="23">
        <f t="shared" si="40"/>
        <v>66.666666666666671</v>
      </c>
      <c r="I227" s="23">
        <f t="shared" si="51"/>
        <v>250</v>
      </c>
      <c r="J227" s="23">
        <f t="shared" si="41"/>
        <v>26.005500000000001</v>
      </c>
      <c r="K227" s="23">
        <f t="shared" si="42"/>
        <v>40.6447</v>
      </c>
      <c r="L227" s="23">
        <f t="shared" si="43"/>
        <v>9.4130000000000003</v>
      </c>
      <c r="M227" s="23">
        <f t="shared" si="44"/>
        <v>11.994199999999999</v>
      </c>
      <c r="N227" s="23">
        <f t="shared" si="45"/>
        <v>76.063199999999995</v>
      </c>
      <c r="O227" s="23">
        <f t="shared" si="46"/>
        <v>88.057400000000001</v>
      </c>
      <c r="P227">
        <v>1</v>
      </c>
      <c r="Q227">
        <f t="shared" si="47"/>
        <v>2</v>
      </c>
      <c r="R227">
        <f t="shared" si="48"/>
        <v>2</v>
      </c>
      <c r="S227">
        <f t="shared" si="49"/>
        <v>0</v>
      </c>
      <c r="V227" t="s">
        <v>1046</v>
      </c>
      <c r="X227" t="s">
        <v>520</v>
      </c>
    </row>
    <row r="228" spans="1:24">
      <c r="A228">
        <v>227</v>
      </c>
      <c r="B228" s="12" t="s">
        <v>301</v>
      </c>
      <c r="C228" s="79">
        <v>35</v>
      </c>
      <c r="D228" s="79">
        <v>30</v>
      </c>
      <c r="E228" s="79">
        <v>95</v>
      </c>
      <c r="F228" s="79">
        <v>75</v>
      </c>
      <c r="G228" s="23">
        <f t="shared" si="50"/>
        <v>160</v>
      </c>
      <c r="H228" s="23">
        <f t="shared" si="40"/>
        <v>53.333333333333336</v>
      </c>
      <c r="I228" s="23">
        <f t="shared" si="51"/>
        <v>235</v>
      </c>
      <c r="J228" s="23">
        <f t="shared" si="41"/>
        <v>5.2808000000000002</v>
      </c>
      <c r="K228" s="23">
        <f t="shared" si="42"/>
        <v>3.7044000000000001</v>
      </c>
      <c r="L228" s="23">
        <f t="shared" si="43"/>
        <v>52.493400000000001</v>
      </c>
      <c r="M228" s="23">
        <f t="shared" si="44"/>
        <v>30.477599999999999</v>
      </c>
      <c r="N228" s="23">
        <f t="shared" si="45"/>
        <v>61.4786</v>
      </c>
      <c r="O228" s="23">
        <f t="shared" si="46"/>
        <v>91.956199999999995</v>
      </c>
      <c r="P228">
        <v>1</v>
      </c>
      <c r="Q228">
        <f t="shared" si="47"/>
        <v>2</v>
      </c>
      <c r="R228">
        <f t="shared" si="48"/>
        <v>2</v>
      </c>
      <c r="S228">
        <f t="shared" si="49"/>
        <v>0</v>
      </c>
      <c r="V228" t="s">
        <v>1046</v>
      </c>
      <c r="X228" t="s">
        <v>302</v>
      </c>
    </row>
    <row r="229" spans="1:24">
      <c r="A229">
        <v>228</v>
      </c>
      <c r="B229" s="12" t="s">
        <v>561</v>
      </c>
      <c r="C229" s="79">
        <v>90</v>
      </c>
      <c r="D229" s="79">
        <v>100</v>
      </c>
      <c r="E229" s="79">
        <v>45</v>
      </c>
      <c r="F229" s="79">
        <v>70</v>
      </c>
      <c r="G229" s="23">
        <f t="shared" si="50"/>
        <v>235</v>
      </c>
      <c r="H229" s="23">
        <f t="shared" si="40"/>
        <v>78.333333333333329</v>
      </c>
      <c r="I229" s="23">
        <f t="shared" si="51"/>
        <v>305</v>
      </c>
      <c r="J229" s="23">
        <f t="shared" si="41"/>
        <v>46.3551</v>
      </c>
      <c r="K229" s="23">
        <f t="shared" si="42"/>
        <v>59.066299999999998</v>
      </c>
      <c r="L229" s="23">
        <f t="shared" si="43"/>
        <v>9.4130000000000003</v>
      </c>
      <c r="M229" s="23">
        <f t="shared" si="44"/>
        <v>26.005500000000001</v>
      </c>
      <c r="N229" s="23">
        <f t="shared" si="45"/>
        <v>114.8344</v>
      </c>
      <c r="O229" s="23">
        <f t="shared" si="46"/>
        <v>140.8399</v>
      </c>
      <c r="P229">
        <v>1</v>
      </c>
      <c r="Q229">
        <f t="shared" si="47"/>
        <v>3</v>
      </c>
      <c r="R229">
        <f t="shared" si="48"/>
        <v>3</v>
      </c>
      <c r="S229">
        <f t="shared" si="49"/>
        <v>0</v>
      </c>
      <c r="V229" t="s">
        <v>1046</v>
      </c>
      <c r="X229" t="s">
        <v>562</v>
      </c>
    </row>
    <row r="230" spans="1:24">
      <c r="A230">
        <v>229</v>
      </c>
      <c r="B230" s="12" t="s">
        <v>587</v>
      </c>
      <c r="C230" s="79">
        <v>65</v>
      </c>
      <c r="D230" s="79">
        <v>70</v>
      </c>
      <c r="E230" s="79">
        <v>40</v>
      </c>
      <c r="F230" s="79">
        <v>40</v>
      </c>
      <c r="G230" s="23">
        <f t="shared" si="50"/>
        <v>175</v>
      </c>
      <c r="H230" s="23">
        <f t="shared" si="40"/>
        <v>58.333333333333336</v>
      </c>
      <c r="I230" s="23">
        <f t="shared" si="51"/>
        <v>215</v>
      </c>
      <c r="J230" s="23">
        <f t="shared" si="41"/>
        <v>21.930099999999999</v>
      </c>
      <c r="K230" s="23">
        <f t="shared" si="42"/>
        <v>26.005500000000001</v>
      </c>
      <c r="L230" s="23">
        <f t="shared" si="43"/>
        <v>7.1791999999999998</v>
      </c>
      <c r="M230" s="23">
        <f t="shared" si="44"/>
        <v>7.1791999999999998</v>
      </c>
      <c r="N230" s="23">
        <f t="shared" si="45"/>
        <v>55.114800000000002</v>
      </c>
      <c r="O230" s="23">
        <f t="shared" si="46"/>
        <v>62.294000000000004</v>
      </c>
      <c r="P230">
        <v>1</v>
      </c>
      <c r="Q230">
        <f t="shared" si="47"/>
        <v>2</v>
      </c>
      <c r="R230">
        <f t="shared" si="48"/>
        <v>2</v>
      </c>
      <c r="S230">
        <f t="shared" si="49"/>
        <v>0</v>
      </c>
      <c r="V230" t="s">
        <v>1046</v>
      </c>
    </row>
    <row r="231" spans="1:24">
      <c r="A231">
        <v>230</v>
      </c>
      <c r="B231" s="12" t="s">
        <v>586</v>
      </c>
      <c r="C231" s="79">
        <v>70</v>
      </c>
      <c r="D231" s="79">
        <v>80</v>
      </c>
      <c r="E231" s="79">
        <v>45</v>
      </c>
      <c r="F231" s="79">
        <v>50</v>
      </c>
      <c r="G231" s="23">
        <f t="shared" si="50"/>
        <v>195</v>
      </c>
      <c r="H231" s="23">
        <f t="shared" si="40"/>
        <v>65</v>
      </c>
      <c r="I231" s="23">
        <f t="shared" si="51"/>
        <v>245</v>
      </c>
      <c r="J231" s="23">
        <f t="shared" si="41"/>
        <v>26.005500000000001</v>
      </c>
      <c r="K231" s="23">
        <f t="shared" si="42"/>
        <v>35.354700000000001</v>
      </c>
      <c r="L231" s="23">
        <f t="shared" si="43"/>
        <v>9.4130000000000003</v>
      </c>
      <c r="M231" s="23">
        <f t="shared" si="44"/>
        <v>11.994199999999999</v>
      </c>
      <c r="N231" s="23">
        <f t="shared" si="45"/>
        <v>70.773200000000003</v>
      </c>
      <c r="O231" s="23">
        <f t="shared" si="46"/>
        <v>82.767400000000009</v>
      </c>
      <c r="P231">
        <v>1</v>
      </c>
      <c r="Q231">
        <f t="shared" si="47"/>
        <v>2</v>
      </c>
      <c r="R231">
        <f t="shared" si="48"/>
        <v>2</v>
      </c>
      <c r="S231">
        <f t="shared" si="49"/>
        <v>0</v>
      </c>
      <c r="V231" t="s">
        <v>1046</v>
      </c>
    </row>
    <row r="232" spans="1:24">
      <c r="A232">
        <v>231</v>
      </c>
      <c r="B232" s="12" t="s">
        <v>697</v>
      </c>
      <c r="C232" s="79">
        <v>90</v>
      </c>
      <c r="D232" s="79">
        <v>55</v>
      </c>
      <c r="E232" s="79">
        <v>80</v>
      </c>
      <c r="F232" s="79">
        <v>90</v>
      </c>
      <c r="G232" s="23">
        <f t="shared" si="50"/>
        <v>225</v>
      </c>
      <c r="H232" s="23">
        <f t="shared" si="40"/>
        <v>75</v>
      </c>
      <c r="I232" s="23">
        <f t="shared" si="51"/>
        <v>315</v>
      </c>
      <c r="J232" s="23">
        <f t="shared" si="41"/>
        <v>46.3551</v>
      </c>
      <c r="K232" s="23">
        <f t="shared" si="42"/>
        <v>14.9339</v>
      </c>
      <c r="L232" s="23">
        <f t="shared" si="43"/>
        <v>35.354700000000001</v>
      </c>
      <c r="M232" s="23">
        <f t="shared" si="44"/>
        <v>46.3551</v>
      </c>
      <c r="N232" s="23">
        <f t="shared" si="45"/>
        <v>96.643699999999995</v>
      </c>
      <c r="O232" s="23">
        <f t="shared" si="46"/>
        <v>142.99879999999999</v>
      </c>
      <c r="P232">
        <v>1</v>
      </c>
      <c r="Q232">
        <f t="shared" si="47"/>
        <v>3</v>
      </c>
      <c r="R232">
        <f t="shared" si="48"/>
        <v>3</v>
      </c>
      <c r="S232">
        <f t="shared" si="49"/>
        <v>0</v>
      </c>
      <c r="V232" t="s">
        <v>1046</v>
      </c>
    </row>
    <row r="233" spans="1:24">
      <c r="A233">
        <v>232</v>
      </c>
      <c r="B233" s="12" t="s">
        <v>594</v>
      </c>
      <c r="C233" s="79">
        <v>65</v>
      </c>
      <c r="D233" s="79">
        <v>70</v>
      </c>
      <c r="E233" s="79">
        <v>55</v>
      </c>
      <c r="F233" s="79">
        <v>60</v>
      </c>
      <c r="G233" s="23">
        <f t="shared" si="50"/>
        <v>190</v>
      </c>
      <c r="H233" s="23">
        <f t="shared" si="40"/>
        <v>63.333333333333336</v>
      </c>
      <c r="I233" s="23">
        <f t="shared" si="51"/>
        <v>250</v>
      </c>
      <c r="J233" s="23">
        <f t="shared" si="41"/>
        <v>21.930099999999999</v>
      </c>
      <c r="K233" s="23">
        <f t="shared" si="42"/>
        <v>26.005500000000001</v>
      </c>
      <c r="L233" s="23">
        <f t="shared" si="43"/>
        <v>14.9339</v>
      </c>
      <c r="M233" s="23">
        <f t="shared" si="44"/>
        <v>18.242699999999999</v>
      </c>
      <c r="N233" s="23">
        <f t="shared" si="45"/>
        <v>62.869500000000002</v>
      </c>
      <c r="O233" s="23">
        <f t="shared" si="46"/>
        <v>81.112200000000001</v>
      </c>
      <c r="P233">
        <v>1</v>
      </c>
      <c r="Q233">
        <f t="shared" si="47"/>
        <v>2</v>
      </c>
      <c r="R233">
        <f t="shared" si="48"/>
        <v>2</v>
      </c>
      <c r="S233">
        <f t="shared" si="49"/>
        <v>0</v>
      </c>
      <c r="V233" t="s">
        <v>1046</v>
      </c>
    </row>
    <row r="234" spans="1:24">
      <c r="A234">
        <v>233</v>
      </c>
      <c r="B234" s="12" t="s">
        <v>592</v>
      </c>
      <c r="C234" s="79">
        <v>35</v>
      </c>
      <c r="D234" s="79">
        <v>40</v>
      </c>
      <c r="E234" s="79">
        <v>60</v>
      </c>
      <c r="F234" s="79">
        <v>70</v>
      </c>
      <c r="G234" s="23">
        <f t="shared" si="50"/>
        <v>135</v>
      </c>
      <c r="H234" s="23">
        <f t="shared" si="40"/>
        <v>45</v>
      </c>
      <c r="I234" s="23">
        <f t="shared" si="51"/>
        <v>205</v>
      </c>
      <c r="J234" s="23">
        <f t="shared" si="41"/>
        <v>5.2808000000000002</v>
      </c>
      <c r="K234" s="23">
        <f t="shared" si="42"/>
        <v>7.1791999999999998</v>
      </c>
      <c r="L234" s="23">
        <f t="shared" si="43"/>
        <v>18.242699999999999</v>
      </c>
      <c r="M234" s="23">
        <f t="shared" si="44"/>
        <v>26.005500000000001</v>
      </c>
      <c r="N234" s="23">
        <f t="shared" si="45"/>
        <v>30.7027</v>
      </c>
      <c r="O234" s="23">
        <f t="shared" si="46"/>
        <v>56.708200000000005</v>
      </c>
      <c r="P234">
        <v>1</v>
      </c>
      <c r="Q234">
        <f t="shared" si="47"/>
        <v>1</v>
      </c>
      <c r="R234">
        <f t="shared" si="48"/>
        <v>1</v>
      </c>
      <c r="S234">
        <f t="shared" si="49"/>
        <v>0</v>
      </c>
      <c r="V234" t="s">
        <v>1046</v>
      </c>
    </row>
    <row r="235" spans="1:24">
      <c r="A235">
        <v>234</v>
      </c>
      <c r="B235" s="12" t="s">
        <v>593</v>
      </c>
      <c r="C235" s="79">
        <v>40</v>
      </c>
      <c r="D235" s="79">
        <v>35</v>
      </c>
      <c r="E235" s="79">
        <v>60</v>
      </c>
      <c r="F235" s="79">
        <v>70</v>
      </c>
      <c r="G235" s="23">
        <f t="shared" si="50"/>
        <v>135</v>
      </c>
      <c r="H235" s="23">
        <f t="shared" si="40"/>
        <v>45</v>
      </c>
      <c r="I235" s="23">
        <f t="shared" si="51"/>
        <v>205</v>
      </c>
      <c r="J235" s="23">
        <f t="shared" si="41"/>
        <v>7.1791999999999998</v>
      </c>
      <c r="K235" s="23">
        <f t="shared" si="42"/>
        <v>5.2808000000000002</v>
      </c>
      <c r="L235" s="23">
        <f t="shared" si="43"/>
        <v>18.242699999999999</v>
      </c>
      <c r="M235" s="23">
        <f t="shared" si="44"/>
        <v>26.005500000000001</v>
      </c>
      <c r="N235" s="23">
        <f t="shared" si="45"/>
        <v>30.7027</v>
      </c>
      <c r="O235" s="23">
        <f t="shared" si="46"/>
        <v>56.708200000000005</v>
      </c>
      <c r="P235">
        <v>1</v>
      </c>
      <c r="Q235">
        <f t="shared" si="47"/>
        <v>1</v>
      </c>
      <c r="R235">
        <f t="shared" si="48"/>
        <v>1</v>
      </c>
      <c r="S235">
        <f t="shared" si="49"/>
        <v>0</v>
      </c>
      <c r="V235" t="s">
        <v>1046</v>
      </c>
    </row>
    <row r="236" spans="1:24">
      <c r="A236">
        <v>235</v>
      </c>
      <c r="B236" s="12" t="s">
        <v>693</v>
      </c>
      <c r="C236" s="79">
        <v>95</v>
      </c>
      <c r="D236" s="79">
        <v>30</v>
      </c>
      <c r="E236" s="79">
        <v>100</v>
      </c>
      <c r="F236" s="79">
        <v>135</v>
      </c>
      <c r="G236" s="23">
        <f t="shared" si="50"/>
        <v>225</v>
      </c>
      <c r="H236" s="23">
        <f t="shared" si="40"/>
        <v>75</v>
      </c>
      <c r="I236" s="23">
        <f t="shared" si="51"/>
        <v>360</v>
      </c>
      <c r="J236" s="23">
        <f t="shared" si="41"/>
        <v>52.493400000000001</v>
      </c>
      <c r="K236" s="23">
        <f t="shared" si="42"/>
        <v>3.7044000000000001</v>
      </c>
      <c r="L236" s="23">
        <f t="shared" si="43"/>
        <v>59.066299999999998</v>
      </c>
      <c r="M236" s="23">
        <f t="shared" si="44"/>
        <v>117.7898</v>
      </c>
      <c r="N236" s="23">
        <f t="shared" si="45"/>
        <v>115.2641</v>
      </c>
      <c r="O236" s="23">
        <f t="shared" si="46"/>
        <v>233.0539</v>
      </c>
      <c r="P236">
        <v>1</v>
      </c>
      <c r="Q236">
        <f t="shared" si="47"/>
        <v>3</v>
      </c>
      <c r="R236">
        <f t="shared" si="48"/>
        <v>4</v>
      </c>
      <c r="S236">
        <f t="shared" si="49"/>
        <v>1</v>
      </c>
      <c r="V236" t="s">
        <v>1046</v>
      </c>
    </row>
    <row r="237" spans="1:24">
      <c r="A237">
        <v>236</v>
      </c>
      <c r="B237" s="12" t="s">
        <v>691</v>
      </c>
      <c r="C237" s="79">
        <v>60</v>
      </c>
      <c r="D237" s="79">
        <v>75</v>
      </c>
      <c r="E237" s="79">
        <v>35</v>
      </c>
      <c r="F237" s="79">
        <v>30</v>
      </c>
      <c r="G237" s="23">
        <f t="shared" si="50"/>
        <v>170</v>
      </c>
      <c r="H237" s="23">
        <f t="shared" si="40"/>
        <v>56.666666666666664</v>
      </c>
      <c r="I237" s="23">
        <f t="shared" si="51"/>
        <v>200</v>
      </c>
      <c r="J237" s="23">
        <f t="shared" si="41"/>
        <v>18.242699999999999</v>
      </c>
      <c r="K237" s="23">
        <f t="shared" si="42"/>
        <v>30.477599999999999</v>
      </c>
      <c r="L237" s="23">
        <f t="shared" si="43"/>
        <v>5.2808000000000002</v>
      </c>
      <c r="M237" s="23">
        <f t="shared" si="44"/>
        <v>3.7044000000000001</v>
      </c>
      <c r="N237" s="23">
        <f t="shared" si="45"/>
        <v>54.001099999999994</v>
      </c>
      <c r="O237" s="23">
        <f t="shared" si="46"/>
        <v>57.705499999999994</v>
      </c>
      <c r="P237">
        <v>1</v>
      </c>
      <c r="Q237">
        <f t="shared" si="47"/>
        <v>2</v>
      </c>
      <c r="R237">
        <f t="shared" si="48"/>
        <v>1</v>
      </c>
      <c r="S237">
        <f t="shared" si="49"/>
        <v>-1</v>
      </c>
      <c r="V237" t="s">
        <v>1046</v>
      </c>
      <c r="X237" t="s">
        <v>692</v>
      </c>
    </row>
    <row r="238" spans="1:24">
      <c r="A238">
        <v>237</v>
      </c>
      <c r="B238" s="12" t="s">
        <v>652</v>
      </c>
      <c r="C238" s="79">
        <v>35</v>
      </c>
      <c r="D238" s="79">
        <v>45</v>
      </c>
      <c r="E238" s="79">
        <v>75</v>
      </c>
      <c r="F238" s="79">
        <v>90</v>
      </c>
      <c r="G238" s="23">
        <f t="shared" si="50"/>
        <v>155</v>
      </c>
      <c r="H238" s="23">
        <f t="shared" si="40"/>
        <v>51.666666666666664</v>
      </c>
      <c r="I238" s="23">
        <f t="shared" si="51"/>
        <v>245</v>
      </c>
      <c r="J238" s="23">
        <f t="shared" si="41"/>
        <v>5.2808000000000002</v>
      </c>
      <c r="K238" s="23">
        <f t="shared" si="42"/>
        <v>9.4130000000000003</v>
      </c>
      <c r="L238" s="23">
        <f t="shared" si="43"/>
        <v>30.477599999999999</v>
      </c>
      <c r="M238" s="23">
        <f t="shared" si="44"/>
        <v>46.3551</v>
      </c>
      <c r="N238" s="23">
        <f t="shared" si="45"/>
        <v>45.171399999999998</v>
      </c>
      <c r="O238" s="23">
        <f t="shared" si="46"/>
        <v>91.526499999999999</v>
      </c>
      <c r="P238">
        <v>1</v>
      </c>
      <c r="Q238">
        <f t="shared" si="47"/>
        <v>2</v>
      </c>
      <c r="R238">
        <f t="shared" si="48"/>
        <v>2</v>
      </c>
      <c r="S238">
        <f t="shared" si="49"/>
        <v>0</v>
      </c>
      <c r="V238" t="s">
        <v>1046</v>
      </c>
    </row>
    <row r="239" spans="1:24">
      <c r="A239">
        <v>238</v>
      </c>
      <c r="B239" s="12" t="s">
        <v>701</v>
      </c>
      <c r="C239" s="79">
        <v>85</v>
      </c>
      <c r="D239" s="79">
        <v>90</v>
      </c>
      <c r="E239" s="79">
        <v>60</v>
      </c>
      <c r="F239" s="79">
        <v>60</v>
      </c>
      <c r="G239" s="23">
        <f t="shared" ref="G239:G283" si="52">SUM(C239:E239)</f>
        <v>235</v>
      </c>
      <c r="H239" s="23">
        <f t="shared" si="40"/>
        <v>78.333333333333329</v>
      </c>
      <c r="I239" s="23">
        <f t="shared" ref="I239:I283" si="53">SUM(C239:F239)</f>
        <v>295</v>
      </c>
      <c r="J239" s="23">
        <f t="shared" si="41"/>
        <v>40.6447</v>
      </c>
      <c r="K239" s="23">
        <f t="shared" si="42"/>
        <v>46.3551</v>
      </c>
      <c r="L239" s="23">
        <f t="shared" si="43"/>
        <v>18.242699999999999</v>
      </c>
      <c r="M239" s="23">
        <f t="shared" si="44"/>
        <v>18.242699999999999</v>
      </c>
      <c r="N239" s="23">
        <f t="shared" si="45"/>
        <v>105.24249999999999</v>
      </c>
      <c r="O239" s="23">
        <f t="shared" si="46"/>
        <v>123.48519999999999</v>
      </c>
      <c r="P239">
        <v>1</v>
      </c>
      <c r="Q239">
        <f t="shared" si="47"/>
        <v>3</v>
      </c>
      <c r="R239">
        <f t="shared" si="48"/>
        <v>3</v>
      </c>
      <c r="S239">
        <f t="shared" si="49"/>
        <v>0</v>
      </c>
      <c r="V239" t="s">
        <v>312</v>
      </c>
      <c r="X239" t="s">
        <v>702</v>
      </c>
    </row>
    <row r="240" spans="1:24">
      <c r="A240">
        <v>239</v>
      </c>
      <c r="B240" s="12" t="s">
        <v>747</v>
      </c>
      <c r="C240" s="79">
        <v>80</v>
      </c>
      <c r="D240" s="79">
        <v>70</v>
      </c>
      <c r="E240" s="79">
        <v>75</v>
      </c>
      <c r="F240" s="79">
        <v>70</v>
      </c>
      <c r="G240" s="23">
        <f t="shared" si="52"/>
        <v>225</v>
      </c>
      <c r="H240" s="23">
        <f t="shared" si="40"/>
        <v>75</v>
      </c>
      <c r="I240" s="23">
        <f t="shared" si="53"/>
        <v>295</v>
      </c>
      <c r="J240" s="23">
        <f t="shared" si="41"/>
        <v>35.354700000000001</v>
      </c>
      <c r="K240" s="23">
        <f t="shared" si="42"/>
        <v>26.005500000000001</v>
      </c>
      <c r="L240" s="23">
        <f t="shared" si="43"/>
        <v>30.477599999999999</v>
      </c>
      <c r="M240" s="23">
        <f t="shared" si="44"/>
        <v>26.005500000000001</v>
      </c>
      <c r="N240" s="23">
        <f t="shared" si="45"/>
        <v>91.837800000000001</v>
      </c>
      <c r="O240" s="23">
        <f t="shared" si="46"/>
        <v>117.8433</v>
      </c>
      <c r="P240">
        <v>1</v>
      </c>
      <c r="Q240">
        <f t="shared" si="47"/>
        <v>3</v>
      </c>
      <c r="R240">
        <f t="shared" si="48"/>
        <v>2</v>
      </c>
      <c r="S240">
        <f t="shared" si="49"/>
        <v>-1</v>
      </c>
      <c r="V240" t="s">
        <v>312</v>
      </c>
      <c r="X240" t="s">
        <v>748</v>
      </c>
    </row>
    <row r="241" spans="1:24">
      <c r="A241">
        <v>240</v>
      </c>
      <c r="B241" s="12" t="s">
        <v>705</v>
      </c>
      <c r="C241" s="79">
        <v>70</v>
      </c>
      <c r="D241" s="79">
        <v>85</v>
      </c>
      <c r="E241" s="79">
        <v>65</v>
      </c>
      <c r="F241" s="79">
        <v>65</v>
      </c>
      <c r="G241" s="23">
        <f t="shared" si="52"/>
        <v>220</v>
      </c>
      <c r="H241" s="23">
        <f t="shared" si="40"/>
        <v>73.333333333333329</v>
      </c>
      <c r="I241" s="23">
        <f t="shared" si="53"/>
        <v>285</v>
      </c>
      <c r="J241" s="23">
        <f t="shared" si="41"/>
        <v>26.005500000000001</v>
      </c>
      <c r="K241" s="23">
        <f t="shared" si="42"/>
        <v>40.6447</v>
      </c>
      <c r="L241" s="23">
        <f t="shared" si="43"/>
        <v>21.930099999999999</v>
      </c>
      <c r="M241" s="23">
        <f t="shared" si="44"/>
        <v>21.930099999999999</v>
      </c>
      <c r="N241" s="23">
        <f t="shared" si="45"/>
        <v>88.580299999999994</v>
      </c>
      <c r="O241" s="23">
        <f t="shared" si="46"/>
        <v>110.51039999999999</v>
      </c>
      <c r="P241">
        <v>1</v>
      </c>
      <c r="Q241">
        <f t="shared" si="47"/>
        <v>2</v>
      </c>
      <c r="R241">
        <f t="shared" si="48"/>
        <v>2</v>
      </c>
      <c r="S241">
        <f t="shared" si="49"/>
        <v>0</v>
      </c>
      <c r="V241" t="s">
        <v>312</v>
      </c>
      <c r="X241" t="s">
        <v>706</v>
      </c>
    </row>
    <row r="242" spans="1:24">
      <c r="A242">
        <v>241</v>
      </c>
      <c r="B242" s="12" t="s">
        <v>750</v>
      </c>
      <c r="C242" s="79">
        <v>65</v>
      </c>
      <c r="D242" s="79">
        <v>80</v>
      </c>
      <c r="E242" s="79">
        <v>70</v>
      </c>
      <c r="F242" s="79">
        <v>60</v>
      </c>
      <c r="G242" s="23">
        <f t="shared" si="52"/>
        <v>215</v>
      </c>
      <c r="H242" s="23">
        <f t="shared" si="40"/>
        <v>71.666666666666671</v>
      </c>
      <c r="I242" s="23">
        <f t="shared" si="53"/>
        <v>275</v>
      </c>
      <c r="J242" s="23">
        <f t="shared" si="41"/>
        <v>21.930099999999999</v>
      </c>
      <c r="K242" s="23">
        <f t="shared" si="42"/>
        <v>35.354700000000001</v>
      </c>
      <c r="L242" s="23">
        <f t="shared" si="43"/>
        <v>26.005500000000001</v>
      </c>
      <c r="M242" s="23">
        <f t="shared" si="44"/>
        <v>18.242699999999999</v>
      </c>
      <c r="N242" s="23">
        <f t="shared" si="45"/>
        <v>83.290300000000002</v>
      </c>
      <c r="O242" s="23">
        <f t="shared" si="46"/>
        <v>101.533</v>
      </c>
      <c r="P242">
        <v>1</v>
      </c>
      <c r="Q242">
        <f t="shared" si="47"/>
        <v>2</v>
      </c>
      <c r="R242">
        <f t="shared" si="48"/>
        <v>2</v>
      </c>
      <c r="S242">
        <f t="shared" si="49"/>
        <v>0</v>
      </c>
      <c r="V242" t="s">
        <v>312</v>
      </c>
      <c r="X242" t="s">
        <v>751</v>
      </c>
    </row>
    <row r="243" spans="1:24">
      <c r="A243">
        <v>242</v>
      </c>
      <c r="B243" s="12" t="s">
        <v>752</v>
      </c>
      <c r="C243" s="79">
        <v>75</v>
      </c>
      <c r="D243" s="79">
        <v>50</v>
      </c>
      <c r="E243" s="79">
        <v>85</v>
      </c>
      <c r="F243" s="79">
        <v>95</v>
      </c>
      <c r="G243" s="23">
        <f t="shared" si="52"/>
        <v>210</v>
      </c>
      <c r="H243" s="23">
        <f t="shared" si="40"/>
        <v>70</v>
      </c>
      <c r="I243" s="23">
        <f t="shared" si="53"/>
        <v>305</v>
      </c>
      <c r="J243" s="23">
        <f t="shared" si="41"/>
        <v>30.477599999999999</v>
      </c>
      <c r="K243" s="23">
        <f t="shared" si="42"/>
        <v>11.994199999999999</v>
      </c>
      <c r="L243" s="23">
        <f t="shared" si="43"/>
        <v>40.6447</v>
      </c>
      <c r="M243" s="23">
        <f t="shared" si="44"/>
        <v>52.493400000000001</v>
      </c>
      <c r="N243" s="23">
        <f t="shared" si="45"/>
        <v>83.116500000000002</v>
      </c>
      <c r="O243" s="23">
        <f t="shared" si="46"/>
        <v>135.60990000000001</v>
      </c>
      <c r="P243">
        <v>1</v>
      </c>
      <c r="Q243">
        <f t="shared" si="47"/>
        <v>2</v>
      </c>
      <c r="R243">
        <f t="shared" si="48"/>
        <v>3</v>
      </c>
      <c r="S243">
        <f t="shared" si="49"/>
        <v>1</v>
      </c>
      <c r="V243" t="s">
        <v>312</v>
      </c>
      <c r="X243" t="s">
        <v>753</v>
      </c>
    </row>
    <row r="244" spans="1:24">
      <c r="A244">
        <v>243</v>
      </c>
      <c r="B244" s="12" t="s">
        <v>703</v>
      </c>
      <c r="C244" s="79">
        <v>65</v>
      </c>
      <c r="D244" s="79">
        <v>90</v>
      </c>
      <c r="E244" s="79">
        <v>65</v>
      </c>
      <c r="F244" s="79">
        <v>60</v>
      </c>
      <c r="G244" s="23">
        <f t="shared" si="52"/>
        <v>220</v>
      </c>
      <c r="H244" s="23">
        <f t="shared" si="40"/>
        <v>73.333333333333329</v>
      </c>
      <c r="I244" s="23">
        <f t="shared" si="53"/>
        <v>280</v>
      </c>
      <c r="J244" s="23">
        <f t="shared" si="41"/>
        <v>21.930099999999999</v>
      </c>
      <c r="K244" s="23">
        <f t="shared" si="42"/>
        <v>46.3551</v>
      </c>
      <c r="L244" s="23">
        <f t="shared" si="43"/>
        <v>21.930099999999999</v>
      </c>
      <c r="M244" s="23">
        <f t="shared" si="44"/>
        <v>18.242699999999999</v>
      </c>
      <c r="N244" s="23">
        <f t="shared" si="45"/>
        <v>90.215299999999999</v>
      </c>
      <c r="O244" s="23">
        <f t="shared" si="46"/>
        <v>108.458</v>
      </c>
      <c r="P244">
        <v>1</v>
      </c>
      <c r="Q244">
        <f t="shared" si="47"/>
        <v>3</v>
      </c>
      <c r="R244">
        <f t="shared" si="48"/>
        <v>2</v>
      </c>
      <c r="S244">
        <f t="shared" si="49"/>
        <v>-1</v>
      </c>
      <c r="V244" t="s">
        <v>312</v>
      </c>
      <c r="X244" t="s">
        <v>704</v>
      </c>
    </row>
    <row r="245" spans="1:24">
      <c r="A245">
        <v>244</v>
      </c>
      <c r="B245" s="12" t="s">
        <v>707</v>
      </c>
      <c r="C245" s="79">
        <v>80</v>
      </c>
      <c r="D245" s="79">
        <v>70</v>
      </c>
      <c r="E245" s="79">
        <v>100</v>
      </c>
      <c r="F245" s="79">
        <v>70</v>
      </c>
      <c r="G245" s="23">
        <f t="shared" si="52"/>
        <v>250</v>
      </c>
      <c r="H245" s="23">
        <f t="shared" si="40"/>
        <v>83.333333333333329</v>
      </c>
      <c r="I245" s="23">
        <f t="shared" si="53"/>
        <v>320</v>
      </c>
      <c r="J245" s="23">
        <f t="shared" si="41"/>
        <v>35.354700000000001</v>
      </c>
      <c r="K245" s="23">
        <f t="shared" si="42"/>
        <v>26.005500000000001</v>
      </c>
      <c r="L245" s="23">
        <f t="shared" si="43"/>
        <v>59.066299999999998</v>
      </c>
      <c r="M245" s="23">
        <f t="shared" si="44"/>
        <v>26.005500000000001</v>
      </c>
      <c r="N245" s="23">
        <f t="shared" si="45"/>
        <v>120.4265</v>
      </c>
      <c r="O245" s="23">
        <f t="shared" si="46"/>
        <v>146.43200000000002</v>
      </c>
      <c r="P245">
        <v>1</v>
      </c>
      <c r="Q245">
        <f t="shared" si="47"/>
        <v>3</v>
      </c>
      <c r="R245">
        <f t="shared" si="48"/>
        <v>3</v>
      </c>
      <c r="S245">
        <f t="shared" si="49"/>
        <v>0</v>
      </c>
      <c r="V245" t="s">
        <v>312</v>
      </c>
      <c r="X245" t="s">
        <v>708</v>
      </c>
    </row>
    <row r="246" spans="1:24">
      <c r="A246">
        <v>245</v>
      </c>
      <c r="B246" s="12" t="s">
        <v>749</v>
      </c>
      <c r="C246" s="79">
        <v>85</v>
      </c>
      <c r="D246" s="79">
        <v>80</v>
      </c>
      <c r="E246" s="79">
        <v>60</v>
      </c>
      <c r="F246" s="79">
        <v>60</v>
      </c>
      <c r="G246" s="23">
        <f t="shared" si="52"/>
        <v>225</v>
      </c>
      <c r="H246" s="23">
        <f t="shared" si="40"/>
        <v>75</v>
      </c>
      <c r="I246" s="23">
        <f t="shared" si="53"/>
        <v>285</v>
      </c>
      <c r="J246" s="23">
        <f t="shared" si="41"/>
        <v>40.6447</v>
      </c>
      <c r="K246" s="23">
        <f t="shared" si="42"/>
        <v>35.354700000000001</v>
      </c>
      <c r="L246" s="23">
        <f t="shared" si="43"/>
        <v>18.242699999999999</v>
      </c>
      <c r="M246" s="23">
        <f t="shared" si="44"/>
        <v>18.242699999999999</v>
      </c>
      <c r="N246" s="23">
        <f t="shared" si="45"/>
        <v>94.242100000000008</v>
      </c>
      <c r="O246" s="23">
        <f t="shared" si="46"/>
        <v>112.48480000000001</v>
      </c>
      <c r="P246">
        <v>1</v>
      </c>
      <c r="Q246">
        <f t="shared" si="47"/>
        <v>3</v>
      </c>
      <c r="R246">
        <f t="shared" si="48"/>
        <v>2</v>
      </c>
      <c r="S246">
        <f t="shared" si="49"/>
        <v>-1</v>
      </c>
      <c r="V246" t="s">
        <v>312</v>
      </c>
      <c r="X246" t="s">
        <v>313</v>
      </c>
    </row>
    <row r="247" spans="1:24">
      <c r="A247">
        <v>246</v>
      </c>
      <c r="B247" s="12" t="s">
        <v>710</v>
      </c>
      <c r="C247" s="79">
        <v>95</v>
      </c>
      <c r="D247" s="79">
        <v>70</v>
      </c>
      <c r="E247" s="79">
        <v>120</v>
      </c>
      <c r="F247" s="79">
        <v>80</v>
      </c>
      <c r="G247" s="23">
        <f t="shared" si="52"/>
        <v>285</v>
      </c>
      <c r="H247" s="23">
        <f t="shared" si="40"/>
        <v>95</v>
      </c>
      <c r="I247" s="23">
        <f t="shared" si="53"/>
        <v>365</v>
      </c>
      <c r="J247" s="23">
        <f t="shared" si="41"/>
        <v>52.493400000000001</v>
      </c>
      <c r="K247" s="23">
        <f t="shared" si="42"/>
        <v>26.005500000000001</v>
      </c>
      <c r="L247" s="23">
        <f t="shared" si="43"/>
        <v>89.837400000000002</v>
      </c>
      <c r="M247" s="23">
        <f t="shared" si="44"/>
        <v>35.354700000000001</v>
      </c>
      <c r="N247" s="23">
        <f t="shared" si="45"/>
        <v>168.33629999999999</v>
      </c>
      <c r="O247" s="23">
        <f t="shared" si="46"/>
        <v>203.691</v>
      </c>
      <c r="P247">
        <v>1</v>
      </c>
      <c r="Q247">
        <f t="shared" si="47"/>
        <v>4</v>
      </c>
      <c r="R247">
        <f t="shared" si="48"/>
        <v>4</v>
      </c>
      <c r="S247">
        <f t="shared" si="49"/>
        <v>0</v>
      </c>
      <c r="V247" t="s">
        <v>312</v>
      </c>
      <c r="X247" t="s">
        <v>709</v>
      </c>
    </row>
    <row r="248" spans="1:24">
      <c r="A248">
        <v>247</v>
      </c>
      <c r="B248" s="12" t="s">
        <v>711</v>
      </c>
      <c r="C248" s="79">
        <v>90</v>
      </c>
      <c r="D248" s="79">
        <v>40</v>
      </c>
      <c r="E248" s="79">
        <v>110</v>
      </c>
      <c r="F248" s="79">
        <v>90</v>
      </c>
      <c r="G248" s="23">
        <f t="shared" si="52"/>
        <v>240</v>
      </c>
      <c r="H248" s="23">
        <f t="shared" si="40"/>
        <v>80</v>
      </c>
      <c r="I248" s="23">
        <f t="shared" si="53"/>
        <v>330</v>
      </c>
      <c r="J248" s="23">
        <f t="shared" si="41"/>
        <v>46.3551</v>
      </c>
      <c r="K248" s="23">
        <f t="shared" si="42"/>
        <v>7.1791999999999998</v>
      </c>
      <c r="L248" s="23">
        <f t="shared" si="43"/>
        <v>73.543300000000002</v>
      </c>
      <c r="M248" s="23">
        <f t="shared" si="44"/>
        <v>46.3551</v>
      </c>
      <c r="N248" s="23">
        <f t="shared" si="45"/>
        <v>127.0776</v>
      </c>
      <c r="O248" s="23">
        <f t="shared" si="46"/>
        <v>173.43270000000001</v>
      </c>
      <c r="P248">
        <v>1</v>
      </c>
      <c r="Q248">
        <f t="shared" si="47"/>
        <v>3</v>
      </c>
      <c r="R248">
        <f t="shared" si="48"/>
        <v>3</v>
      </c>
      <c r="S248">
        <f t="shared" si="49"/>
        <v>0</v>
      </c>
      <c r="V248" t="s">
        <v>312</v>
      </c>
    </row>
    <row r="249" spans="1:24">
      <c r="A249">
        <v>248</v>
      </c>
      <c r="B249" s="12" t="s">
        <v>712</v>
      </c>
      <c r="C249" s="79">
        <v>60</v>
      </c>
      <c r="D249" s="79">
        <v>40</v>
      </c>
      <c r="E249" s="79">
        <v>90</v>
      </c>
      <c r="F249" s="79">
        <v>70</v>
      </c>
      <c r="G249" s="23">
        <f t="shared" si="52"/>
        <v>190</v>
      </c>
      <c r="H249" s="23">
        <f t="shared" si="40"/>
        <v>63.333333333333336</v>
      </c>
      <c r="I249" s="23">
        <f t="shared" si="53"/>
        <v>260</v>
      </c>
      <c r="J249" s="23">
        <f t="shared" si="41"/>
        <v>18.242699999999999</v>
      </c>
      <c r="K249" s="23">
        <f t="shared" si="42"/>
        <v>7.1791999999999998</v>
      </c>
      <c r="L249" s="23">
        <f t="shared" si="43"/>
        <v>46.3551</v>
      </c>
      <c r="M249" s="23">
        <f t="shared" si="44"/>
        <v>26.005500000000001</v>
      </c>
      <c r="N249" s="23">
        <f t="shared" si="45"/>
        <v>71.777000000000001</v>
      </c>
      <c r="O249" s="23">
        <f t="shared" si="46"/>
        <v>97.782499999999999</v>
      </c>
      <c r="P249">
        <v>1</v>
      </c>
      <c r="Q249">
        <f t="shared" si="47"/>
        <v>2</v>
      </c>
      <c r="R249">
        <f t="shared" si="48"/>
        <v>2</v>
      </c>
      <c r="S249">
        <f t="shared" si="49"/>
        <v>0</v>
      </c>
      <c r="V249" t="s">
        <v>312</v>
      </c>
    </row>
    <row r="250" spans="1:24">
      <c r="A250">
        <v>249</v>
      </c>
      <c r="B250" s="12" t="s">
        <v>713</v>
      </c>
      <c r="C250" s="79">
        <v>85</v>
      </c>
      <c r="D250" s="79">
        <v>85</v>
      </c>
      <c r="E250" s="79">
        <v>80</v>
      </c>
      <c r="F250" s="79">
        <v>60</v>
      </c>
      <c r="G250" s="23">
        <f t="shared" si="52"/>
        <v>250</v>
      </c>
      <c r="H250" s="23">
        <f t="shared" si="40"/>
        <v>83.333333333333329</v>
      </c>
      <c r="I250" s="23">
        <f t="shared" si="53"/>
        <v>310</v>
      </c>
      <c r="J250" s="23">
        <f t="shared" si="41"/>
        <v>40.6447</v>
      </c>
      <c r="K250" s="23">
        <f t="shared" si="42"/>
        <v>40.6447</v>
      </c>
      <c r="L250" s="23">
        <f t="shared" si="43"/>
        <v>35.354700000000001</v>
      </c>
      <c r="M250" s="23">
        <f t="shared" si="44"/>
        <v>18.242699999999999</v>
      </c>
      <c r="N250" s="23">
        <f t="shared" si="45"/>
        <v>116.64410000000001</v>
      </c>
      <c r="O250" s="23">
        <f t="shared" si="46"/>
        <v>134.88679999999999</v>
      </c>
      <c r="P250">
        <v>1</v>
      </c>
      <c r="Q250">
        <f t="shared" si="47"/>
        <v>3</v>
      </c>
      <c r="R250">
        <f t="shared" si="48"/>
        <v>3</v>
      </c>
      <c r="S250">
        <f t="shared" si="49"/>
        <v>0</v>
      </c>
      <c r="V250" t="s">
        <v>312</v>
      </c>
      <c r="X250" t="s">
        <v>715</v>
      </c>
    </row>
    <row r="251" spans="1:24">
      <c r="A251">
        <v>250</v>
      </c>
      <c r="B251" s="12" t="s">
        <v>714</v>
      </c>
      <c r="C251" s="79">
        <v>80</v>
      </c>
      <c r="D251" s="79">
        <v>80</v>
      </c>
      <c r="E251" s="79">
        <v>75</v>
      </c>
      <c r="F251" s="79">
        <v>65</v>
      </c>
      <c r="G251" s="23">
        <f t="shared" si="52"/>
        <v>235</v>
      </c>
      <c r="H251" s="23">
        <f t="shared" si="40"/>
        <v>78.333333333333329</v>
      </c>
      <c r="I251" s="23">
        <f t="shared" si="53"/>
        <v>300</v>
      </c>
      <c r="J251" s="23">
        <f t="shared" si="41"/>
        <v>35.354700000000001</v>
      </c>
      <c r="K251" s="23">
        <f t="shared" si="42"/>
        <v>35.354700000000001</v>
      </c>
      <c r="L251" s="23">
        <f t="shared" si="43"/>
        <v>30.477599999999999</v>
      </c>
      <c r="M251" s="23">
        <f t="shared" si="44"/>
        <v>21.930099999999999</v>
      </c>
      <c r="N251" s="23">
        <f t="shared" si="45"/>
        <v>101.187</v>
      </c>
      <c r="O251" s="23">
        <f t="shared" si="46"/>
        <v>123.11709999999999</v>
      </c>
      <c r="P251">
        <v>1</v>
      </c>
      <c r="Q251">
        <f t="shared" si="47"/>
        <v>3</v>
      </c>
      <c r="R251">
        <f t="shared" si="48"/>
        <v>3</v>
      </c>
      <c r="S251">
        <f t="shared" si="49"/>
        <v>0</v>
      </c>
      <c r="V251" t="s">
        <v>312</v>
      </c>
      <c r="X251" t="s">
        <v>716</v>
      </c>
    </row>
    <row r="252" spans="1:24">
      <c r="A252">
        <v>251</v>
      </c>
      <c r="B252" s="12" t="s">
        <v>718</v>
      </c>
      <c r="C252" s="79">
        <v>90</v>
      </c>
      <c r="D252" s="79">
        <v>70</v>
      </c>
      <c r="E252" s="79">
        <v>80</v>
      </c>
      <c r="F252" s="79">
        <v>70</v>
      </c>
      <c r="G252" s="23">
        <f t="shared" si="52"/>
        <v>240</v>
      </c>
      <c r="H252" s="23">
        <f t="shared" si="40"/>
        <v>80</v>
      </c>
      <c r="I252" s="23">
        <f t="shared" si="53"/>
        <v>310</v>
      </c>
      <c r="J252" s="23">
        <f t="shared" si="41"/>
        <v>46.3551</v>
      </c>
      <c r="K252" s="23">
        <f t="shared" si="42"/>
        <v>26.005500000000001</v>
      </c>
      <c r="L252" s="23">
        <f t="shared" si="43"/>
        <v>35.354700000000001</v>
      </c>
      <c r="M252" s="23">
        <f t="shared" si="44"/>
        <v>26.005500000000001</v>
      </c>
      <c r="N252" s="23">
        <f t="shared" si="45"/>
        <v>107.71530000000001</v>
      </c>
      <c r="O252" s="23">
        <f t="shared" si="46"/>
        <v>133.72080000000003</v>
      </c>
      <c r="P252">
        <v>1</v>
      </c>
      <c r="Q252">
        <f t="shared" si="47"/>
        <v>3</v>
      </c>
      <c r="R252">
        <f t="shared" si="48"/>
        <v>3</v>
      </c>
      <c r="S252">
        <f t="shared" si="49"/>
        <v>0</v>
      </c>
      <c r="V252" t="s">
        <v>312</v>
      </c>
      <c r="X252" t="s">
        <v>717</v>
      </c>
    </row>
    <row r="253" spans="1:24">
      <c r="A253">
        <v>252</v>
      </c>
      <c r="B253" s="12" t="s">
        <v>720</v>
      </c>
      <c r="C253" s="79">
        <v>70</v>
      </c>
      <c r="D253" s="79">
        <v>60</v>
      </c>
      <c r="E253" s="79">
        <v>100</v>
      </c>
      <c r="F253" s="79">
        <v>80</v>
      </c>
      <c r="G253" s="23">
        <f t="shared" si="52"/>
        <v>230</v>
      </c>
      <c r="H253" s="23">
        <f t="shared" si="40"/>
        <v>76.666666666666671</v>
      </c>
      <c r="I253" s="23">
        <f t="shared" si="53"/>
        <v>310</v>
      </c>
      <c r="J253" s="23">
        <f t="shared" si="41"/>
        <v>26.005500000000001</v>
      </c>
      <c r="K253" s="23">
        <f t="shared" si="42"/>
        <v>18.242699999999999</v>
      </c>
      <c r="L253" s="23">
        <f t="shared" si="43"/>
        <v>59.066299999999998</v>
      </c>
      <c r="M253" s="23">
        <f t="shared" si="44"/>
        <v>35.354700000000001</v>
      </c>
      <c r="N253" s="23">
        <f t="shared" si="45"/>
        <v>103.3145</v>
      </c>
      <c r="O253" s="23">
        <f t="shared" si="46"/>
        <v>138.66919999999999</v>
      </c>
      <c r="P253">
        <v>1</v>
      </c>
      <c r="Q253">
        <f t="shared" si="47"/>
        <v>3</v>
      </c>
      <c r="R253">
        <f t="shared" si="48"/>
        <v>3</v>
      </c>
      <c r="S253">
        <f t="shared" si="49"/>
        <v>0</v>
      </c>
      <c r="V253" t="s">
        <v>312</v>
      </c>
      <c r="X253" t="s">
        <v>719</v>
      </c>
    </row>
    <row r="254" spans="1:24">
      <c r="A254">
        <v>253</v>
      </c>
      <c r="B254" s="12" t="s">
        <v>721</v>
      </c>
      <c r="C254" s="79">
        <v>70</v>
      </c>
      <c r="D254" s="79">
        <v>50</v>
      </c>
      <c r="E254" s="79">
        <v>90</v>
      </c>
      <c r="F254" s="79">
        <v>100</v>
      </c>
      <c r="G254" s="23">
        <f t="shared" si="52"/>
        <v>210</v>
      </c>
      <c r="H254" s="23">
        <f t="shared" si="40"/>
        <v>70</v>
      </c>
      <c r="I254" s="23">
        <f t="shared" si="53"/>
        <v>310</v>
      </c>
      <c r="J254" s="23">
        <f t="shared" si="41"/>
        <v>26.005500000000001</v>
      </c>
      <c r="K254" s="23">
        <f t="shared" si="42"/>
        <v>11.994199999999999</v>
      </c>
      <c r="L254" s="23">
        <f t="shared" si="43"/>
        <v>46.3551</v>
      </c>
      <c r="M254" s="23">
        <f t="shared" si="44"/>
        <v>59.066299999999998</v>
      </c>
      <c r="N254" s="23">
        <f t="shared" si="45"/>
        <v>84.354800000000012</v>
      </c>
      <c r="O254" s="23">
        <f t="shared" si="46"/>
        <v>143.42110000000002</v>
      </c>
      <c r="P254">
        <v>1</v>
      </c>
      <c r="Q254">
        <f t="shared" si="47"/>
        <v>2</v>
      </c>
      <c r="R254">
        <f t="shared" si="48"/>
        <v>3</v>
      </c>
      <c r="S254">
        <f t="shared" si="49"/>
        <v>1</v>
      </c>
      <c r="V254" t="s">
        <v>312</v>
      </c>
      <c r="X254" t="s">
        <v>722</v>
      </c>
    </row>
    <row r="255" spans="1:24">
      <c r="A255">
        <v>254</v>
      </c>
      <c r="B255" s="12" t="s">
        <v>723</v>
      </c>
      <c r="C255" s="79">
        <v>105</v>
      </c>
      <c r="D255" s="79">
        <v>85</v>
      </c>
      <c r="E255" s="79">
        <v>75</v>
      </c>
      <c r="F255" s="79">
        <v>95</v>
      </c>
      <c r="G255" s="23">
        <f t="shared" si="52"/>
        <v>265</v>
      </c>
      <c r="H255" s="23">
        <f t="shared" si="40"/>
        <v>88.333333333333329</v>
      </c>
      <c r="I255" s="23">
        <f t="shared" si="53"/>
        <v>360</v>
      </c>
      <c r="J255" s="23">
        <f t="shared" si="41"/>
        <v>66.080799999999996</v>
      </c>
      <c r="K255" s="23">
        <f t="shared" si="42"/>
        <v>40.6447</v>
      </c>
      <c r="L255" s="23">
        <f t="shared" si="43"/>
        <v>30.477599999999999</v>
      </c>
      <c r="M255" s="23">
        <f t="shared" si="44"/>
        <v>52.493400000000001</v>
      </c>
      <c r="N255" s="23">
        <f t="shared" si="45"/>
        <v>137.20310000000001</v>
      </c>
      <c r="O255" s="23">
        <f t="shared" si="46"/>
        <v>189.69650000000001</v>
      </c>
      <c r="P255">
        <v>1</v>
      </c>
      <c r="Q255">
        <f t="shared" si="47"/>
        <v>4</v>
      </c>
      <c r="R255">
        <f t="shared" si="48"/>
        <v>4</v>
      </c>
      <c r="S255">
        <f t="shared" si="49"/>
        <v>0</v>
      </c>
      <c r="V255" t="s">
        <v>312</v>
      </c>
      <c r="X255" t="s">
        <v>724</v>
      </c>
    </row>
    <row r="256" spans="1:24">
      <c r="A256">
        <v>255</v>
      </c>
      <c r="B256" s="12" t="s">
        <v>725</v>
      </c>
      <c r="C256" s="79">
        <v>70</v>
      </c>
      <c r="D256" s="79">
        <v>65</v>
      </c>
      <c r="E256" s="79">
        <v>60</v>
      </c>
      <c r="F256" s="79">
        <v>65</v>
      </c>
      <c r="G256" s="23">
        <f t="shared" si="52"/>
        <v>195</v>
      </c>
      <c r="H256" s="23">
        <f t="shared" si="40"/>
        <v>65</v>
      </c>
      <c r="I256" s="23">
        <f t="shared" si="53"/>
        <v>260</v>
      </c>
      <c r="J256" s="23">
        <f t="shared" si="41"/>
        <v>26.005500000000001</v>
      </c>
      <c r="K256" s="23">
        <f t="shared" si="42"/>
        <v>21.930099999999999</v>
      </c>
      <c r="L256" s="23">
        <f t="shared" si="43"/>
        <v>18.242699999999999</v>
      </c>
      <c r="M256" s="23">
        <f t="shared" si="44"/>
        <v>21.930099999999999</v>
      </c>
      <c r="N256" s="23">
        <f t="shared" si="45"/>
        <v>66.178300000000007</v>
      </c>
      <c r="O256" s="23">
        <f t="shared" si="46"/>
        <v>88.108400000000003</v>
      </c>
      <c r="P256">
        <v>1</v>
      </c>
      <c r="Q256">
        <f t="shared" si="47"/>
        <v>2</v>
      </c>
      <c r="R256">
        <f t="shared" si="48"/>
        <v>2</v>
      </c>
      <c r="S256">
        <f t="shared" si="49"/>
        <v>0</v>
      </c>
      <c r="V256" t="s">
        <v>312</v>
      </c>
      <c r="X256" t="s">
        <v>726</v>
      </c>
    </row>
    <row r="257" spans="1:24">
      <c r="A257">
        <v>256</v>
      </c>
      <c r="B257" s="12" t="s">
        <v>727</v>
      </c>
      <c r="C257" s="79">
        <v>80</v>
      </c>
      <c r="D257" s="79">
        <v>70</v>
      </c>
      <c r="E257" s="79">
        <v>75</v>
      </c>
      <c r="F257" s="79">
        <v>70</v>
      </c>
      <c r="G257" s="23">
        <f t="shared" si="52"/>
        <v>225</v>
      </c>
      <c r="H257" s="23">
        <f t="shared" si="40"/>
        <v>75</v>
      </c>
      <c r="I257" s="23">
        <f t="shared" si="53"/>
        <v>295</v>
      </c>
      <c r="J257" s="23">
        <f t="shared" si="41"/>
        <v>35.354700000000001</v>
      </c>
      <c r="K257" s="23">
        <f t="shared" si="42"/>
        <v>26.005500000000001</v>
      </c>
      <c r="L257" s="23">
        <f t="shared" si="43"/>
        <v>30.477599999999999</v>
      </c>
      <c r="M257" s="23">
        <f t="shared" si="44"/>
        <v>26.005500000000001</v>
      </c>
      <c r="N257" s="23">
        <f t="shared" si="45"/>
        <v>91.837800000000001</v>
      </c>
      <c r="O257" s="23">
        <f t="shared" si="46"/>
        <v>117.8433</v>
      </c>
      <c r="P257">
        <v>1</v>
      </c>
      <c r="Q257">
        <f t="shared" si="47"/>
        <v>3</v>
      </c>
      <c r="R257">
        <f t="shared" si="48"/>
        <v>2</v>
      </c>
      <c r="S257">
        <f t="shared" si="49"/>
        <v>-1</v>
      </c>
      <c r="V257" t="s">
        <v>312</v>
      </c>
      <c r="X257" t="s">
        <v>728</v>
      </c>
    </row>
    <row r="258" spans="1:24">
      <c r="A258">
        <v>257</v>
      </c>
      <c r="B258" s="12" t="s">
        <v>730</v>
      </c>
      <c r="C258" s="79">
        <v>80</v>
      </c>
      <c r="D258" s="79">
        <v>60</v>
      </c>
      <c r="E258" s="79">
        <v>90</v>
      </c>
      <c r="F258" s="79">
        <v>70</v>
      </c>
      <c r="G258" s="23">
        <f t="shared" si="52"/>
        <v>230</v>
      </c>
      <c r="H258" s="23">
        <f t="shared" ref="H258:H321" si="54">G258/COUNT(C258:E258)</f>
        <v>76.666666666666671</v>
      </c>
      <c r="I258" s="23">
        <f t="shared" si="53"/>
        <v>300</v>
      </c>
      <c r="J258" s="23">
        <f t="shared" ref="J258:J321" si="55">ROUND(POWER(C258,2.3)/674,4)</f>
        <v>35.354700000000001</v>
      </c>
      <c r="K258" s="23">
        <f t="shared" ref="K258:K321" si="56">ROUND(POWER(D258,2.3)/674,4)</f>
        <v>18.242699999999999</v>
      </c>
      <c r="L258" s="23">
        <f t="shared" ref="L258:L321" si="57">ROUND(POWER(E258,2.3)/674,4)</f>
        <v>46.3551</v>
      </c>
      <c r="M258" s="23">
        <f t="shared" ref="M258:M321" si="58">ROUND(POWER(F258,2.3)/674,4)</f>
        <v>26.005500000000001</v>
      </c>
      <c r="N258" s="23">
        <f t="shared" ref="N258:N321" si="59">SUM(J258:L258)</f>
        <v>99.952500000000001</v>
      </c>
      <c r="O258" s="23">
        <f t="shared" ref="O258:O321" si="60">SUM(J258:M258)</f>
        <v>125.958</v>
      </c>
      <c r="P258">
        <v>1</v>
      </c>
      <c r="Q258">
        <f t="shared" si="47"/>
        <v>3</v>
      </c>
      <c r="R258">
        <f t="shared" si="48"/>
        <v>3</v>
      </c>
      <c r="S258">
        <f t="shared" si="49"/>
        <v>0</v>
      </c>
      <c r="V258" t="s">
        <v>312</v>
      </c>
      <c r="X258" t="s">
        <v>729</v>
      </c>
    </row>
    <row r="259" spans="1:24">
      <c r="A259">
        <v>258</v>
      </c>
      <c r="B259" s="12" t="s">
        <v>731</v>
      </c>
      <c r="C259" s="79">
        <v>60</v>
      </c>
      <c r="D259" s="79">
        <v>55</v>
      </c>
      <c r="E259" s="79">
        <v>85</v>
      </c>
      <c r="F259" s="79">
        <v>75</v>
      </c>
      <c r="G259" s="23">
        <f t="shared" si="52"/>
        <v>200</v>
      </c>
      <c r="H259" s="23">
        <f t="shared" si="54"/>
        <v>66.666666666666671</v>
      </c>
      <c r="I259" s="23">
        <f t="shared" si="53"/>
        <v>275</v>
      </c>
      <c r="J259" s="23">
        <f t="shared" si="55"/>
        <v>18.242699999999999</v>
      </c>
      <c r="K259" s="23">
        <f t="shared" si="56"/>
        <v>14.9339</v>
      </c>
      <c r="L259" s="23">
        <f t="shared" si="57"/>
        <v>40.6447</v>
      </c>
      <c r="M259" s="23">
        <f t="shared" si="58"/>
        <v>30.477599999999999</v>
      </c>
      <c r="N259" s="23">
        <f t="shared" si="59"/>
        <v>73.821300000000008</v>
      </c>
      <c r="O259" s="23">
        <f t="shared" si="60"/>
        <v>104.2989</v>
      </c>
      <c r="P259">
        <v>1</v>
      </c>
      <c r="Q259">
        <f t="shared" ref="Q259:Q322" si="61">commanderStars(N259,P259,FALSE)</f>
        <v>2</v>
      </c>
      <c r="R259">
        <f t="shared" ref="R259:R322" si="62">commanderStars(O259,P259,TRUE)</f>
        <v>2</v>
      </c>
      <c r="S259">
        <f t="shared" ref="S259:S322" si="63">R259-Q259</f>
        <v>0</v>
      </c>
      <c r="V259" t="s">
        <v>312</v>
      </c>
      <c r="X259" t="s">
        <v>732</v>
      </c>
    </row>
    <row r="260" spans="1:24">
      <c r="A260">
        <v>259</v>
      </c>
      <c r="B260" s="12" t="s">
        <v>733</v>
      </c>
      <c r="C260" s="79">
        <v>60</v>
      </c>
      <c r="D260" s="79">
        <v>50</v>
      </c>
      <c r="E260" s="79">
        <v>85</v>
      </c>
      <c r="F260" s="79">
        <v>70</v>
      </c>
      <c r="G260" s="23">
        <f t="shared" si="52"/>
        <v>195</v>
      </c>
      <c r="H260" s="23">
        <f t="shared" si="54"/>
        <v>65</v>
      </c>
      <c r="I260" s="23">
        <f t="shared" si="53"/>
        <v>265</v>
      </c>
      <c r="J260" s="23">
        <f t="shared" si="55"/>
        <v>18.242699999999999</v>
      </c>
      <c r="K260" s="23">
        <f t="shared" si="56"/>
        <v>11.994199999999999</v>
      </c>
      <c r="L260" s="23">
        <f t="shared" si="57"/>
        <v>40.6447</v>
      </c>
      <c r="M260" s="23">
        <f t="shared" si="58"/>
        <v>26.005500000000001</v>
      </c>
      <c r="N260" s="23">
        <f t="shared" si="59"/>
        <v>70.881599999999992</v>
      </c>
      <c r="O260" s="23">
        <f t="shared" si="60"/>
        <v>96.88709999999999</v>
      </c>
      <c r="P260">
        <v>1</v>
      </c>
      <c r="Q260">
        <f t="shared" si="61"/>
        <v>2</v>
      </c>
      <c r="R260">
        <f t="shared" si="62"/>
        <v>2</v>
      </c>
      <c r="S260">
        <f t="shared" si="63"/>
        <v>0</v>
      </c>
      <c r="V260" t="s">
        <v>312</v>
      </c>
    </row>
    <row r="261" spans="1:24">
      <c r="A261">
        <v>260</v>
      </c>
      <c r="B261" s="12" t="s">
        <v>734</v>
      </c>
      <c r="C261" s="79">
        <v>65</v>
      </c>
      <c r="D261" s="79">
        <v>35</v>
      </c>
      <c r="E261" s="79">
        <v>80</v>
      </c>
      <c r="F261" s="79">
        <v>60</v>
      </c>
      <c r="G261" s="23">
        <f t="shared" si="52"/>
        <v>180</v>
      </c>
      <c r="H261" s="23">
        <f t="shared" si="54"/>
        <v>60</v>
      </c>
      <c r="I261" s="23">
        <f t="shared" si="53"/>
        <v>240</v>
      </c>
      <c r="J261" s="23">
        <f t="shared" si="55"/>
        <v>21.930099999999999</v>
      </c>
      <c r="K261" s="23">
        <f t="shared" si="56"/>
        <v>5.2808000000000002</v>
      </c>
      <c r="L261" s="23">
        <f t="shared" si="57"/>
        <v>35.354700000000001</v>
      </c>
      <c r="M261" s="23">
        <f t="shared" si="58"/>
        <v>18.242699999999999</v>
      </c>
      <c r="N261" s="23">
        <f t="shared" si="59"/>
        <v>62.565600000000003</v>
      </c>
      <c r="O261" s="23">
        <f t="shared" si="60"/>
        <v>80.808300000000003</v>
      </c>
      <c r="P261">
        <v>1</v>
      </c>
      <c r="Q261">
        <f t="shared" si="61"/>
        <v>2</v>
      </c>
      <c r="R261">
        <f t="shared" si="62"/>
        <v>2</v>
      </c>
      <c r="S261">
        <f t="shared" si="63"/>
        <v>0</v>
      </c>
      <c r="V261" t="s">
        <v>312</v>
      </c>
    </row>
    <row r="262" spans="1:24">
      <c r="A262">
        <v>261</v>
      </c>
      <c r="B262" s="12" t="s">
        <v>736</v>
      </c>
      <c r="C262" s="79">
        <v>70</v>
      </c>
      <c r="D262" s="79">
        <v>60</v>
      </c>
      <c r="E262" s="79">
        <v>75</v>
      </c>
      <c r="F262" s="79">
        <v>70</v>
      </c>
      <c r="G262" s="23">
        <f t="shared" si="52"/>
        <v>205</v>
      </c>
      <c r="H262" s="23">
        <f t="shared" si="54"/>
        <v>68.333333333333329</v>
      </c>
      <c r="I262" s="23">
        <f t="shared" si="53"/>
        <v>275</v>
      </c>
      <c r="J262" s="23">
        <f t="shared" si="55"/>
        <v>26.005500000000001</v>
      </c>
      <c r="K262" s="23">
        <f t="shared" si="56"/>
        <v>18.242699999999999</v>
      </c>
      <c r="L262" s="23">
        <f t="shared" si="57"/>
        <v>30.477599999999999</v>
      </c>
      <c r="M262" s="23">
        <f t="shared" si="58"/>
        <v>26.005500000000001</v>
      </c>
      <c r="N262" s="23">
        <f t="shared" si="59"/>
        <v>74.725799999999992</v>
      </c>
      <c r="O262" s="23">
        <f t="shared" si="60"/>
        <v>100.73129999999999</v>
      </c>
      <c r="P262">
        <v>1</v>
      </c>
      <c r="Q262">
        <f t="shared" si="61"/>
        <v>2</v>
      </c>
      <c r="R262">
        <f t="shared" si="62"/>
        <v>2</v>
      </c>
      <c r="S262">
        <f t="shared" si="63"/>
        <v>0</v>
      </c>
      <c r="V262" t="s">
        <v>312</v>
      </c>
      <c r="X262" t="s">
        <v>735</v>
      </c>
    </row>
    <row r="263" spans="1:24">
      <c r="A263">
        <v>262</v>
      </c>
      <c r="B263" s="12" t="s">
        <v>737</v>
      </c>
      <c r="C263" s="79">
        <v>60</v>
      </c>
      <c r="D263" s="79">
        <v>60</v>
      </c>
      <c r="E263" s="79">
        <v>70</v>
      </c>
      <c r="F263" s="79">
        <v>75</v>
      </c>
      <c r="G263" s="23">
        <f t="shared" si="52"/>
        <v>190</v>
      </c>
      <c r="H263" s="23">
        <f t="shared" si="54"/>
        <v>63.333333333333336</v>
      </c>
      <c r="I263" s="23">
        <f t="shared" si="53"/>
        <v>265</v>
      </c>
      <c r="J263" s="23">
        <f t="shared" si="55"/>
        <v>18.242699999999999</v>
      </c>
      <c r="K263" s="23">
        <f t="shared" si="56"/>
        <v>18.242699999999999</v>
      </c>
      <c r="L263" s="23">
        <f t="shared" si="57"/>
        <v>26.005500000000001</v>
      </c>
      <c r="M263" s="23">
        <f t="shared" si="58"/>
        <v>30.477599999999999</v>
      </c>
      <c r="N263" s="23">
        <f t="shared" si="59"/>
        <v>62.490899999999996</v>
      </c>
      <c r="O263" s="23">
        <f t="shared" si="60"/>
        <v>92.968499999999992</v>
      </c>
      <c r="P263">
        <v>1</v>
      </c>
      <c r="Q263">
        <f t="shared" si="61"/>
        <v>2</v>
      </c>
      <c r="R263">
        <f t="shared" si="62"/>
        <v>2</v>
      </c>
      <c r="S263">
        <f t="shared" si="63"/>
        <v>0</v>
      </c>
      <c r="V263" t="s">
        <v>312</v>
      </c>
      <c r="X263" t="s">
        <v>738</v>
      </c>
    </row>
    <row r="264" spans="1:24">
      <c r="A264">
        <v>263</v>
      </c>
      <c r="B264" s="12" t="s">
        <v>739</v>
      </c>
      <c r="C264" s="79">
        <v>60</v>
      </c>
      <c r="D264" s="79">
        <v>50</v>
      </c>
      <c r="E264" s="79">
        <v>90</v>
      </c>
      <c r="F264" s="79">
        <v>75</v>
      </c>
      <c r="G264" s="23">
        <f t="shared" si="52"/>
        <v>200</v>
      </c>
      <c r="H264" s="23">
        <f t="shared" si="54"/>
        <v>66.666666666666671</v>
      </c>
      <c r="I264" s="23">
        <f t="shared" si="53"/>
        <v>275</v>
      </c>
      <c r="J264" s="23">
        <f t="shared" si="55"/>
        <v>18.242699999999999</v>
      </c>
      <c r="K264" s="23">
        <f t="shared" si="56"/>
        <v>11.994199999999999</v>
      </c>
      <c r="L264" s="23">
        <f t="shared" si="57"/>
        <v>46.3551</v>
      </c>
      <c r="M264" s="23">
        <f t="shared" si="58"/>
        <v>30.477599999999999</v>
      </c>
      <c r="N264" s="23">
        <f t="shared" si="59"/>
        <v>76.591999999999999</v>
      </c>
      <c r="O264" s="23">
        <f t="shared" si="60"/>
        <v>107.06959999999999</v>
      </c>
      <c r="P264">
        <v>1</v>
      </c>
      <c r="Q264">
        <f t="shared" si="61"/>
        <v>2</v>
      </c>
      <c r="R264">
        <f t="shared" si="62"/>
        <v>2</v>
      </c>
      <c r="S264">
        <f t="shared" si="63"/>
        <v>0</v>
      </c>
      <c r="V264" t="s">
        <v>312</v>
      </c>
      <c r="X264" t="s">
        <v>740</v>
      </c>
    </row>
    <row r="265" spans="1:24">
      <c r="A265">
        <v>264</v>
      </c>
      <c r="B265" s="12" t="s">
        <v>742</v>
      </c>
      <c r="C265" s="79">
        <v>87</v>
      </c>
      <c r="D265" s="79">
        <v>85</v>
      </c>
      <c r="E265" s="79">
        <v>60</v>
      </c>
      <c r="F265" s="79">
        <v>70</v>
      </c>
      <c r="G265" s="23">
        <f t="shared" si="52"/>
        <v>232</v>
      </c>
      <c r="H265" s="23">
        <f t="shared" si="54"/>
        <v>77.333333333333329</v>
      </c>
      <c r="I265" s="23">
        <f t="shared" si="53"/>
        <v>302</v>
      </c>
      <c r="J265" s="23">
        <f t="shared" si="55"/>
        <v>42.878</v>
      </c>
      <c r="K265" s="23">
        <f t="shared" si="56"/>
        <v>40.6447</v>
      </c>
      <c r="L265" s="23">
        <f t="shared" si="57"/>
        <v>18.242699999999999</v>
      </c>
      <c r="M265" s="23">
        <f t="shared" si="58"/>
        <v>26.005500000000001</v>
      </c>
      <c r="N265" s="23">
        <f t="shared" si="59"/>
        <v>101.7654</v>
      </c>
      <c r="O265" s="23">
        <f t="shared" si="60"/>
        <v>127.7709</v>
      </c>
      <c r="P265">
        <v>1</v>
      </c>
      <c r="Q265">
        <f t="shared" si="61"/>
        <v>3</v>
      </c>
      <c r="R265">
        <f t="shared" si="62"/>
        <v>3</v>
      </c>
      <c r="S265">
        <f t="shared" si="63"/>
        <v>0</v>
      </c>
      <c r="V265" t="s">
        <v>312</v>
      </c>
      <c r="X265" t="s">
        <v>741</v>
      </c>
    </row>
    <row r="266" spans="1:24">
      <c r="A266">
        <v>265</v>
      </c>
      <c r="B266" s="12" t="s">
        <v>743</v>
      </c>
      <c r="C266" s="79">
        <v>70</v>
      </c>
      <c r="D266" s="79">
        <v>80</v>
      </c>
      <c r="E266" s="79">
        <v>90</v>
      </c>
      <c r="F266" s="79">
        <v>60</v>
      </c>
      <c r="G266" s="23">
        <f t="shared" si="52"/>
        <v>240</v>
      </c>
      <c r="H266" s="23">
        <f t="shared" si="54"/>
        <v>80</v>
      </c>
      <c r="I266" s="23">
        <f t="shared" si="53"/>
        <v>300</v>
      </c>
      <c r="J266" s="23">
        <f t="shared" si="55"/>
        <v>26.005500000000001</v>
      </c>
      <c r="K266" s="23">
        <f t="shared" si="56"/>
        <v>35.354700000000001</v>
      </c>
      <c r="L266" s="23">
        <f t="shared" si="57"/>
        <v>46.3551</v>
      </c>
      <c r="M266" s="23">
        <f t="shared" si="58"/>
        <v>18.242699999999999</v>
      </c>
      <c r="N266" s="23">
        <f t="shared" si="59"/>
        <v>107.71530000000001</v>
      </c>
      <c r="O266" s="23">
        <f t="shared" si="60"/>
        <v>125.95800000000001</v>
      </c>
      <c r="P266">
        <v>1</v>
      </c>
      <c r="Q266">
        <f t="shared" si="61"/>
        <v>3</v>
      </c>
      <c r="R266">
        <f t="shared" si="62"/>
        <v>3</v>
      </c>
      <c r="S266">
        <f t="shared" si="63"/>
        <v>0</v>
      </c>
      <c r="V266" t="s">
        <v>312</v>
      </c>
      <c r="X266" t="s">
        <v>744</v>
      </c>
    </row>
    <row r="267" spans="1:24">
      <c r="A267">
        <v>266</v>
      </c>
      <c r="B267" s="12" t="s">
        <v>745</v>
      </c>
      <c r="C267" s="79">
        <v>85</v>
      </c>
      <c r="D267" s="79">
        <v>70</v>
      </c>
      <c r="E267" s="79">
        <v>75</v>
      </c>
      <c r="F267" s="79">
        <v>60</v>
      </c>
      <c r="G267" s="23">
        <f t="shared" si="52"/>
        <v>230</v>
      </c>
      <c r="H267" s="23">
        <f t="shared" si="54"/>
        <v>76.666666666666671</v>
      </c>
      <c r="I267" s="23">
        <f t="shared" si="53"/>
        <v>290</v>
      </c>
      <c r="J267" s="23">
        <f t="shared" si="55"/>
        <v>40.6447</v>
      </c>
      <c r="K267" s="23">
        <f t="shared" si="56"/>
        <v>26.005500000000001</v>
      </c>
      <c r="L267" s="23">
        <f t="shared" si="57"/>
        <v>30.477599999999999</v>
      </c>
      <c r="M267" s="23">
        <f t="shared" si="58"/>
        <v>18.242699999999999</v>
      </c>
      <c r="N267" s="23">
        <f t="shared" si="59"/>
        <v>97.127799999999993</v>
      </c>
      <c r="O267" s="23">
        <f t="shared" si="60"/>
        <v>115.37049999999999</v>
      </c>
      <c r="P267">
        <v>1</v>
      </c>
      <c r="Q267">
        <f t="shared" si="61"/>
        <v>3</v>
      </c>
      <c r="R267">
        <f t="shared" si="62"/>
        <v>2</v>
      </c>
      <c r="S267">
        <f t="shared" si="63"/>
        <v>-1</v>
      </c>
      <c r="V267" t="s">
        <v>312</v>
      </c>
      <c r="X267" t="s">
        <v>746</v>
      </c>
    </row>
    <row r="268" spans="1:24">
      <c r="A268">
        <v>267</v>
      </c>
      <c r="B268" s="12" t="s">
        <v>754</v>
      </c>
      <c r="C268" s="79">
        <v>85</v>
      </c>
      <c r="D268" s="79">
        <v>100</v>
      </c>
      <c r="E268" s="79">
        <v>80</v>
      </c>
      <c r="F268" s="79">
        <v>70</v>
      </c>
      <c r="G268" s="23">
        <f t="shared" si="52"/>
        <v>265</v>
      </c>
      <c r="H268" s="23">
        <f t="shared" si="54"/>
        <v>88.333333333333329</v>
      </c>
      <c r="I268" s="23">
        <f t="shared" si="53"/>
        <v>335</v>
      </c>
      <c r="J268" s="23">
        <f t="shared" si="55"/>
        <v>40.6447</v>
      </c>
      <c r="K268" s="23">
        <f t="shared" si="56"/>
        <v>59.066299999999998</v>
      </c>
      <c r="L268" s="23">
        <f t="shared" si="57"/>
        <v>35.354700000000001</v>
      </c>
      <c r="M268" s="23">
        <f t="shared" si="58"/>
        <v>26.005500000000001</v>
      </c>
      <c r="N268" s="23">
        <f t="shared" si="59"/>
        <v>135.06569999999999</v>
      </c>
      <c r="O268" s="23">
        <f t="shared" si="60"/>
        <v>161.0712</v>
      </c>
      <c r="P268">
        <v>1</v>
      </c>
      <c r="Q268">
        <f t="shared" si="61"/>
        <v>4</v>
      </c>
      <c r="R268">
        <f t="shared" si="62"/>
        <v>3</v>
      </c>
      <c r="S268">
        <f t="shared" si="63"/>
        <v>-1</v>
      </c>
      <c r="V268" t="s">
        <v>312</v>
      </c>
    </row>
    <row r="269" spans="1:24">
      <c r="A269">
        <v>268</v>
      </c>
      <c r="B269" s="12" t="s">
        <v>755</v>
      </c>
      <c r="C269" s="79">
        <v>80</v>
      </c>
      <c r="D269" s="79">
        <v>98</v>
      </c>
      <c r="E269" s="79">
        <v>65</v>
      </c>
      <c r="F269" s="79">
        <v>60</v>
      </c>
      <c r="G269" s="23">
        <f t="shared" si="52"/>
        <v>243</v>
      </c>
      <c r="H269" s="23">
        <f t="shared" si="54"/>
        <v>81</v>
      </c>
      <c r="I269" s="23">
        <f t="shared" si="53"/>
        <v>303</v>
      </c>
      <c r="J269" s="23">
        <f t="shared" si="55"/>
        <v>35.354700000000001</v>
      </c>
      <c r="K269" s="23">
        <f t="shared" si="56"/>
        <v>56.384500000000003</v>
      </c>
      <c r="L269" s="23">
        <f t="shared" si="57"/>
        <v>21.930099999999999</v>
      </c>
      <c r="M269" s="23">
        <f t="shared" si="58"/>
        <v>18.242699999999999</v>
      </c>
      <c r="N269" s="23">
        <f t="shared" si="59"/>
        <v>113.66930000000001</v>
      </c>
      <c r="O269" s="23">
        <f t="shared" si="60"/>
        <v>131.91200000000001</v>
      </c>
      <c r="P269">
        <v>1</v>
      </c>
      <c r="Q269">
        <f t="shared" si="61"/>
        <v>3</v>
      </c>
      <c r="R269">
        <f t="shared" si="62"/>
        <v>3</v>
      </c>
      <c r="S269">
        <f t="shared" si="63"/>
        <v>0</v>
      </c>
      <c r="V269" t="s">
        <v>312</v>
      </c>
    </row>
    <row r="270" spans="1:24">
      <c r="A270">
        <v>269</v>
      </c>
      <c r="B270" s="12" t="s">
        <v>756</v>
      </c>
      <c r="C270" s="79">
        <v>75</v>
      </c>
      <c r="D270" s="79">
        <v>96</v>
      </c>
      <c r="E270" s="79">
        <v>65</v>
      </c>
      <c r="F270" s="79">
        <v>65</v>
      </c>
      <c r="G270" s="23">
        <f t="shared" si="52"/>
        <v>236</v>
      </c>
      <c r="H270" s="23">
        <f t="shared" si="54"/>
        <v>78.666666666666671</v>
      </c>
      <c r="I270" s="23">
        <f t="shared" si="53"/>
        <v>301</v>
      </c>
      <c r="J270" s="23">
        <f t="shared" si="55"/>
        <v>30.477599999999999</v>
      </c>
      <c r="K270" s="23">
        <f t="shared" si="56"/>
        <v>53.773000000000003</v>
      </c>
      <c r="L270" s="23">
        <f t="shared" si="57"/>
        <v>21.930099999999999</v>
      </c>
      <c r="M270" s="23">
        <f t="shared" si="58"/>
        <v>21.930099999999999</v>
      </c>
      <c r="N270" s="23">
        <f t="shared" si="59"/>
        <v>106.1807</v>
      </c>
      <c r="O270" s="23">
        <f t="shared" si="60"/>
        <v>128.11080000000001</v>
      </c>
      <c r="P270">
        <v>1</v>
      </c>
      <c r="Q270">
        <f t="shared" si="61"/>
        <v>3</v>
      </c>
      <c r="R270">
        <f t="shared" si="62"/>
        <v>3</v>
      </c>
      <c r="S270">
        <f t="shared" si="63"/>
        <v>0</v>
      </c>
      <c r="V270" t="s">
        <v>312</v>
      </c>
    </row>
    <row r="271" spans="1:24">
      <c r="A271">
        <v>270</v>
      </c>
      <c r="B271" s="12" t="s">
        <v>757</v>
      </c>
      <c r="C271" s="79">
        <v>75</v>
      </c>
      <c r="D271" s="79">
        <v>94</v>
      </c>
      <c r="E271" s="79">
        <v>90</v>
      </c>
      <c r="F271" s="79">
        <v>65</v>
      </c>
      <c r="G271" s="23">
        <f t="shared" si="52"/>
        <v>259</v>
      </c>
      <c r="H271" s="23">
        <f t="shared" si="54"/>
        <v>86.333333333333329</v>
      </c>
      <c r="I271" s="23">
        <f t="shared" si="53"/>
        <v>324</v>
      </c>
      <c r="J271" s="23">
        <f t="shared" si="55"/>
        <v>30.477599999999999</v>
      </c>
      <c r="K271" s="23">
        <f t="shared" si="56"/>
        <v>51.231200000000001</v>
      </c>
      <c r="L271" s="23">
        <f t="shared" si="57"/>
        <v>46.3551</v>
      </c>
      <c r="M271" s="23">
        <f t="shared" si="58"/>
        <v>21.930099999999999</v>
      </c>
      <c r="N271" s="23">
        <f t="shared" si="59"/>
        <v>128.06389999999999</v>
      </c>
      <c r="O271" s="23">
        <f t="shared" si="60"/>
        <v>149.994</v>
      </c>
      <c r="P271">
        <v>1</v>
      </c>
      <c r="Q271">
        <f t="shared" si="61"/>
        <v>3</v>
      </c>
      <c r="R271">
        <f t="shared" si="62"/>
        <v>3</v>
      </c>
      <c r="S271">
        <f t="shared" si="63"/>
        <v>0</v>
      </c>
      <c r="V271" t="s">
        <v>312</v>
      </c>
    </row>
    <row r="272" spans="1:24">
      <c r="A272">
        <v>271</v>
      </c>
      <c r="B272" s="12" t="s">
        <v>758</v>
      </c>
      <c r="C272" s="79">
        <v>75</v>
      </c>
      <c r="D272" s="79">
        <v>92</v>
      </c>
      <c r="E272" s="79">
        <v>65</v>
      </c>
      <c r="F272" s="79">
        <v>65</v>
      </c>
      <c r="G272" s="23">
        <f t="shared" si="52"/>
        <v>232</v>
      </c>
      <c r="H272" s="23">
        <f t="shared" si="54"/>
        <v>77.333333333333329</v>
      </c>
      <c r="I272" s="23">
        <f t="shared" si="53"/>
        <v>297</v>
      </c>
      <c r="J272" s="23">
        <f t="shared" si="55"/>
        <v>30.477599999999999</v>
      </c>
      <c r="K272" s="23">
        <f t="shared" si="56"/>
        <v>48.758699999999997</v>
      </c>
      <c r="L272" s="23">
        <f t="shared" si="57"/>
        <v>21.930099999999999</v>
      </c>
      <c r="M272" s="23">
        <f t="shared" si="58"/>
        <v>21.930099999999999</v>
      </c>
      <c r="N272" s="23">
        <f t="shared" si="59"/>
        <v>101.1664</v>
      </c>
      <c r="O272" s="23">
        <f t="shared" si="60"/>
        <v>123.09649999999999</v>
      </c>
      <c r="P272">
        <v>1</v>
      </c>
      <c r="Q272">
        <f t="shared" si="61"/>
        <v>3</v>
      </c>
      <c r="R272">
        <f t="shared" si="62"/>
        <v>3</v>
      </c>
      <c r="S272">
        <f t="shared" si="63"/>
        <v>0</v>
      </c>
      <c r="V272" t="s">
        <v>312</v>
      </c>
    </row>
    <row r="273" spans="1:24">
      <c r="A273">
        <v>272</v>
      </c>
      <c r="B273" s="12" t="s">
        <v>759</v>
      </c>
      <c r="C273" s="79">
        <v>75</v>
      </c>
      <c r="D273" s="79">
        <v>90</v>
      </c>
      <c r="E273" s="79">
        <v>65</v>
      </c>
      <c r="F273" s="79">
        <v>65</v>
      </c>
      <c r="G273" s="23">
        <f t="shared" si="52"/>
        <v>230</v>
      </c>
      <c r="H273" s="23">
        <f t="shared" si="54"/>
        <v>76.666666666666671</v>
      </c>
      <c r="I273" s="23">
        <f t="shared" si="53"/>
        <v>295</v>
      </c>
      <c r="J273" s="23">
        <f t="shared" si="55"/>
        <v>30.477599999999999</v>
      </c>
      <c r="K273" s="23">
        <f t="shared" si="56"/>
        <v>46.3551</v>
      </c>
      <c r="L273" s="23">
        <f t="shared" si="57"/>
        <v>21.930099999999999</v>
      </c>
      <c r="M273" s="23">
        <f t="shared" si="58"/>
        <v>21.930099999999999</v>
      </c>
      <c r="N273" s="23">
        <f t="shared" si="59"/>
        <v>98.762799999999999</v>
      </c>
      <c r="O273" s="23">
        <f t="shared" si="60"/>
        <v>120.69289999999999</v>
      </c>
      <c r="P273">
        <v>1</v>
      </c>
      <c r="Q273">
        <f t="shared" si="61"/>
        <v>3</v>
      </c>
      <c r="R273">
        <f t="shared" si="62"/>
        <v>3</v>
      </c>
      <c r="S273">
        <f t="shared" si="63"/>
        <v>0</v>
      </c>
      <c r="V273" t="s">
        <v>312</v>
      </c>
    </row>
    <row r="274" spans="1:24">
      <c r="A274">
        <v>273</v>
      </c>
      <c r="B274" s="12" t="s">
        <v>760</v>
      </c>
      <c r="C274" s="79">
        <v>75</v>
      </c>
      <c r="D274" s="79">
        <v>88</v>
      </c>
      <c r="E274" s="79">
        <v>65</v>
      </c>
      <c r="F274" s="79">
        <v>65</v>
      </c>
      <c r="G274" s="23">
        <f t="shared" si="52"/>
        <v>228</v>
      </c>
      <c r="H274" s="23">
        <f t="shared" si="54"/>
        <v>76</v>
      </c>
      <c r="I274" s="23">
        <f t="shared" si="53"/>
        <v>293</v>
      </c>
      <c r="J274" s="23">
        <f t="shared" si="55"/>
        <v>30.477599999999999</v>
      </c>
      <c r="K274" s="23">
        <f t="shared" si="56"/>
        <v>44.02</v>
      </c>
      <c r="L274" s="23">
        <f t="shared" si="57"/>
        <v>21.930099999999999</v>
      </c>
      <c r="M274" s="23">
        <f t="shared" si="58"/>
        <v>21.930099999999999</v>
      </c>
      <c r="N274" s="23">
        <f t="shared" si="59"/>
        <v>96.427700000000002</v>
      </c>
      <c r="O274" s="23">
        <f t="shared" si="60"/>
        <v>118.3578</v>
      </c>
      <c r="P274">
        <v>1</v>
      </c>
      <c r="Q274">
        <f t="shared" si="61"/>
        <v>3</v>
      </c>
      <c r="R274">
        <f t="shared" si="62"/>
        <v>2</v>
      </c>
      <c r="S274">
        <f t="shared" si="63"/>
        <v>-1</v>
      </c>
      <c r="V274" t="s">
        <v>312</v>
      </c>
    </row>
    <row r="275" spans="1:24">
      <c r="A275">
        <v>274</v>
      </c>
      <c r="B275" s="12" t="s">
        <v>761</v>
      </c>
      <c r="C275" s="79">
        <v>75</v>
      </c>
      <c r="D275" s="79">
        <v>86</v>
      </c>
      <c r="E275" s="79">
        <v>85</v>
      </c>
      <c r="F275" s="79">
        <v>65</v>
      </c>
      <c r="G275" s="23">
        <f t="shared" si="52"/>
        <v>246</v>
      </c>
      <c r="H275" s="23">
        <f t="shared" si="54"/>
        <v>82</v>
      </c>
      <c r="I275" s="23">
        <f t="shared" si="53"/>
        <v>311</v>
      </c>
      <c r="J275" s="23">
        <f t="shared" si="55"/>
        <v>30.477599999999999</v>
      </c>
      <c r="K275" s="23">
        <f t="shared" si="56"/>
        <v>41.752899999999997</v>
      </c>
      <c r="L275" s="23">
        <f t="shared" si="57"/>
        <v>40.6447</v>
      </c>
      <c r="M275" s="23">
        <f t="shared" si="58"/>
        <v>21.930099999999999</v>
      </c>
      <c r="N275" s="23">
        <f t="shared" si="59"/>
        <v>112.87519999999999</v>
      </c>
      <c r="O275" s="23">
        <f t="shared" si="60"/>
        <v>134.80529999999999</v>
      </c>
      <c r="P275">
        <v>1</v>
      </c>
      <c r="Q275">
        <f t="shared" si="61"/>
        <v>3</v>
      </c>
      <c r="R275">
        <f t="shared" si="62"/>
        <v>3</v>
      </c>
      <c r="S275">
        <f t="shared" si="63"/>
        <v>0</v>
      </c>
      <c r="V275" t="s">
        <v>312</v>
      </c>
    </row>
    <row r="276" spans="1:24">
      <c r="A276">
        <v>275</v>
      </c>
      <c r="B276" s="12" t="s">
        <v>762</v>
      </c>
      <c r="C276" s="79">
        <v>75</v>
      </c>
      <c r="D276" s="79">
        <v>84</v>
      </c>
      <c r="E276" s="79">
        <v>90</v>
      </c>
      <c r="F276" s="79">
        <v>60</v>
      </c>
      <c r="G276" s="23">
        <f t="shared" si="52"/>
        <v>249</v>
      </c>
      <c r="H276" s="23">
        <f t="shared" si="54"/>
        <v>83</v>
      </c>
      <c r="I276" s="23">
        <f t="shared" si="53"/>
        <v>309</v>
      </c>
      <c r="J276" s="23">
        <f t="shared" si="55"/>
        <v>30.477599999999999</v>
      </c>
      <c r="K276" s="23">
        <f t="shared" si="56"/>
        <v>39.5533</v>
      </c>
      <c r="L276" s="23">
        <f t="shared" si="57"/>
        <v>46.3551</v>
      </c>
      <c r="M276" s="23">
        <f t="shared" si="58"/>
        <v>18.242699999999999</v>
      </c>
      <c r="N276" s="23">
        <f t="shared" si="59"/>
        <v>116.386</v>
      </c>
      <c r="O276" s="23">
        <f t="shared" si="60"/>
        <v>134.62869999999998</v>
      </c>
      <c r="P276">
        <v>1</v>
      </c>
      <c r="Q276">
        <f t="shared" si="61"/>
        <v>3</v>
      </c>
      <c r="R276">
        <f t="shared" si="62"/>
        <v>3</v>
      </c>
      <c r="S276">
        <f t="shared" si="63"/>
        <v>0</v>
      </c>
      <c r="V276" t="s">
        <v>312</v>
      </c>
    </row>
    <row r="277" spans="1:24">
      <c r="A277">
        <v>276</v>
      </c>
      <c r="B277" s="12" t="s">
        <v>763</v>
      </c>
      <c r="C277" s="79">
        <v>75</v>
      </c>
      <c r="D277" s="79">
        <v>82</v>
      </c>
      <c r="E277" s="79">
        <v>65</v>
      </c>
      <c r="F277" s="79">
        <v>60</v>
      </c>
      <c r="G277" s="23">
        <f t="shared" si="52"/>
        <v>222</v>
      </c>
      <c r="H277" s="23">
        <f t="shared" si="54"/>
        <v>74</v>
      </c>
      <c r="I277" s="23">
        <f t="shared" si="53"/>
        <v>282</v>
      </c>
      <c r="J277" s="23">
        <f t="shared" si="55"/>
        <v>30.477599999999999</v>
      </c>
      <c r="K277" s="23">
        <f t="shared" si="56"/>
        <v>37.420699999999997</v>
      </c>
      <c r="L277" s="23">
        <f t="shared" si="57"/>
        <v>21.930099999999999</v>
      </c>
      <c r="M277" s="23">
        <f t="shared" si="58"/>
        <v>18.242699999999999</v>
      </c>
      <c r="N277" s="23">
        <f t="shared" si="59"/>
        <v>89.828399999999988</v>
      </c>
      <c r="O277" s="23">
        <f t="shared" si="60"/>
        <v>108.07109999999999</v>
      </c>
      <c r="P277">
        <v>1</v>
      </c>
      <c r="Q277">
        <f t="shared" si="61"/>
        <v>2</v>
      </c>
      <c r="R277">
        <f t="shared" si="62"/>
        <v>2</v>
      </c>
      <c r="S277">
        <f t="shared" si="63"/>
        <v>0</v>
      </c>
      <c r="V277" t="s">
        <v>312</v>
      </c>
    </row>
    <row r="278" spans="1:24">
      <c r="A278">
        <v>277</v>
      </c>
      <c r="B278" s="12" t="s">
        <v>764</v>
      </c>
      <c r="C278" s="79">
        <v>93</v>
      </c>
      <c r="D278" s="79">
        <v>60</v>
      </c>
      <c r="E278" s="79">
        <v>65</v>
      </c>
      <c r="F278" s="79">
        <v>60</v>
      </c>
      <c r="G278" s="23">
        <f t="shared" si="52"/>
        <v>218</v>
      </c>
      <c r="H278" s="23">
        <f t="shared" si="54"/>
        <v>72.666666666666671</v>
      </c>
      <c r="I278" s="23">
        <f t="shared" si="53"/>
        <v>278</v>
      </c>
      <c r="J278" s="23">
        <f t="shared" si="55"/>
        <v>49.9863</v>
      </c>
      <c r="K278" s="23">
        <f t="shared" si="56"/>
        <v>18.242699999999999</v>
      </c>
      <c r="L278" s="23">
        <f t="shared" si="57"/>
        <v>21.930099999999999</v>
      </c>
      <c r="M278" s="23">
        <f t="shared" si="58"/>
        <v>18.242699999999999</v>
      </c>
      <c r="N278" s="23">
        <f t="shared" si="59"/>
        <v>90.159099999999995</v>
      </c>
      <c r="O278" s="23">
        <f t="shared" si="60"/>
        <v>108.40179999999999</v>
      </c>
      <c r="P278">
        <v>1</v>
      </c>
      <c r="Q278">
        <f t="shared" si="61"/>
        <v>3</v>
      </c>
      <c r="R278">
        <f t="shared" si="62"/>
        <v>2</v>
      </c>
      <c r="S278">
        <f t="shared" si="63"/>
        <v>-1</v>
      </c>
      <c r="V278" t="s">
        <v>312</v>
      </c>
    </row>
    <row r="279" spans="1:24">
      <c r="A279">
        <v>278</v>
      </c>
      <c r="B279" s="12" t="s">
        <v>756</v>
      </c>
      <c r="C279" s="79">
        <v>91</v>
      </c>
      <c r="D279" s="79">
        <v>60</v>
      </c>
      <c r="E279" s="79">
        <v>83</v>
      </c>
      <c r="F279" s="79">
        <v>65</v>
      </c>
      <c r="G279" s="23">
        <f t="shared" si="52"/>
        <v>234</v>
      </c>
      <c r="H279" s="23">
        <f t="shared" si="54"/>
        <v>78</v>
      </c>
      <c r="I279" s="23">
        <f t="shared" si="53"/>
        <v>299</v>
      </c>
      <c r="J279" s="23">
        <f t="shared" si="55"/>
        <v>47.548299999999998</v>
      </c>
      <c r="K279" s="23">
        <f t="shared" si="56"/>
        <v>18.242699999999999</v>
      </c>
      <c r="L279" s="23">
        <f t="shared" si="57"/>
        <v>38.4786</v>
      </c>
      <c r="M279" s="23">
        <f t="shared" si="58"/>
        <v>21.930099999999999</v>
      </c>
      <c r="N279" s="23">
        <f t="shared" si="59"/>
        <v>104.2696</v>
      </c>
      <c r="O279" s="23">
        <f t="shared" si="60"/>
        <v>126.19969999999999</v>
      </c>
      <c r="P279">
        <v>1</v>
      </c>
      <c r="Q279">
        <f t="shared" si="61"/>
        <v>3</v>
      </c>
      <c r="R279">
        <f t="shared" si="62"/>
        <v>3</v>
      </c>
      <c r="S279">
        <f t="shared" si="63"/>
        <v>0</v>
      </c>
      <c r="V279" t="s">
        <v>312</v>
      </c>
    </row>
    <row r="280" spans="1:24">
      <c r="A280">
        <v>279</v>
      </c>
      <c r="B280" s="12" t="s">
        <v>765</v>
      </c>
      <c r="C280" s="79">
        <v>89</v>
      </c>
      <c r="D280" s="79">
        <v>60</v>
      </c>
      <c r="E280" s="79">
        <v>93</v>
      </c>
      <c r="F280" s="79">
        <v>55</v>
      </c>
      <c r="G280" s="23">
        <f t="shared" si="52"/>
        <v>242</v>
      </c>
      <c r="H280" s="23">
        <f t="shared" si="54"/>
        <v>80.666666666666671</v>
      </c>
      <c r="I280" s="23">
        <f t="shared" si="53"/>
        <v>297</v>
      </c>
      <c r="J280" s="23">
        <f t="shared" si="55"/>
        <v>45.179099999999998</v>
      </c>
      <c r="K280" s="23">
        <f t="shared" si="56"/>
        <v>18.242699999999999</v>
      </c>
      <c r="L280" s="23">
        <f t="shared" si="57"/>
        <v>49.9863</v>
      </c>
      <c r="M280" s="23">
        <f t="shared" si="58"/>
        <v>14.9339</v>
      </c>
      <c r="N280" s="23">
        <f t="shared" si="59"/>
        <v>113.40809999999999</v>
      </c>
      <c r="O280" s="23">
        <f t="shared" si="60"/>
        <v>128.34199999999998</v>
      </c>
      <c r="P280">
        <v>1</v>
      </c>
      <c r="Q280">
        <f t="shared" si="61"/>
        <v>3</v>
      </c>
      <c r="R280">
        <f t="shared" si="62"/>
        <v>3</v>
      </c>
      <c r="S280">
        <f t="shared" si="63"/>
        <v>0</v>
      </c>
      <c r="V280" t="s">
        <v>312</v>
      </c>
    </row>
    <row r="281" spans="1:24">
      <c r="A281">
        <v>280</v>
      </c>
      <c r="B281" s="12" t="s">
        <v>758</v>
      </c>
      <c r="C281" s="79">
        <v>85</v>
      </c>
      <c r="D281" s="79">
        <v>60</v>
      </c>
      <c r="E281" s="79">
        <v>80</v>
      </c>
      <c r="F281" s="79">
        <v>50</v>
      </c>
      <c r="G281" s="23">
        <f t="shared" si="52"/>
        <v>225</v>
      </c>
      <c r="H281" s="23">
        <f t="shared" si="54"/>
        <v>75</v>
      </c>
      <c r="I281" s="23">
        <f t="shared" si="53"/>
        <v>275</v>
      </c>
      <c r="J281" s="23">
        <f t="shared" si="55"/>
        <v>40.6447</v>
      </c>
      <c r="K281" s="23">
        <f t="shared" si="56"/>
        <v>18.242699999999999</v>
      </c>
      <c r="L281" s="23">
        <f t="shared" si="57"/>
        <v>35.354700000000001</v>
      </c>
      <c r="M281" s="23">
        <f t="shared" si="58"/>
        <v>11.994199999999999</v>
      </c>
      <c r="N281" s="23">
        <f t="shared" si="59"/>
        <v>94.242099999999994</v>
      </c>
      <c r="O281" s="23">
        <f t="shared" si="60"/>
        <v>106.2363</v>
      </c>
      <c r="P281">
        <v>1</v>
      </c>
      <c r="Q281">
        <f t="shared" si="61"/>
        <v>3</v>
      </c>
      <c r="R281">
        <f t="shared" si="62"/>
        <v>2</v>
      </c>
      <c r="S281">
        <f t="shared" si="63"/>
        <v>-1</v>
      </c>
      <c r="V281" t="s">
        <v>312</v>
      </c>
    </row>
    <row r="282" spans="1:24">
      <c r="A282">
        <v>281</v>
      </c>
      <c r="B282" s="12" t="s">
        <v>766</v>
      </c>
      <c r="C282" s="79">
        <v>60</v>
      </c>
      <c r="D282" s="79">
        <v>75</v>
      </c>
      <c r="E282" s="79">
        <v>75</v>
      </c>
      <c r="F282" s="79">
        <v>50</v>
      </c>
      <c r="G282" s="23">
        <f t="shared" si="52"/>
        <v>210</v>
      </c>
      <c r="H282" s="23">
        <f t="shared" si="54"/>
        <v>70</v>
      </c>
      <c r="I282" s="23">
        <f t="shared" si="53"/>
        <v>260</v>
      </c>
      <c r="J282" s="23">
        <f t="shared" si="55"/>
        <v>18.242699999999999</v>
      </c>
      <c r="K282" s="23">
        <f t="shared" si="56"/>
        <v>30.477599999999999</v>
      </c>
      <c r="L282" s="23">
        <f t="shared" si="57"/>
        <v>30.477599999999999</v>
      </c>
      <c r="M282" s="23">
        <f t="shared" si="58"/>
        <v>11.994199999999999</v>
      </c>
      <c r="N282" s="23">
        <f t="shared" si="59"/>
        <v>79.19789999999999</v>
      </c>
      <c r="O282" s="23">
        <f t="shared" si="60"/>
        <v>91.192099999999982</v>
      </c>
      <c r="P282">
        <v>1</v>
      </c>
      <c r="Q282">
        <f t="shared" si="61"/>
        <v>2</v>
      </c>
      <c r="R282">
        <f t="shared" si="62"/>
        <v>2</v>
      </c>
      <c r="S282">
        <f t="shared" si="63"/>
        <v>0</v>
      </c>
      <c r="V282" t="s">
        <v>312</v>
      </c>
    </row>
    <row r="283" spans="1:24">
      <c r="A283">
        <v>282</v>
      </c>
      <c r="B283" s="12" t="s">
        <v>884</v>
      </c>
      <c r="C283" s="79">
        <v>95</v>
      </c>
      <c r="D283" s="79">
        <v>90</v>
      </c>
      <c r="E283" s="79">
        <v>80</v>
      </c>
      <c r="F283" s="79">
        <v>70</v>
      </c>
      <c r="G283" s="23">
        <f t="shared" si="52"/>
        <v>265</v>
      </c>
      <c r="H283" s="23">
        <f t="shared" si="54"/>
        <v>88.333333333333329</v>
      </c>
      <c r="I283" s="23">
        <f t="shared" si="53"/>
        <v>335</v>
      </c>
      <c r="J283" s="23">
        <f t="shared" si="55"/>
        <v>52.493400000000001</v>
      </c>
      <c r="K283" s="23">
        <f t="shared" si="56"/>
        <v>46.3551</v>
      </c>
      <c r="L283" s="23">
        <f t="shared" si="57"/>
        <v>35.354700000000001</v>
      </c>
      <c r="M283" s="23">
        <f t="shared" si="58"/>
        <v>26.005500000000001</v>
      </c>
      <c r="N283" s="23">
        <f t="shared" si="59"/>
        <v>134.20320000000001</v>
      </c>
      <c r="O283" s="23">
        <f t="shared" si="60"/>
        <v>160.20870000000002</v>
      </c>
      <c r="P283">
        <v>1</v>
      </c>
      <c r="Q283">
        <f t="shared" si="61"/>
        <v>3</v>
      </c>
      <c r="R283">
        <f t="shared" si="62"/>
        <v>3</v>
      </c>
      <c r="S283">
        <f t="shared" si="63"/>
        <v>0</v>
      </c>
      <c r="U283" t="s">
        <v>840</v>
      </c>
      <c r="V283" t="s">
        <v>312</v>
      </c>
      <c r="X283" t="s">
        <v>885</v>
      </c>
    </row>
    <row r="284" spans="1:24">
      <c r="A284">
        <v>283</v>
      </c>
      <c r="B284" t="s">
        <v>807</v>
      </c>
      <c r="C284" s="79">
        <v>70</v>
      </c>
      <c r="D284" s="79">
        <v>55</v>
      </c>
      <c r="E284" s="79">
        <v>60</v>
      </c>
      <c r="F284" s="79">
        <v>50</v>
      </c>
      <c r="G284" s="23">
        <f t="shared" ref="G284:G335" si="64">SUM(C284:E284)</f>
        <v>185</v>
      </c>
      <c r="H284" s="23">
        <f t="shared" si="54"/>
        <v>61.666666666666664</v>
      </c>
      <c r="I284" s="23">
        <f t="shared" ref="I284:I335" si="65">SUM(C284:F284)</f>
        <v>235</v>
      </c>
      <c r="J284" s="23">
        <f t="shared" si="55"/>
        <v>26.005500000000001</v>
      </c>
      <c r="K284" s="23">
        <f t="shared" si="56"/>
        <v>14.9339</v>
      </c>
      <c r="L284" s="23">
        <f t="shared" si="57"/>
        <v>18.242699999999999</v>
      </c>
      <c r="M284" s="23">
        <f t="shared" si="58"/>
        <v>11.994199999999999</v>
      </c>
      <c r="N284" s="23">
        <f t="shared" si="59"/>
        <v>59.182099999999998</v>
      </c>
      <c r="O284" s="23">
        <f t="shared" si="60"/>
        <v>71.176299999999998</v>
      </c>
      <c r="P284">
        <v>1</v>
      </c>
      <c r="Q284">
        <f t="shared" si="61"/>
        <v>2</v>
      </c>
      <c r="R284">
        <f t="shared" si="62"/>
        <v>2</v>
      </c>
      <c r="S284">
        <f t="shared" si="63"/>
        <v>0</v>
      </c>
      <c r="V284" t="s">
        <v>1047</v>
      </c>
      <c r="X284" t="s">
        <v>808</v>
      </c>
    </row>
    <row r="285" spans="1:24">
      <c r="A285">
        <v>284</v>
      </c>
      <c r="B285" t="s">
        <v>767</v>
      </c>
      <c r="C285" s="79">
        <v>60</v>
      </c>
      <c r="D285" s="79">
        <v>55</v>
      </c>
      <c r="E285" s="79">
        <v>50</v>
      </c>
      <c r="F285" s="79">
        <v>50</v>
      </c>
      <c r="G285" s="23">
        <f t="shared" si="64"/>
        <v>165</v>
      </c>
      <c r="H285" s="23">
        <f t="shared" si="54"/>
        <v>55</v>
      </c>
      <c r="I285" s="23">
        <f t="shared" si="65"/>
        <v>215</v>
      </c>
      <c r="J285" s="23">
        <f t="shared" si="55"/>
        <v>18.242699999999999</v>
      </c>
      <c r="K285" s="23">
        <f t="shared" si="56"/>
        <v>14.9339</v>
      </c>
      <c r="L285" s="23">
        <f t="shared" si="57"/>
        <v>11.994199999999999</v>
      </c>
      <c r="M285" s="23">
        <f t="shared" si="58"/>
        <v>11.994199999999999</v>
      </c>
      <c r="N285" s="23">
        <f t="shared" si="59"/>
        <v>45.1708</v>
      </c>
      <c r="O285" s="23">
        <f t="shared" si="60"/>
        <v>57.164999999999999</v>
      </c>
      <c r="P285">
        <v>1</v>
      </c>
      <c r="Q285">
        <f t="shared" si="61"/>
        <v>2</v>
      </c>
      <c r="R285">
        <f t="shared" si="62"/>
        <v>1</v>
      </c>
      <c r="S285">
        <f t="shared" si="63"/>
        <v>-1</v>
      </c>
      <c r="V285" t="s">
        <v>1047</v>
      </c>
      <c r="X285" t="s">
        <v>809</v>
      </c>
    </row>
    <row r="286" spans="1:24">
      <c r="A286">
        <v>285</v>
      </c>
      <c r="B286" t="s">
        <v>768</v>
      </c>
      <c r="C286" s="79">
        <v>50</v>
      </c>
      <c r="D286" s="79">
        <v>40</v>
      </c>
      <c r="E286" s="79">
        <v>40</v>
      </c>
      <c r="F286" s="79">
        <v>40</v>
      </c>
      <c r="G286" s="23">
        <f t="shared" si="64"/>
        <v>130</v>
      </c>
      <c r="H286" s="23">
        <f t="shared" si="54"/>
        <v>43.333333333333336</v>
      </c>
      <c r="I286" s="23">
        <f t="shared" si="65"/>
        <v>170</v>
      </c>
      <c r="J286" s="23">
        <f t="shared" si="55"/>
        <v>11.994199999999999</v>
      </c>
      <c r="K286" s="23">
        <f t="shared" si="56"/>
        <v>7.1791999999999998</v>
      </c>
      <c r="L286" s="23">
        <f t="shared" si="57"/>
        <v>7.1791999999999998</v>
      </c>
      <c r="M286" s="23">
        <f t="shared" si="58"/>
        <v>7.1791999999999998</v>
      </c>
      <c r="N286" s="23">
        <f t="shared" si="59"/>
        <v>26.352600000000002</v>
      </c>
      <c r="O286" s="23">
        <f t="shared" si="60"/>
        <v>33.531800000000004</v>
      </c>
      <c r="P286">
        <v>1</v>
      </c>
      <c r="Q286">
        <f t="shared" si="61"/>
        <v>1</v>
      </c>
      <c r="R286">
        <f t="shared" si="62"/>
        <v>1</v>
      </c>
      <c r="S286">
        <f t="shared" si="63"/>
        <v>0</v>
      </c>
      <c r="V286" t="s">
        <v>1047</v>
      </c>
      <c r="X286" t="s">
        <v>810</v>
      </c>
    </row>
    <row r="287" spans="1:24">
      <c r="A287">
        <v>286</v>
      </c>
      <c r="B287" t="s">
        <v>769</v>
      </c>
      <c r="C287" s="79">
        <v>75</v>
      </c>
      <c r="D287" s="79">
        <v>85</v>
      </c>
      <c r="E287" s="79">
        <v>60</v>
      </c>
      <c r="F287" s="79">
        <v>60</v>
      </c>
      <c r="G287" s="23">
        <f t="shared" si="64"/>
        <v>220</v>
      </c>
      <c r="H287" s="23">
        <f t="shared" si="54"/>
        <v>73.333333333333329</v>
      </c>
      <c r="I287" s="23">
        <f t="shared" si="65"/>
        <v>280</v>
      </c>
      <c r="J287" s="23">
        <f t="shared" si="55"/>
        <v>30.477599999999999</v>
      </c>
      <c r="K287" s="23">
        <f t="shared" si="56"/>
        <v>40.6447</v>
      </c>
      <c r="L287" s="23">
        <f t="shared" si="57"/>
        <v>18.242699999999999</v>
      </c>
      <c r="M287" s="23">
        <f t="shared" si="58"/>
        <v>18.242699999999999</v>
      </c>
      <c r="N287" s="23">
        <f t="shared" si="59"/>
        <v>89.364999999999995</v>
      </c>
      <c r="O287" s="23">
        <f t="shared" si="60"/>
        <v>107.60769999999999</v>
      </c>
      <c r="P287">
        <v>1</v>
      </c>
      <c r="Q287">
        <f t="shared" si="61"/>
        <v>2</v>
      </c>
      <c r="R287">
        <f t="shared" si="62"/>
        <v>2</v>
      </c>
      <c r="S287">
        <f t="shared" si="63"/>
        <v>0</v>
      </c>
      <c r="V287" t="s">
        <v>1047</v>
      </c>
      <c r="X287" t="s">
        <v>811</v>
      </c>
    </row>
    <row r="288" spans="1:24">
      <c r="A288">
        <v>287</v>
      </c>
      <c r="B288" t="s">
        <v>770</v>
      </c>
      <c r="C288" s="79">
        <v>75</v>
      </c>
      <c r="D288" s="79">
        <v>40</v>
      </c>
      <c r="E288" s="79">
        <v>70</v>
      </c>
      <c r="F288" s="79">
        <v>90</v>
      </c>
      <c r="G288" s="23">
        <f t="shared" si="64"/>
        <v>185</v>
      </c>
      <c r="H288" s="23">
        <f t="shared" si="54"/>
        <v>61.666666666666664</v>
      </c>
      <c r="I288" s="23">
        <f t="shared" si="65"/>
        <v>275</v>
      </c>
      <c r="J288" s="23">
        <f t="shared" si="55"/>
        <v>30.477599999999999</v>
      </c>
      <c r="K288" s="23">
        <f t="shared" si="56"/>
        <v>7.1791999999999998</v>
      </c>
      <c r="L288" s="23">
        <f t="shared" si="57"/>
        <v>26.005500000000001</v>
      </c>
      <c r="M288" s="23">
        <f t="shared" si="58"/>
        <v>46.3551</v>
      </c>
      <c r="N288" s="23">
        <f t="shared" si="59"/>
        <v>63.662300000000002</v>
      </c>
      <c r="O288" s="23">
        <f t="shared" si="60"/>
        <v>110.01740000000001</v>
      </c>
      <c r="P288">
        <v>1</v>
      </c>
      <c r="Q288">
        <f t="shared" si="61"/>
        <v>2</v>
      </c>
      <c r="R288">
        <f t="shared" si="62"/>
        <v>2</v>
      </c>
      <c r="S288">
        <f t="shared" si="63"/>
        <v>0</v>
      </c>
      <c r="V288" t="s">
        <v>1047</v>
      </c>
      <c r="X288" t="s">
        <v>812</v>
      </c>
    </row>
    <row r="289" spans="1:24">
      <c r="A289">
        <v>288</v>
      </c>
      <c r="B289" t="s">
        <v>771</v>
      </c>
      <c r="C289" s="79">
        <v>65</v>
      </c>
      <c r="D289" s="79">
        <v>75</v>
      </c>
      <c r="E289" s="79">
        <v>70</v>
      </c>
      <c r="F289" s="79">
        <v>85</v>
      </c>
      <c r="G289" s="23">
        <f t="shared" si="64"/>
        <v>210</v>
      </c>
      <c r="H289" s="23">
        <f t="shared" si="54"/>
        <v>70</v>
      </c>
      <c r="I289" s="23">
        <f t="shared" si="65"/>
        <v>295</v>
      </c>
      <c r="J289" s="23">
        <f t="shared" si="55"/>
        <v>21.930099999999999</v>
      </c>
      <c r="K289" s="23">
        <f t="shared" si="56"/>
        <v>30.477599999999999</v>
      </c>
      <c r="L289" s="23">
        <f t="shared" si="57"/>
        <v>26.005500000000001</v>
      </c>
      <c r="M289" s="23">
        <f t="shared" si="58"/>
        <v>40.6447</v>
      </c>
      <c r="N289" s="23">
        <f t="shared" si="59"/>
        <v>78.413200000000003</v>
      </c>
      <c r="O289" s="23">
        <f t="shared" si="60"/>
        <v>119.0579</v>
      </c>
      <c r="P289">
        <v>1</v>
      </c>
      <c r="Q289">
        <f t="shared" si="61"/>
        <v>2</v>
      </c>
      <c r="R289">
        <f t="shared" si="62"/>
        <v>2</v>
      </c>
      <c r="S289">
        <f t="shared" si="63"/>
        <v>0</v>
      </c>
      <c r="V289" t="s">
        <v>1047</v>
      </c>
      <c r="X289" t="s">
        <v>813</v>
      </c>
    </row>
    <row r="290" spans="1:24">
      <c r="A290">
        <v>289</v>
      </c>
      <c r="B290" t="s">
        <v>772</v>
      </c>
      <c r="C290" s="79">
        <v>65</v>
      </c>
      <c r="D290" s="79">
        <v>80</v>
      </c>
      <c r="E290" s="79">
        <v>40</v>
      </c>
      <c r="F290" s="79">
        <v>55</v>
      </c>
      <c r="G290" s="23">
        <f t="shared" si="64"/>
        <v>185</v>
      </c>
      <c r="H290" s="23">
        <f t="shared" si="54"/>
        <v>61.666666666666664</v>
      </c>
      <c r="I290" s="23">
        <f t="shared" si="65"/>
        <v>240</v>
      </c>
      <c r="J290" s="23">
        <f t="shared" si="55"/>
        <v>21.930099999999999</v>
      </c>
      <c r="K290" s="23">
        <f t="shared" si="56"/>
        <v>35.354700000000001</v>
      </c>
      <c r="L290" s="23">
        <f t="shared" si="57"/>
        <v>7.1791999999999998</v>
      </c>
      <c r="M290" s="23">
        <f t="shared" si="58"/>
        <v>14.9339</v>
      </c>
      <c r="N290" s="23">
        <f t="shared" si="59"/>
        <v>64.463999999999999</v>
      </c>
      <c r="O290" s="23">
        <f t="shared" si="60"/>
        <v>79.397899999999993</v>
      </c>
      <c r="P290">
        <v>1</v>
      </c>
      <c r="Q290">
        <f t="shared" si="61"/>
        <v>2</v>
      </c>
      <c r="R290">
        <f t="shared" si="62"/>
        <v>2</v>
      </c>
      <c r="S290">
        <f t="shared" si="63"/>
        <v>0</v>
      </c>
      <c r="V290" t="s">
        <v>1047</v>
      </c>
      <c r="X290" t="s">
        <v>814</v>
      </c>
    </row>
    <row r="291" spans="1:24">
      <c r="A291">
        <v>290</v>
      </c>
      <c r="B291" t="s">
        <v>773</v>
      </c>
      <c r="C291" s="79">
        <v>60</v>
      </c>
      <c r="D291" s="79">
        <v>80</v>
      </c>
      <c r="E291" s="79">
        <v>40</v>
      </c>
      <c r="F291" s="79">
        <v>50</v>
      </c>
      <c r="G291" s="23">
        <f t="shared" si="64"/>
        <v>180</v>
      </c>
      <c r="H291" s="23">
        <f t="shared" si="54"/>
        <v>60</v>
      </c>
      <c r="I291" s="23">
        <f t="shared" si="65"/>
        <v>230</v>
      </c>
      <c r="J291" s="23">
        <f t="shared" si="55"/>
        <v>18.242699999999999</v>
      </c>
      <c r="K291" s="23">
        <f t="shared" si="56"/>
        <v>35.354700000000001</v>
      </c>
      <c r="L291" s="23">
        <f t="shared" si="57"/>
        <v>7.1791999999999998</v>
      </c>
      <c r="M291" s="23">
        <f t="shared" si="58"/>
        <v>11.994199999999999</v>
      </c>
      <c r="N291" s="23">
        <f t="shared" si="59"/>
        <v>60.776600000000002</v>
      </c>
      <c r="O291" s="23">
        <f t="shared" si="60"/>
        <v>72.770800000000008</v>
      </c>
      <c r="P291">
        <v>1</v>
      </c>
      <c r="Q291">
        <f t="shared" si="61"/>
        <v>2</v>
      </c>
      <c r="R291">
        <f t="shared" si="62"/>
        <v>2</v>
      </c>
      <c r="S291">
        <f t="shared" si="63"/>
        <v>0</v>
      </c>
      <c r="V291" t="s">
        <v>1047</v>
      </c>
      <c r="X291" t="s">
        <v>815</v>
      </c>
    </row>
    <row r="292" spans="1:24">
      <c r="A292">
        <v>291</v>
      </c>
      <c r="B292" t="s">
        <v>774</v>
      </c>
      <c r="C292" s="79">
        <v>70</v>
      </c>
      <c r="D292" s="79">
        <v>70</v>
      </c>
      <c r="E292" s="79">
        <v>40</v>
      </c>
      <c r="F292" s="79">
        <v>50</v>
      </c>
      <c r="G292" s="23">
        <f t="shared" si="64"/>
        <v>180</v>
      </c>
      <c r="H292" s="23">
        <f t="shared" si="54"/>
        <v>60</v>
      </c>
      <c r="I292" s="23">
        <f t="shared" si="65"/>
        <v>230</v>
      </c>
      <c r="J292" s="23">
        <f t="shared" si="55"/>
        <v>26.005500000000001</v>
      </c>
      <c r="K292" s="23">
        <f t="shared" si="56"/>
        <v>26.005500000000001</v>
      </c>
      <c r="L292" s="23">
        <f t="shared" si="57"/>
        <v>7.1791999999999998</v>
      </c>
      <c r="M292" s="23">
        <f t="shared" si="58"/>
        <v>11.994199999999999</v>
      </c>
      <c r="N292" s="23">
        <f t="shared" si="59"/>
        <v>59.190200000000004</v>
      </c>
      <c r="O292" s="23">
        <f t="shared" si="60"/>
        <v>71.184400000000011</v>
      </c>
      <c r="P292">
        <v>1</v>
      </c>
      <c r="Q292">
        <f t="shared" si="61"/>
        <v>2</v>
      </c>
      <c r="R292">
        <f t="shared" si="62"/>
        <v>2</v>
      </c>
      <c r="S292">
        <f t="shared" si="63"/>
        <v>0</v>
      </c>
      <c r="V292" t="s">
        <v>1047</v>
      </c>
      <c r="X292" t="s">
        <v>816</v>
      </c>
    </row>
    <row r="293" spans="1:24">
      <c r="A293">
        <v>292</v>
      </c>
      <c r="B293" t="s">
        <v>775</v>
      </c>
      <c r="C293" s="79">
        <v>40</v>
      </c>
      <c r="D293" s="79">
        <v>50</v>
      </c>
      <c r="E293" s="79">
        <v>30</v>
      </c>
      <c r="F293" s="79">
        <v>40</v>
      </c>
      <c r="G293" s="23">
        <f t="shared" si="64"/>
        <v>120</v>
      </c>
      <c r="H293" s="23">
        <f t="shared" si="54"/>
        <v>40</v>
      </c>
      <c r="I293" s="23">
        <f t="shared" si="65"/>
        <v>160</v>
      </c>
      <c r="J293" s="23">
        <f t="shared" si="55"/>
        <v>7.1791999999999998</v>
      </c>
      <c r="K293" s="23">
        <f t="shared" si="56"/>
        <v>11.994199999999999</v>
      </c>
      <c r="L293" s="23">
        <f t="shared" si="57"/>
        <v>3.7044000000000001</v>
      </c>
      <c r="M293" s="23">
        <f t="shared" si="58"/>
        <v>7.1791999999999998</v>
      </c>
      <c r="N293" s="23">
        <f t="shared" si="59"/>
        <v>22.877800000000001</v>
      </c>
      <c r="O293" s="23">
        <f t="shared" si="60"/>
        <v>30.057000000000002</v>
      </c>
      <c r="P293">
        <v>1</v>
      </c>
      <c r="Q293">
        <f t="shared" si="61"/>
        <v>1</v>
      </c>
      <c r="R293">
        <f t="shared" si="62"/>
        <v>1</v>
      </c>
      <c r="S293">
        <f t="shared" si="63"/>
        <v>0</v>
      </c>
      <c r="V293" t="s">
        <v>1047</v>
      </c>
      <c r="X293" t="s">
        <v>817</v>
      </c>
    </row>
    <row r="294" spans="1:24">
      <c r="A294">
        <v>293</v>
      </c>
      <c r="B294" t="s">
        <v>776</v>
      </c>
      <c r="C294" s="79">
        <v>75</v>
      </c>
      <c r="D294" s="79">
        <v>80</v>
      </c>
      <c r="E294" s="79">
        <v>60</v>
      </c>
      <c r="F294" s="79">
        <v>55</v>
      </c>
      <c r="G294" s="23">
        <f t="shared" si="64"/>
        <v>215</v>
      </c>
      <c r="H294" s="23">
        <f t="shared" si="54"/>
        <v>71.666666666666671</v>
      </c>
      <c r="I294" s="23">
        <f t="shared" si="65"/>
        <v>270</v>
      </c>
      <c r="J294" s="23">
        <f t="shared" si="55"/>
        <v>30.477599999999999</v>
      </c>
      <c r="K294" s="23">
        <f t="shared" si="56"/>
        <v>35.354700000000001</v>
      </c>
      <c r="L294" s="23">
        <f t="shared" si="57"/>
        <v>18.242699999999999</v>
      </c>
      <c r="M294" s="23">
        <f t="shared" si="58"/>
        <v>14.9339</v>
      </c>
      <c r="N294" s="23">
        <f t="shared" si="59"/>
        <v>84.075000000000003</v>
      </c>
      <c r="O294" s="23">
        <f t="shared" si="60"/>
        <v>99.008899999999997</v>
      </c>
      <c r="P294">
        <v>1</v>
      </c>
      <c r="Q294">
        <f t="shared" si="61"/>
        <v>2</v>
      </c>
      <c r="R294">
        <f t="shared" si="62"/>
        <v>2</v>
      </c>
      <c r="S294">
        <f t="shared" si="63"/>
        <v>0</v>
      </c>
      <c r="V294" t="s">
        <v>1047</v>
      </c>
      <c r="X294" t="s">
        <v>818</v>
      </c>
    </row>
    <row r="295" spans="1:24">
      <c r="A295">
        <v>294</v>
      </c>
      <c r="B295" t="s">
        <v>777</v>
      </c>
      <c r="C295" s="79">
        <v>70</v>
      </c>
      <c r="D295" s="79">
        <v>70</v>
      </c>
      <c r="E295" s="79">
        <v>60</v>
      </c>
      <c r="F295" s="79">
        <v>70</v>
      </c>
      <c r="G295" s="23">
        <f t="shared" si="64"/>
        <v>200</v>
      </c>
      <c r="H295" s="23">
        <f t="shared" si="54"/>
        <v>66.666666666666671</v>
      </c>
      <c r="I295" s="23">
        <f t="shared" si="65"/>
        <v>270</v>
      </c>
      <c r="J295" s="23">
        <f t="shared" si="55"/>
        <v>26.005500000000001</v>
      </c>
      <c r="K295" s="23">
        <f t="shared" si="56"/>
        <v>26.005500000000001</v>
      </c>
      <c r="L295" s="23">
        <f t="shared" si="57"/>
        <v>18.242699999999999</v>
      </c>
      <c r="M295" s="23">
        <f t="shared" si="58"/>
        <v>26.005500000000001</v>
      </c>
      <c r="N295" s="23">
        <f t="shared" si="59"/>
        <v>70.253700000000009</v>
      </c>
      <c r="O295" s="23">
        <f t="shared" si="60"/>
        <v>96.259200000000007</v>
      </c>
      <c r="P295">
        <v>1</v>
      </c>
      <c r="Q295">
        <f t="shared" si="61"/>
        <v>2</v>
      </c>
      <c r="R295">
        <f t="shared" si="62"/>
        <v>2</v>
      </c>
      <c r="S295">
        <f t="shared" si="63"/>
        <v>0</v>
      </c>
      <c r="V295" t="s">
        <v>1047</v>
      </c>
      <c r="X295" t="s">
        <v>819</v>
      </c>
    </row>
    <row r="296" spans="1:24">
      <c r="A296">
        <v>295</v>
      </c>
      <c r="B296" t="s">
        <v>778</v>
      </c>
      <c r="C296" s="79">
        <v>55</v>
      </c>
      <c r="D296" s="79">
        <v>65</v>
      </c>
      <c r="E296" s="79">
        <v>60</v>
      </c>
      <c r="F296" s="79">
        <v>70</v>
      </c>
      <c r="G296" s="23">
        <f t="shared" si="64"/>
        <v>180</v>
      </c>
      <c r="H296" s="23">
        <f t="shared" si="54"/>
        <v>60</v>
      </c>
      <c r="I296" s="23">
        <f t="shared" si="65"/>
        <v>250</v>
      </c>
      <c r="J296" s="23">
        <f t="shared" si="55"/>
        <v>14.9339</v>
      </c>
      <c r="K296" s="23">
        <f t="shared" si="56"/>
        <v>21.930099999999999</v>
      </c>
      <c r="L296" s="23">
        <f t="shared" si="57"/>
        <v>18.242699999999999</v>
      </c>
      <c r="M296" s="23">
        <f t="shared" si="58"/>
        <v>26.005500000000001</v>
      </c>
      <c r="N296" s="23">
        <f t="shared" si="59"/>
        <v>55.106699999999996</v>
      </c>
      <c r="O296" s="23">
        <f t="shared" si="60"/>
        <v>81.112200000000001</v>
      </c>
      <c r="P296">
        <v>1</v>
      </c>
      <c r="Q296">
        <f t="shared" si="61"/>
        <v>2</v>
      </c>
      <c r="R296">
        <f t="shared" si="62"/>
        <v>2</v>
      </c>
      <c r="S296">
        <f t="shared" si="63"/>
        <v>0</v>
      </c>
      <c r="V296" t="s">
        <v>1047</v>
      </c>
      <c r="X296" t="s">
        <v>820</v>
      </c>
    </row>
    <row r="297" spans="1:24">
      <c r="A297">
        <v>296</v>
      </c>
      <c r="B297" t="s">
        <v>779</v>
      </c>
      <c r="C297" s="79">
        <v>55</v>
      </c>
      <c r="D297" s="79">
        <v>60</v>
      </c>
      <c r="E297" s="79">
        <v>40</v>
      </c>
      <c r="F297" s="79">
        <v>30</v>
      </c>
      <c r="G297" s="23">
        <f t="shared" si="64"/>
        <v>155</v>
      </c>
      <c r="H297" s="23">
        <f t="shared" si="54"/>
        <v>51.666666666666664</v>
      </c>
      <c r="I297" s="23">
        <f t="shared" si="65"/>
        <v>185</v>
      </c>
      <c r="J297" s="23">
        <f t="shared" si="55"/>
        <v>14.9339</v>
      </c>
      <c r="K297" s="23">
        <f t="shared" si="56"/>
        <v>18.242699999999999</v>
      </c>
      <c r="L297" s="23">
        <f t="shared" si="57"/>
        <v>7.1791999999999998</v>
      </c>
      <c r="M297" s="23">
        <f t="shared" si="58"/>
        <v>3.7044000000000001</v>
      </c>
      <c r="N297" s="23">
        <f t="shared" si="59"/>
        <v>40.355800000000002</v>
      </c>
      <c r="O297" s="23">
        <f t="shared" si="60"/>
        <v>44.060200000000002</v>
      </c>
      <c r="P297">
        <v>1</v>
      </c>
      <c r="Q297">
        <f t="shared" si="61"/>
        <v>1</v>
      </c>
      <c r="R297">
        <f t="shared" si="62"/>
        <v>1</v>
      </c>
      <c r="S297">
        <f t="shared" si="63"/>
        <v>0</v>
      </c>
      <c r="V297" t="s">
        <v>1047</v>
      </c>
      <c r="X297" t="s">
        <v>821</v>
      </c>
    </row>
    <row r="298" spans="1:24">
      <c r="A298">
        <v>297</v>
      </c>
      <c r="B298" t="s">
        <v>780</v>
      </c>
      <c r="C298" s="79">
        <v>40</v>
      </c>
      <c r="D298" s="79">
        <v>50</v>
      </c>
      <c r="E298" s="79">
        <v>30</v>
      </c>
      <c r="F298" s="79">
        <v>40</v>
      </c>
      <c r="G298" s="23">
        <f t="shared" si="64"/>
        <v>120</v>
      </c>
      <c r="H298" s="23">
        <f t="shared" si="54"/>
        <v>40</v>
      </c>
      <c r="I298" s="23">
        <f t="shared" si="65"/>
        <v>160</v>
      </c>
      <c r="J298" s="23">
        <f t="shared" si="55"/>
        <v>7.1791999999999998</v>
      </c>
      <c r="K298" s="23">
        <f t="shared" si="56"/>
        <v>11.994199999999999</v>
      </c>
      <c r="L298" s="23">
        <f t="shared" si="57"/>
        <v>3.7044000000000001</v>
      </c>
      <c r="M298" s="23">
        <f t="shared" si="58"/>
        <v>7.1791999999999998</v>
      </c>
      <c r="N298" s="23">
        <f t="shared" si="59"/>
        <v>22.877800000000001</v>
      </c>
      <c r="O298" s="23">
        <f t="shared" si="60"/>
        <v>30.057000000000002</v>
      </c>
      <c r="P298">
        <v>1</v>
      </c>
      <c r="Q298">
        <f t="shared" si="61"/>
        <v>1</v>
      </c>
      <c r="R298">
        <f t="shared" si="62"/>
        <v>1</v>
      </c>
      <c r="S298">
        <f t="shared" si="63"/>
        <v>0</v>
      </c>
      <c r="V298" t="s">
        <v>1047</v>
      </c>
      <c r="X298" t="s">
        <v>822</v>
      </c>
    </row>
    <row r="299" spans="1:24">
      <c r="A299">
        <v>298</v>
      </c>
      <c r="B299" t="s">
        <v>322</v>
      </c>
      <c r="C299" s="79">
        <v>100</v>
      </c>
      <c r="D299" s="79">
        <v>70</v>
      </c>
      <c r="E299" s="79">
        <v>90</v>
      </c>
      <c r="F299" s="79">
        <v>80</v>
      </c>
      <c r="G299" s="23">
        <f t="shared" si="64"/>
        <v>260</v>
      </c>
      <c r="H299" s="23">
        <f t="shared" si="54"/>
        <v>86.666666666666671</v>
      </c>
      <c r="I299" s="23">
        <f t="shared" si="65"/>
        <v>340</v>
      </c>
      <c r="J299" s="23">
        <f t="shared" si="55"/>
        <v>59.066299999999998</v>
      </c>
      <c r="K299" s="23">
        <f t="shared" si="56"/>
        <v>26.005500000000001</v>
      </c>
      <c r="L299" s="23">
        <f t="shared" si="57"/>
        <v>46.3551</v>
      </c>
      <c r="M299" s="23">
        <f t="shared" si="58"/>
        <v>35.354700000000001</v>
      </c>
      <c r="N299" s="23">
        <f t="shared" si="59"/>
        <v>131.42689999999999</v>
      </c>
      <c r="O299" s="23">
        <f t="shared" si="60"/>
        <v>166.7816</v>
      </c>
      <c r="P299">
        <v>1</v>
      </c>
      <c r="Q299">
        <f t="shared" si="61"/>
        <v>3</v>
      </c>
      <c r="R299">
        <f t="shared" si="62"/>
        <v>3</v>
      </c>
      <c r="S299">
        <f t="shared" si="63"/>
        <v>0</v>
      </c>
      <c r="V299" t="s">
        <v>1047</v>
      </c>
      <c r="X299" t="s">
        <v>823</v>
      </c>
    </row>
    <row r="300" spans="1:24">
      <c r="A300">
        <v>299</v>
      </c>
      <c r="B300" t="s">
        <v>781</v>
      </c>
      <c r="C300" s="79">
        <v>60</v>
      </c>
      <c r="D300" s="79">
        <v>65</v>
      </c>
      <c r="E300" s="79">
        <v>60</v>
      </c>
      <c r="F300" s="79">
        <v>60</v>
      </c>
      <c r="G300" s="23">
        <f t="shared" si="64"/>
        <v>185</v>
      </c>
      <c r="H300" s="23">
        <f t="shared" si="54"/>
        <v>61.666666666666664</v>
      </c>
      <c r="I300" s="23">
        <f t="shared" si="65"/>
        <v>245</v>
      </c>
      <c r="J300" s="23">
        <f t="shared" si="55"/>
        <v>18.242699999999999</v>
      </c>
      <c r="K300" s="23">
        <f t="shared" si="56"/>
        <v>21.930099999999999</v>
      </c>
      <c r="L300" s="23">
        <f t="shared" si="57"/>
        <v>18.242699999999999</v>
      </c>
      <c r="M300" s="23">
        <f t="shared" si="58"/>
        <v>18.242699999999999</v>
      </c>
      <c r="N300" s="23">
        <f t="shared" si="59"/>
        <v>58.415499999999994</v>
      </c>
      <c r="O300" s="23">
        <f t="shared" si="60"/>
        <v>76.658199999999994</v>
      </c>
      <c r="P300">
        <v>1</v>
      </c>
      <c r="Q300">
        <f t="shared" si="61"/>
        <v>2</v>
      </c>
      <c r="R300">
        <f t="shared" si="62"/>
        <v>2</v>
      </c>
      <c r="S300">
        <f t="shared" si="63"/>
        <v>0</v>
      </c>
      <c r="V300" t="s">
        <v>1047</v>
      </c>
      <c r="X300" t="s">
        <v>826</v>
      </c>
    </row>
    <row r="301" spans="1:24">
      <c r="A301">
        <v>300</v>
      </c>
      <c r="B301" t="s">
        <v>782</v>
      </c>
      <c r="C301" s="79">
        <v>60</v>
      </c>
      <c r="D301" s="79">
        <v>85</v>
      </c>
      <c r="E301" s="79">
        <v>30</v>
      </c>
      <c r="F301" s="79">
        <v>35</v>
      </c>
      <c r="G301" s="23">
        <f t="shared" si="64"/>
        <v>175</v>
      </c>
      <c r="H301" s="23">
        <f t="shared" si="54"/>
        <v>58.333333333333336</v>
      </c>
      <c r="I301" s="23">
        <f t="shared" si="65"/>
        <v>210</v>
      </c>
      <c r="J301" s="23">
        <f t="shared" si="55"/>
        <v>18.242699999999999</v>
      </c>
      <c r="K301" s="23">
        <f t="shared" si="56"/>
        <v>40.6447</v>
      </c>
      <c r="L301" s="23">
        <f t="shared" si="57"/>
        <v>3.7044000000000001</v>
      </c>
      <c r="M301" s="23">
        <f t="shared" si="58"/>
        <v>5.2808000000000002</v>
      </c>
      <c r="N301" s="23">
        <f t="shared" si="59"/>
        <v>62.591799999999999</v>
      </c>
      <c r="O301" s="23">
        <f t="shared" si="60"/>
        <v>67.872600000000006</v>
      </c>
      <c r="P301">
        <v>1</v>
      </c>
      <c r="Q301">
        <f t="shared" si="61"/>
        <v>2</v>
      </c>
      <c r="R301">
        <f t="shared" si="62"/>
        <v>2</v>
      </c>
      <c r="S301">
        <f t="shared" si="63"/>
        <v>0</v>
      </c>
      <c r="V301" t="s">
        <v>1047</v>
      </c>
      <c r="X301" t="s">
        <v>827</v>
      </c>
    </row>
    <row r="302" spans="1:24">
      <c r="A302">
        <v>301</v>
      </c>
      <c r="B302" t="s">
        <v>783</v>
      </c>
      <c r="C302" s="79">
        <v>65</v>
      </c>
      <c r="D302" s="79">
        <v>75</v>
      </c>
      <c r="E302" s="79">
        <v>50</v>
      </c>
      <c r="F302" s="79">
        <v>55</v>
      </c>
      <c r="G302" s="23">
        <f t="shared" si="64"/>
        <v>190</v>
      </c>
      <c r="H302" s="23">
        <f t="shared" si="54"/>
        <v>63.333333333333336</v>
      </c>
      <c r="I302" s="23">
        <f t="shared" si="65"/>
        <v>245</v>
      </c>
      <c r="J302" s="23">
        <f t="shared" si="55"/>
        <v>21.930099999999999</v>
      </c>
      <c r="K302" s="23">
        <f t="shared" si="56"/>
        <v>30.477599999999999</v>
      </c>
      <c r="L302" s="23">
        <f t="shared" si="57"/>
        <v>11.994199999999999</v>
      </c>
      <c r="M302" s="23">
        <f t="shared" si="58"/>
        <v>14.9339</v>
      </c>
      <c r="N302" s="23">
        <f t="shared" si="59"/>
        <v>64.401899999999998</v>
      </c>
      <c r="O302" s="23">
        <f t="shared" si="60"/>
        <v>79.335799999999992</v>
      </c>
      <c r="P302">
        <v>1</v>
      </c>
      <c r="Q302">
        <f t="shared" si="61"/>
        <v>2</v>
      </c>
      <c r="R302">
        <f t="shared" si="62"/>
        <v>2</v>
      </c>
      <c r="S302">
        <f t="shared" si="63"/>
        <v>0</v>
      </c>
      <c r="V302" t="s">
        <v>1047</v>
      </c>
      <c r="X302" t="s">
        <v>828</v>
      </c>
    </row>
    <row r="303" spans="1:24">
      <c r="A303">
        <v>302</v>
      </c>
      <c r="B303" t="s">
        <v>784</v>
      </c>
      <c r="C303" s="79">
        <v>90</v>
      </c>
      <c r="D303" s="79">
        <v>60</v>
      </c>
      <c r="E303" s="79">
        <v>60</v>
      </c>
      <c r="F303" s="79">
        <v>50</v>
      </c>
      <c r="G303" s="23">
        <f t="shared" si="64"/>
        <v>210</v>
      </c>
      <c r="H303" s="23">
        <f t="shared" si="54"/>
        <v>70</v>
      </c>
      <c r="I303" s="23">
        <f t="shared" si="65"/>
        <v>260</v>
      </c>
      <c r="J303" s="23">
        <f t="shared" si="55"/>
        <v>46.3551</v>
      </c>
      <c r="K303" s="23">
        <f t="shared" si="56"/>
        <v>18.242699999999999</v>
      </c>
      <c r="L303" s="23">
        <f t="shared" si="57"/>
        <v>18.242699999999999</v>
      </c>
      <c r="M303" s="23">
        <f t="shared" si="58"/>
        <v>11.994199999999999</v>
      </c>
      <c r="N303" s="23">
        <f t="shared" si="59"/>
        <v>82.840500000000006</v>
      </c>
      <c r="O303" s="23">
        <f t="shared" si="60"/>
        <v>94.834699999999998</v>
      </c>
      <c r="P303">
        <v>1</v>
      </c>
      <c r="Q303">
        <f t="shared" si="61"/>
        <v>2</v>
      </c>
      <c r="R303">
        <f t="shared" si="62"/>
        <v>2</v>
      </c>
      <c r="S303">
        <f t="shared" si="63"/>
        <v>0</v>
      </c>
      <c r="V303" t="s">
        <v>1047</v>
      </c>
      <c r="X303" t="s">
        <v>829</v>
      </c>
    </row>
    <row r="304" spans="1:24">
      <c r="A304">
        <v>303</v>
      </c>
      <c r="B304" t="s">
        <v>785</v>
      </c>
      <c r="C304" s="79">
        <v>65</v>
      </c>
      <c r="D304" s="79">
        <v>70</v>
      </c>
      <c r="E304" s="79">
        <v>60</v>
      </c>
      <c r="F304" s="79">
        <v>50</v>
      </c>
      <c r="G304" s="23">
        <f t="shared" si="64"/>
        <v>195</v>
      </c>
      <c r="H304" s="23">
        <f t="shared" si="54"/>
        <v>65</v>
      </c>
      <c r="I304" s="23">
        <f t="shared" si="65"/>
        <v>245</v>
      </c>
      <c r="J304" s="23">
        <f t="shared" si="55"/>
        <v>21.930099999999999</v>
      </c>
      <c r="K304" s="23">
        <f t="shared" si="56"/>
        <v>26.005500000000001</v>
      </c>
      <c r="L304" s="23">
        <f t="shared" si="57"/>
        <v>18.242699999999999</v>
      </c>
      <c r="M304" s="23">
        <f t="shared" si="58"/>
        <v>11.994199999999999</v>
      </c>
      <c r="N304" s="23">
        <f t="shared" si="59"/>
        <v>66.178300000000007</v>
      </c>
      <c r="O304" s="23">
        <f t="shared" si="60"/>
        <v>78.172500000000014</v>
      </c>
      <c r="P304">
        <v>1</v>
      </c>
      <c r="Q304">
        <f t="shared" si="61"/>
        <v>2</v>
      </c>
      <c r="R304">
        <f t="shared" si="62"/>
        <v>2</v>
      </c>
      <c r="S304">
        <f t="shared" si="63"/>
        <v>0</v>
      </c>
      <c r="V304" t="s">
        <v>1047</v>
      </c>
      <c r="X304" t="s">
        <v>832</v>
      </c>
    </row>
    <row r="305" spans="1:24">
      <c r="A305">
        <v>304</v>
      </c>
      <c r="B305" t="s">
        <v>786</v>
      </c>
      <c r="C305" s="79">
        <v>60</v>
      </c>
      <c r="D305" s="79">
        <v>75</v>
      </c>
      <c r="E305" s="79">
        <v>70</v>
      </c>
      <c r="F305" s="79">
        <v>60</v>
      </c>
      <c r="G305" s="23">
        <f t="shared" si="64"/>
        <v>205</v>
      </c>
      <c r="H305" s="23">
        <f t="shared" si="54"/>
        <v>68.333333333333329</v>
      </c>
      <c r="I305" s="23">
        <f t="shared" si="65"/>
        <v>265</v>
      </c>
      <c r="J305" s="23">
        <f t="shared" si="55"/>
        <v>18.242699999999999</v>
      </c>
      <c r="K305" s="23">
        <f t="shared" si="56"/>
        <v>30.477599999999999</v>
      </c>
      <c r="L305" s="23">
        <f t="shared" si="57"/>
        <v>26.005500000000001</v>
      </c>
      <c r="M305" s="23">
        <f t="shared" si="58"/>
        <v>18.242699999999999</v>
      </c>
      <c r="N305" s="23">
        <f t="shared" si="59"/>
        <v>74.725799999999992</v>
      </c>
      <c r="O305" s="23">
        <f t="shared" si="60"/>
        <v>92.968499999999992</v>
      </c>
      <c r="P305">
        <v>1</v>
      </c>
      <c r="Q305">
        <f t="shared" si="61"/>
        <v>2</v>
      </c>
      <c r="R305">
        <f t="shared" si="62"/>
        <v>2</v>
      </c>
      <c r="S305">
        <f t="shared" si="63"/>
        <v>0</v>
      </c>
      <c r="V305" t="s">
        <v>1047</v>
      </c>
      <c r="X305" t="s">
        <v>833</v>
      </c>
    </row>
    <row r="306" spans="1:24">
      <c r="A306">
        <v>305</v>
      </c>
      <c r="B306" t="s">
        <v>319</v>
      </c>
      <c r="C306" s="79">
        <v>70</v>
      </c>
      <c r="D306" s="79">
        <v>85</v>
      </c>
      <c r="E306" s="79">
        <v>65</v>
      </c>
      <c r="F306" s="79">
        <v>60</v>
      </c>
      <c r="G306" s="23">
        <f t="shared" si="64"/>
        <v>220</v>
      </c>
      <c r="H306" s="23">
        <f t="shared" si="54"/>
        <v>73.333333333333329</v>
      </c>
      <c r="I306" s="23">
        <f t="shared" si="65"/>
        <v>280</v>
      </c>
      <c r="J306" s="23">
        <f t="shared" si="55"/>
        <v>26.005500000000001</v>
      </c>
      <c r="K306" s="23">
        <f t="shared" si="56"/>
        <v>40.6447</v>
      </c>
      <c r="L306" s="23">
        <f t="shared" si="57"/>
        <v>21.930099999999999</v>
      </c>
      <c r="M306" s="23">
        <f t="shared" si="58"/>
        <v>18.242699999999999</v>
      </c>
      <c r="N306" s="23">
        <f t="shared" si="59"/>
        <v>88.580299999999994</v>
      </c>
      <c r="O306" s="23">
        <f t="shared" si="60"/>
        <v>106.82299999999999</v>
      </c>
      <c r="P306">
        <v>1</v>
      </c>
      <c r="Q306">
        <f t="shared" si="61"/>
        <v>2</v>
      </c>
      <c r="R306">
        <f t="shared" si="62"/>
        <v>2</v>
      </c>
      <c r="S306">
        <f t="shared" si="63"/>
        <v>0</v>
      </c>
      <c r="V306" t="s">
        <v>1047</v>
      </c>
      <c r="X306" t="s">
        <v>834</v>
      </c>
    </row>
    <row r="307" spans="1:24">
      <c r="A307">
        <v>306</v>
      </c>
      <c r="B307" t="s">
        <v>787</v>
      </c>
      <c r="C307" s="79">
        <v>70</v>
      </c>
      <c r="D307" s="79">
        <v>80</v>
      </c>
      <c r="E307" s="79">
        <v>60</v>
      </c>
      <c r="F307" s="79">
        <v>55</v>
      </c>
      <c r="G307" s="23">
        <f t="shared" si="64"/>
        <v>210</v>
      </c>
      <c r="H307" s="23">
        <f t="shared" si="54"/>
        <v>70</v>
      </c>
      <c r="I307" s="23">
        <f t="shared" si="65"/>
        <v>265</v>
      </c>
      <c r="J307" s="23">
        <f t="shared" si="55"/>
        <v>26.005500000000001</v>
      </c>
      <c r="K307" s="23">
        <f t="shared" si="56"/>
        <v>35.354700000000001</v>
      </c>
      <c r="L307" s="23">
        <f t="shared" si="57"/>
        <v>18.242699999999999</v>
      </c>
      <c r="M307" s="23">
        <f t="shared" si="58"/>
        <v>14.9339</v>
      </c>
      <c r="N307" s="23">
        <f t="shared" si="59"/>
        <v>79.602900000000005</v>
      </c>
      <c r="O307" s="23">
        <f t="shared" si="60"/>
        <v>94.536799999999999</v>
      </c>
      <c r="P307">
        <v>1</v>
      </c>
      <c r="Q307">
        <f t="shared" si="61"/>
        <v>2</v>
      </c>
      <c r="R307">
        <f t="shared" si="62"/>
        <v>2</v>
      </c>
      <c r="S307">
        <f t="shared" si="63"/>
        <v>0</v>
      </c>
      <c r="V307" t="s">
        <v>1047</v>
      </c>
      <c r="X307" t="s">
        <v>835</v>
      </c>
    </row>
    <row r="308" spans="1:24">
      <c r="A308">
        <v>307</v>
      </c>
      <c r="B308" t="s">
        <v>318</v>
      </c>
      <c r="C308" s="79">
        <v>60</v>
      </c>
      <c r="D308" s="79">
        <v>75</v>
      </c>
      <c r="E308" s="79">
        <v>60</v>
      </c>
      <c r="F308" s="79">
        <v>55</v>
      </c>
      <c r="G308" s="23">
        <f t="shared" si="64"/>
        <v>195</v>
      </c>
      <c r="H308" s="23">
        <f t="shared" si="54"/>
        <v>65</v>
      </c>
      <c r="I308" s="23">
        <f t="shared" si="65"/>
        <v>250</v>
      </c>
      <c r="J308" s="23">
        <f t="shared" si="55"/>
        <v>18.242699999999999</v>
      </c>
      <c r="K308" s="23">
        <f t="shared" si="56"/>
        <v>30.477599999999999</v>
      </c>
      <c r="L308" s="23">
        <f t="shared" si="57"/>
        <v>18.242699999999999</v>
      </c>
      <c r="M308" s="23">
        <f t="shared" si="58"/>
        <v>14.9339</v>
      </c>
      <c r="N308" s="23">
        <f t="shared" si="59"/>
        <v>66.962999999999994</v>
      </c>
      <c r="O308" s="23">
        <f t="shared" si="60"/>
        <v>81.896899999999988</v>
      </c>
      <c r="P308">
        <v>1</v>
      </c>
      <c r="Q308">
        <f t="shared" si="61"/>
        <v>2</v>
      </c>
      <c r="R308">
        <f t="shared" si="62"/>
        <v>2</v>
      </c>
      <c r="S308">
        <f t="shared" si="63"/>
        <v>0</v>
      </c>
      <c r="V308" t="s">
        <v>1047</v>
      </c>
      <c r="X308" t="s">
        <v>836</v>
      </c>
    </row>
    <row r="309" spans="1:24">
      <c r="A309">
        <v>308</v>
      </c>
      <c r="B309" t="s">
        <v>788</v>
      </c>
      <c r="C309" s="79">
        <v>60</v>
      </c>
      <c r="D309" s="79">
        <v>75</v>
      </c>
      <c r="E309" s="79">
        <v>55</v>
      </c>
      <c r="F309" s="79">
        <v>60</v>
      </c>
      <c r="G309" s="23">
        <f t="shared" si="64"/>
        <v>190</v>
      </c>
      <c r="H309" s="23">
        <f t="shared" si="54"/>
        <v>63.333333333333336</v>
      </c>
      <c r="I309" s="23">
        <f t="shared" si="65"/>
        <v>250</v>
      </c>
      <c r="J309" s="23">
        <f t="shared" si="55"/>
        <v>18.242699999999999</v>
      </c>
      <c r="K309" s="23">
        <f t="shared" si="56"/>
        <v>30.477599999999999</v>
      </c>
      <c r="L309" s="23">
        <f t="shared" si="57"/>
        <v>14.9339</v>
      </c>
      <c r="M309" s="23">
        <f t="shared" si="58"/>
        <v>18.242699999999999</v>
      </c>
      <c r="N309" s="23">
        <f t="shared" si="59"/>
        <v>63.654199999999996</v>
      </c>
      <c r="O309" s="23">
        <f t="shared" si="60"/>
        <v>81.896899999999988</v>
      </c>
      <c r="P309">
        <v>1</v>
      </c>
      <c r="Q309">
        <f t="shared" si="61"/>
        <v>2</v>
      </c>
      <c r="R309">
        <f t="shared" si="62"/>
        <v>2</v>
      </c>
      <c r="S309">
        <f t="shared" si="63"/>
        <v>0</v>
      </c>
      <c r="V309" t="s">
        <v>1047</v>
      </c>
      <c r="X309" t="s">
        <v>837</v>
      </c>
    </row>
    <row r="310" spans="1:24">
      <c r="A310">
        <v>309</v>
      </c>
      <c r="B310" t="s">
        <v>316</v>
      </c>
      <c r="C310" s="79">
        <v>75</v>
      </c>
      <c r="D310" s="79">
        <v>80</v>
      </c>
      <c r="E310" s="79">
        <v>60</v>
      </c>
      <c r="F310" s="79">
        <v>65</v>
      </c>
      <c r="G310" s="23">
        <f t="shared" si="64"/>
        <v>215</v>
      </c>
      <c r="H310" s="23">
        <f t="shared" si="54"/>
        <v>71.666666666666671</v>
      </c>
      <c r="I310" s="23">
        <f t="shared" si="65"/>
        <v>280</v>
      </c>
      <c r="J310" s="23">
        <f t="shared" si="55"/>
        <v>30.477599999999999</v>
      </c>
      <c r="K310" s="23">
        <f t="shared" si="56"/>
        <v>35.354700000000001</v>
      </c>
      <c r="L310" s="23">
        <f t="shared" si="57"/>
        <v>18.242699999999999</v>
      </c>
      <c r="M310" s="23">
        <f t="shared" si="58"/>
        <v>21.930099999999999</v>
      </c>
      <c r="N310" s="23">
        <f t="shared" si="59"/>
        <v>84.075000000000003</v>
      </c>
      <c r="O310" s="23">
        <f t="shared" si="60"/>
        <v>106.0051</v>
      </c>
      <c r="P310">
        <v>1</v>
      </c>
      <c r="Q310">
        <f t="shared" si="61"/>
        <v>2</v>
      </c>
      <c r="R310">
        <f t="shared" si="62"/>
        <v>2</v>
      </c>
      <c r="S310">
        <f t="shared" si="63"/>
        <v>0</v>
      </c>
      <c r="U310" t="s">
        <v>839</v>
      </c>
      <c r="V310" t="s">
        <v>1047</v>
      </c>
      <c r="X310" t="s">
        <v>838</v>
      </c>
    </row>
    <row r="311" spans="1:24">
      <c r="A311">
        <v>310</v>
      </c>
      <c r="B311" t="s">
        <v>789</v>
      </c>
      <c r="C311" s="79">
        <v>70</v>
      </c>
      <c r="D311" s="79">
        <v>70</v>
      </c>
      <c r="E311" s="79">
        <v>55</v>
      </c>
      <c r="F311" s="79">
        <v>60</v>
      </c>
      <c r="G311" s="23">
        <f t="shared" si="64"/>
        <v>195</v>
      </c>
      <c r="H311" s="23">
        <f t="shared" si="54"/>
        <v>65</v>
      </c>
      <c r="I311" s="23">
        <f t="shared" si="65"/>
        <v>255</v>
      </c>
      <c r="J311" s="23">
        <f t="shared" si="55"/>
        <v>26.005500000000001</v>
      </c>
      <c r="K311" s="23">
        <f t="shared" si="56"/>
        <v>26.005500000000001</v>
      </c>
      <c r="L311" s="23">
        <f t="shared" si="57"/>
        <v>14.9339</v>
      </c>
      <c r="M311" s="23">
        <f t="shared" si="58"/>
        <v>18.242699999999999</v>
      </c>
      <c r="N311" s="23">
        <f t="shared" si="59"/>
        <v>66.944900000000004</v>
      </c>
      <c r="O311" s="23">
        <f t="shared" si="60"/>
        <v>85.187600000000003</v>
      </c>
      <c r="P311">
        <v>1</v>
      </c>
      <c r="Q311">
        <f t="shared" si="61"/>
        <v>2</v>
      </c>
      <c r="R311">
        <f t="shared" si="62"/>
        <v>2</v>
      </c>
      <c r="S311">
        <f t="shared" si="63"/>
        <v>0</v>
      </c>
      <c r="U311" t="s">
        <v>840</v>
      </c>
      <c r="V311" t="s">
        <v>1047</v>
      </c>
      <c r="X311" t="s">
        <v>841</v>
      </c>
    </row>
    <row r="312" spans="1:24">
      <c r="A312">
        <v>311</v>
      </c>
      <c r="B312" t="s">
        <v>790</v>
      </c>
      <c r="C312" s="79">
        <v>40</v>
      </c>
      <c r="D312" s="79">
        <v>40</v>
      </c>
      <c r="E312" s="79">
        <v>30</v>
      </c>
      <c r="F312" s="79">
        <v>40</v>
      </c>
      <c r="G312" s="23">
        <f t="shared" si="64"/>
        <v>110</v>
      </c>
      <c r="H312" s="23">
        <f t="shared" si="54"/>
        <v>36.666666666666664</v>
      </c>
      <c r="I312" s="23">
        <f t="shared" si="65"/>
        <v>150</v>
      </c>
      <c r="J312" s="23">
        <f t="shared" si="55"/>
        <v>7.1791999999999998</v>
      </c>
      <c r="K312" s="23">
        <f t="shared" si="56"/>
        <v>7.1791999999999998</v>
      </c>
      <c r="L312" s="23">
        <f t="shared" si="57"/>
        <v>3.7044000000000001</v>
      </c>
      <c r="M312" s="23">
        <f t="shared" si="58"/>
        <v>7.1791999999999998</v>
      </c>
      <c r="N312" s="23">
        <f t="shared" si="59"/>
        <v>18.062799999999999</v>
      </c>
      <c r="O312" s="23">
        <f t="shared" si="60"/>
        <v>25.241999999999997</v>
      </c>
      <c r="P312">
        <v>1</v>
      </c>
      <c r="Q312">
        <f t="shared" si="61"/>
        <v>1</v>
      </c>
      <c r="R312">
        <f t="shared" si="62"/>
        <v>1</v>
      </c>
      <c r="S312">
        <f t="shared" si="63"/>
        <v>0</v>
      </c>
      <c r="V312" t="s">
        <v>1047</v>
      </c>
      <c r="X312" t="s">
        <v>843</v>
      </c>
    </row>
    <row r="313" spans="1:24">
      <c r="A313">
        <v>312</v>
      </c>
      <c r="B313" t="s">
        <v>791</v>
      </c>
      <c r="C313" s="79">
        <v>65</v>
      </c>
      <c r="D313" s="79">
        <v>80</v>
      </c>
      <c r="E313" s="79">
        <v>60</v>
      </c>
      <c r="F313" s="79">
        <v>50</v>
      </c>
      <c r="G313" s="23">
        <f t="shared" si="64"/>
        <v>205</v>
      </c>
      <c r="H313" s="23">
        <f t="shared" si="54"/>
        <v>68.333333333333329</v>
      </c>
      <c r="I313" s="23">
        <f t="shared" si="65"/>
        <v>255</v>
      </c>
      <c r="J313" s="23">
        <f t="shared" si="55"/>
        <v>21.930099999999999</v>
      </c>
      <c r="K313" s="23">
        <f t="shared" si="56"/>
        <v>35.354700000000001</v>
      </c>
      <c r="L313" s="23">
        <f t="shared" si="57"/>
        <v>18.242699999999999</v>
      </c>
      <c r="M313" s="23">
        <f t="shared" si="58"/>
        <v>11.994199999999999</v>
      </c>
      <c r="N313" s="23">
        <f t="shared" si="59"/>
        <v>75.527500000000003</v>
      </c>
      <c r="O313" s="23">
        <f t="shared" si="60"/>
        <v>87.52170000000001</v>
      </c>
      <c r="P313">
        <v>1</v>
      </c>
      <c r="Q313">
        <f t="shared" si="61"/>
        <v>2</v>
      </c>
      <c r="R313">
        <f t="shared" si="62"/>
        <v>2</v>
      </c>
      <c r="S313">
        <f t="shared" si="63"/>
        <v>0</v>
      </c>
      <c r="V313" t="s">
        <v>1047</v>
      </c>
      <c r="X313" t="s">
        <v>842</v>
      </c>
    </row>
    <row r="314" spans="1:24">
      <c r="A314">
        <v>313</v>
      </c>
      <c r="B314" t="s">
        <v>792</v>
      </c>
      <c r="C314" s="79">
        <v>70</v>
      </c>
      <c r="D314" s="79">
        <v>60</v>
      </c>
      <c r="E314" s="79">
        <v>65</v>
      </c>
      <c r="F314" s="79">
        <v>50</v>
      </c>
      <c r="G314" s="23">
        <f t="shared" si="64"/>
        <v>195</v>
      </c>
      <c r="H314" s="23">
        <f t="shared" si="54"/>
        <v>65</v>
      </c>
      <c r="I314" s="23">
        <f t="shared" si="65"/>
        <v>245</v>
      </c>
      <c r="J314" s="23">
        <f t="shared" si="55"/>
        <v>26.005500000000001</v>
      </c>
      <c r="K314" s="23">
        <f t="shared" si="56"/>
        <v>18.242699999999999</v>
      </c>
      <c r="L314" s="23">
        <f t="shared" si="57"/>
        <v>21.930099999999999</v>
      </c>
      <c r="M314" s="23">
        <f t="shared" si="58"/>
        <v>11.994199999999999</v>
      </c>
      <c r="N314" s="23">
        <f t="shared" si="59"/>
        <v>66.178299999999993</v>
      </c>
      <c r="O314" s="23">
        <f t="shared" si="60"/>
        <v>78.172499999999985</v>
      </c>
      <c r="P314">
        <v>1</v>
      </c>
      <c r="Q314">
        <f t="shared" si="61"/>
        <v>2</v>
      </c>
      <c r="R314">
        <f t="shared" si="62"/>
        <v>2</v>
      </c>
      <c r="S314">
        <f t="shared" si="63"/>
        <v>0</v>
      </c>
      <c r="V314" t="s">
        <v>1047</v>
      </c>
      <c r="X314" t="s">
        <v>844</v>
      </c>
    </row>
    <row r="315" spans="1:24">
      <c r="A315">
        <v>314</v>
      </c>
      <c r="B315" t="s">
        <v>793</v>
      </c>
      <c r="C315" s="79">
        <v>80</v>
      </c>
      <c r="D315" s="79">
        <v>90</v>
      </c>
      <c r="E315" s="79">
        <v>70</v>
      </c>
      <c r="F315" s="79">
        <v>65</v>
      </c>
      <c r="G315" s="23">
        <f t="shared" si="64"/>
        <v>240</v>
      </c>
      <c r="H315" s="23">
        <f t="shared" si="54"/>
        <v>80</v>
      </c>
      <c r="I315" s="23">
        <f t="shared" si="65"/>
        <v>305</v>
      </c>
      <c r="J315" s="23">
        <f t="shared" si="55"/>
        <v>35.354700000000001</v>
      </c>
      <c r="K315" s="23">
        <f t="shared" si="56"/>
        <v>46.3551</v>
      </c>
      <c r="L315" s="23">
        <f t="shared" si="57"/>
        <v>26.005500000000001</v>
      </c>
      <c r="M315" s="23">
        <f t="shared" si="58"/>
        <v>21.930099999999999</v>
      </c>
      <c r="N315" s="23">
        <f t="shared" si="59"/>
        <v>107.7153</v>
      </c>
      <c r="O315" s="23">
        <f t="shared" si="60"/>
        <v>129.6454</v>
      </c>
      <c r="P315">
        <v>1</v>
      </c>
      <c r="Q315">
        <f t="shared" si="61"/>
        <v>3</v>
      </c>
      <c r="R315">
        <f t="shared" si="62"/>
        <v>3</v>
      </c>
      <c r="S315">
        <f t="shared" si="63"/>
        <v>0</v>
      </c>
      <c r="V315" t="s">
        <v>1047</v>
      </c>
      <c r="X315" t="s">
        <v>845</v>
      </c>
    </row>
    <row r="316" spans="1:24">
      <c r="A316">
        <v>315</v>
      </c>
      <c r="B316" t="s">
        <v>794</v>
      </c>
      <c r="C316" s="79">
        <v>70</v>
      </c>
      <c r="D316" s="79">
        <v>85</v>
      </c>
      <c r="E316" s="79">
        <v>60</v>
      </c>
      <c r="F316" s="79">
        <v>50</v>
      </c>
      <c r="G316" s="23">
        <f t="shared" si="64"/>
        <v>215</v>
      </c>
      <c r="H316" s="23">
        <f t="shared" si="54"/>
        <v>71.666666666666671</v>
      </c>
      <c r="I316" s="23">
        <f t="shared" si="65"/>
        <v>265</v>
      </c>
      <c r="J316" s="23">
        <f t="shared" si="55"/>
        <v>26.005500000000001</v>
      </c>
      <c r="K316" s="23">
        <f t="shared" si="56"/>
        <v>40.6447</v>
      </c>
      <c r="L316" s="23">
        <f t="shared" si="57"/>
        <v>18.242699999999999</v>
      </c>
      <c r="M316" s="23">
        <f t="shared" si="58"/>
        <v>11.994199999999999</v>
      </c>
      <c r="N316" s="23">
        <f t="shared" si="59"/>
        <v>84.892899999999997</v>
      </c>
      <c r="O316" s="23">
        <f t="shared" si="60"/>
        <v>96.887100000000004</v>
      </c>
      <c r="P316">
        <v>1</v>
      </c>
      <c r="Q316">
        <f t="shared" si="61"/>
        <v>2</v>
      </c>
      <c r="R316">
        <f t="shared" si="62"/>
        <v>2</v>
      </c>
      <c r="S316">
        <f t="shared" si="63"/>
        <v>0</v>
      </c>
      <c r="V316" t="s">
        <v>1047</v>
      </c>
      <c r="X316" t="s">
        <v>846</v>
      </c>
    </row>
    <row r="317" spans="1:24">
      <c r="A317">
        <v>316</v>
      </c>
      <c r="B317" t="s">
        <v>321</v>
      </c>
      <c r="C317" s="79">
        <v>70</v>
      </c>
      <c r="D317" s="79">
        <v>90</v>
      </c>
      <c r="E317" s="79">
        <v>50</v>
      </c>
      <c r="F317" s="79">
        <v>40</v>
      </c>
      <c r="G317" s="23">
        <f t="shared" si="64"/>
        <v>210</v>
      </c>
      <c r="H317" s="23">
        <f t="shared" si="54"/>
        <v>70</v>
      </c>
      <c r="I317" s="23">
        <f t="shared" si="65"/>
        <v>250</v>
      </c>
      <c r="J317" s="23">
        <f t="shared" si="55"/>
        <v>26.005500000000001</v>
      </c>
      <c r="K317" s="23">
        <f t="shared" si="56"/>
        <v>46.3551</v>
      </c>
      <c r="L317" s="23">
        <f t="shared" si="57"/>
        <v>11.994199999999999</v>
      </c>
      <c r="M317" s="23">
        <f t="shared" si="58"/>
        <v>7.1791999999999998</v>
      </c>
      <c r="N317" s="23">
        <f t="shared" si="59"/>
        <v>84.354800000000012</v>
      </c>
      <c r="O317" s="23">
        <f t="shared" si="60"/>
        <v>91.534000000000006</v>
      </c>
      <c r="P317">
        <v>1</v>
      </c>
      <c r="Q317">
        <f t="shared" si="61"/>
        <v>2</v>
      </c>
      <c r="R317">
        <f t="shared" si="62"/>
        <v>2</v>
      </c>
      <c r="S317">
        <f t="shared" si="63"/>
        <v>0</v>
      </c>
      <c r="V317" t="s">
        <v>1047</v>
      </c>
      <c r="X317" t="s">
        <v>847</v>
      </c>
    </row>
    <row r="318" spans="1:24">
      <c r="A318">
        <v>317</v>
      </c>
      <c r="B318" t="s">
        <v>795</v>
      </c>
      <c r="C318" s="79">
        <v>65</v>
      </c>
      <c r="D318" s="79">
        <v>80</v>
      </c>
      <c r="E318" s="79">
        <v>60</v>
      </c>
      <c r="F318" s="79">
        <v>60</v>
      </c>
      <c r="G318" s="23">
        <f t="shared" si="64"/>
        <v>205</v>
      </c>
      <c r="H318" s="23">
        <f t="shared" si="54"/>
        <v>68.333333333333329</v>
      </c>
      <c r="I318" s="23">
        <f t="shared" si="65"/>
        <v>265</v>
      </c>
      <c r="J318" s="23">
        <f t="shared" si="55"/>
        <v>21.930099999999999</v>
      </c>
      <c r="K318" s="23">
        <f t="shared" si="56"/>
        <v>35.354700000000001</v>
      </c>
      <c r="L318" s="23">
        <f t="shared" si="57"/>
        <v>18.242699999999999</v>
      </c>
      <c r="M318" s="23">
        <f t="shared" si="58"/>
        <v>18.242699999999999</v>
      </c>
      <c r="N318" s="23">
        <f t="shared" si="59"/>
        <v>75.527500000000003</v>
      </c>
      <c r="O318" s="23">
        <f t="shared" si="60"/>
        <v>93.770200000000003</v>
      </c>
      <c r="P318">
        <v>1</v>
      </c>
      <c r="Q318">
        <f t="shared" si="61"/>
        <v>2</v>
      </c>
      <c r="R318">
        <f t="shared" si="62"/>
        <v>2</v>
      </c>
      <c r="S318">
        <f t="shared" si="63"/>
        <v>0</v>
      </c>
      <c r="V318" t="s">
        <v>1047</v>
      </c>
      <c r="X318" t="s">
        <v>848</v>
      </c>
    </row>
    <row r="319" spans="1:24">
      <c r="A319">
        <v>318</v>
      </c>
      <c r="B319" t="s">
        <v>796</v>
      </c>
      <c r="C319" s="79">
        <v>70</v>
      </c>
      <c r="D319" s="79">
        <v>90</v>
      </c>
      <c r="E319" s="79">
        <v>65</v>
      </c>
      <c r="F319" s="79">
        <v>60</v>
      </c>
      <c r="G319" s="23">
        <f t="shared" si="64"/>
        <v>225</v>
      </c>
      <c r="H319" s="23">
        <f t="shared" si="54"/>
        <v>75</v>
      </c>
      <c r="I319" s="23">
        <f t="shared" si="65"/>
        <v>285</v>
      </c>
      <c r="J319" s="23">
        <f t="shared" si="55"/>
        <v>26.005500000000001</v>
      </c>
      <c r="K319" s="23">
        <f t="shared" si="56"/>
        <v>46.3551</v>
      </c>
      <c r="L319" s="23">
        <f t="shared" si="57"/>
        <v>21.930099999999999</v>
      </c>
      <c r="M319" s="23">
        <f t="shared" si="58"/>
        <v>18.242699999999999</v>
      </c>
      <c r="N319" s="23">
        <f t="shared" si="59"/>
        <v>94.290700000000001</v>
      </c>
      <c r="O319" s="23">
        <f t="shared" si="60"/>
        <v>112.5334</v>
      </c>
      <c r="P319">
        <v>1</v>
      </c>
      <c r="Q319">
        <f t="shared" si="61"/>
        <v>3</v>
      </c>
      <c r="R319">
        <f t="shared" si="62"/>
        <v>2</v>
      </c>
      <c r="S319">
        <f t="shared" si="63"/>
        <v>-1</v>
      </c>
      <c r="V319" t="s">
        <v>1047</v>
      </c>
      <c r="X319" t="s">
        <v>849</v>
      </c>
    </row>
    <row r="320" spans="1:24">
      <c r="A320">
        <v>319</v>
      </c>
      <c r="B320" t="s">
        <v>797</v>
      </c>
      <c r="C320" s="79">
        <v>65</v>
      </c>
      <c r="D320" s="79">
        <v>75</v>
      </c>
      <c r="E320" s="79">
        <v>60</v>
      </c>
      <c r="F320" s="79">
        <v>50</v>
      </c>
      <c r="G320" s="23">
        <f t="shared" si="64"/>
        <v>200</v>
      </c>
      <c r="H320" s="23">
        <f t="shared" si="54"/>
        <v>66.666666666666671</v>
      </c>
      <c r="I320" s="23">
        <f t="shared" si="65"/>
        <v>250</v>
      </c>
      <c r="J320" s="23">
        <f t="shared" si="55"/>
        <v>21.930099999999999</v>
      </c>
      <c r="K320" s="23">
        <f t="shared" si="56"/>
        <v>30.477599999999999</v>
      </c>
      <c r="L320" s="23">
        <f t="shared" si="57"/>
        <v>18.242699999999999</v>
      </c>
      <c r="M320" s="23">
        <f t="shared" si="58"/>
        <v>11.994199999999999</v>
      </c>
      <c r="N320" s="23">
        <f t="shared" si="59"/>
        <v>70.650399999999991</v>
      </c>
      <c r="O320" s="23">
        <f t="shared" si="60"/>
        <v>82.644599999999997</v>
      </c>
      <c r="P320">
        <v>1</v>
      </c>
      <c r="Q320">
        <f t="shared" si="61"/>
        <v>2</v>
      </c>
      <c r="R320">
        <f t="shared" si="62"/>
        <v>2</v>
      </c>
      <c r="S320">
        <f t="shared" si="63"/>
        <v>0</v>
      </c>
      <c r="V320" t="s">
        <v>1047</v>
      </c>
      <c r="X320" t="s">
        <v>850</v>
      </c>
    </row>
    <row r="321" spans="1:24">
      <c r="A321">
        <v>320</v>
      </c>
      <c r="B321" t="s">
        <v>798</v>
      </c>
      <c r="C321" s="79">
        <v>65</v>
      </c>
      <c r="D321" s="79">
        <v>60</v>
      </c>
      <c r="E321" s="79">
        <v>60</v>
      </c>
      <c r="F321" s="79">
        <v>70</v>
      </c>
      <c r="G321" s="23">
        <f t="shared" si="64"/>
        <v>185</v>
      </c>
      <c r="H321" s="23">
        <f t="shared" si="54"/>
        <v>61.666666666666664</v>
      </c>
      <c r="I321" s="23">
        <f t="shared" si="65"/>
        <v>255</v>
      </c>
      <c r="J321" s="23">
        <f t="shared" si="55"/>
        <v>21.930099999999999</v>
      </c>
      <c r="K321" s="23">
        <f t="shared" si="56"/>
        <v>18.242699999999999</v>
      </c>
      <c r="L321" s="23">
        <f t="shared" si="57"/>
        <v>18.242699999999999</v>
      </c>
      <c r="M321" s="23">
        <f t="shared" si="58"/>
        <v>26.005500000000001</v>
      </c>
      <c r="N321" s="23">
        <f t="shared" si="59"/>
        <v>58.415499999999994</v>
      </c>
      <c r="O321" s="23">
        <f t="shared" si="60"/>
        <v>84.420999999999992</v>
      </c>
      <c r="P321">
        <v>1</v>
      </c>
      <c r="Q321">
        <f t="shared" si="61"/>
        <v>2</v>
      </c>
      <c r="R321">
        <f t="shared" si="62"/>
        <v>2</v>
      </c>
      <c r="S321">
        <f t="shared" si="63"/>
        <v>0</v>
      </c>
      <c r="V321" t="s">
        <v>1047</v>
      </c>
      <c r="X321" t="s">
        <v>851</v>
      </c>
    </row>
    <row r="322" spans="1:24">
      <c r="A322">
        <v>321</v>
      </c>
      <c r="B322" t="s">
        <v>799</v>
      </c>
      <c r="C322" s="79">
        <v>60</v>
      </c>
      <c r="D322" s="79">
        <v>65</v>
      </c>
      <c r="E322" s="79">
        <v>50</v>
      </c>
      <c r="F322" s="79">
        <v>40</v>
      </c>
      <c r="G322" s="23">
        <f t="shared" si="64"/>
        <v>175</v>
      </c>
      <c r="H322" s="23">
        <f t="shared" ref="H322:H385" si="66">G322/COUNT(C322:E322)</f>
        <v>58.333333333333336</v>
      </c>
      <c r="I322" s="23">
        <f t="shared" si="65"/>
        <v>215</v>
      </c>
      <c r="J322" s="23">
        <f t="shared" ref="J322:J385" si="67">ROUND(POWER(C322,2.3)/674,4)</f>
        <v>18.242699999999999</v>
      </c>
      <c r="K322" s="23">
        <f t="shared" ref="K322:K385" si="68">ROUND(POWER(D322,2.3)/674,4)</f>
        <v>21.930099999999999</v>
      </c>
      <c r="L322" s="23">
        <f t="shared" ref="L322:L385" si="69">ROUND(POWER(E322,2.3)/674,4)</f>
        <v>11.994199999999999</v>
      </c>
      <c r="M322" s="23">
        <f t="shared" ref="M322:M385" si="70">ROUND(POWER(F322,2.3)/674,4)</f>
        <v>7.1791999999999998</v>
      </c>
      <c r="N322" s="23">
        <f t="shared" ref="N322:N385" si="71">SUM(J322:L322)</f>
        <v>52.166999999999994</v>
      </c>
      <c r="O322" s="23">
        <f t="shared" ref="O322:O385" si="72">SUM(J322:M322)</f>
        <v>59.346199999999996</v>
      </c>
      <c r="P322">
        <v>1</v>
      </c>
      <c r="Q322">
        <f t="shared" si="61"/>
        <v>2</v>
      </c>
      <c r="R322">
        <f t="shared" si="62"/>
        <v>1</v>
      </c>
      <c r="S322">
        <f t="shared" si="63"/>
        <v>-1</v>
      </c>
      <c r="V322" t="s">
        <v>1047</v>
      </c>
      <c r="X322" t="s">
        <v>852</v>
      </c>
    </row>
    <row r="323" spans="1:24">
      <c r="A323">
        <v>322</v>
      </c>
      <c r="B323" t="s">
        <v>800</v>
      </c>
      <c r="C323" s="79">
        <v>35</v>
      </c>
      <c r="D323" s="79">
        <v>40</v>
      </c>
      <c r="E323" s="79">
        <v>30</v>
      </c>
      <c r="F323" s="79">
        <v>35</v>
      </c>
      <c r="G323" s="23">
        <f t="shared" si="64"/>
        <v>105</v>
      </c>
      <c r="H323" s="23">
        <f t="shared" si="66"/>
        <v>35</v>
      </c>
      <c r="I323" s="23">
        <f t="shared" si="65"/>
        <v>140</v>
      </c>
      <c r="J323" s="23">
        <f t="shared" si="67"/>
        <v>5.2808000000000002</v>
      </c>
      <c r="K323" s="23">
        <f t="shared" si="68"/>
        <v>7.1791999999999998</v>
      </c>
      <c r="L323" s="23">
        <f t="shared" si="69"/>
        <v>3.7044000000000001</v>
      </c>
      <c r="M323" s="23">
        <f t="shared" si="70"/>
        <v>5.2808000000000002</v>
      </c>
      <c r="N323" s="23">
        <f t="shared" si="71"/>
        <v>16.164400000000001</v>
      </c>
      <c r="O323" s="23">
        <f t="shared" si="72"/>
        <v>21.4452</v>
      </c>
      <c r="P323">
        <v>1</v>
      </c>
      <c r="Q323">
        <f t="shared" ref="Q323:Q386" si="73">commanderStars(N323,P323,FALSE)</f>
        <v>1</v>
      </c>
      <c r="R323">
        <f t="shared" ref="R323:R386" si="74">commanderStars(O323,P323,TRUE)</f>
        <v>1</v>
      </c>
      <c r="S323">
        <f t="shared" ref="S323:S386" si="75">R323-Q323</f>
        <v>0</v>
      </c>
      <c r="V323" t="s">
        <v>1047</v>
      </c>
      <c r="X323" t="s">
        <v>853</v>
      </c>
    </row>
    <row r="324" spans="1:24">
      <c r="A324">
        <v>323</v>
      </c>
      <c r="B324" t="s">
        <v>801</v>
      </c>
      <c r="C324" s="79">
        <v>65</v>
      </c>
      <c r="D324" s="79">
        <v>60</v>
      </c>
      <c r="E324" s="79">
        <v>50</v>
      </c>
      <c r="F324" s="79">
        <v>50</v>
      </c>
      <c r="G324" s="23">
        <f t="shared" si="64"/>
        <v>175</v>
      </c>
      <c r="H324" s="23">
        <f t="shared" si="66"/>
        <v>58.333333333333336</v>
      </c>
      <c r="I324" s="23">
        <f t="shared" si="65"/>
        <v>225</v>
      </c>
      <c r="J324" s="23">
        <f t="shared" si="67"/>
        <v>21.930099999999999</v>
      </c>
      <c r="K324" s="23">
        <f t="shared" si="68"/>
        <v>18.242699999999999</v>
      </c>
      <c r="L324" s="23">
        <f t="shared" si="69"/>
        <v>11.994199999999999</v>
      </c>
      <c r="M324" s="23">
        <f t="shared" si="70"/>
        <v>11.994199999999999</v>
      </c>
      <c r="N324" s="23">
        <f t="shared" si="71"/>
        <v>52.166999999999994</v>
      </c>
      <c r="O324" s="23">
        <f t="shared" si="72"/>
        <v>64.161199999999994</v>
      </c>
      <c r="P324">
        <v>1</v>
      </c>
      <c r="Q324">
        <f t="shared" si="73"/>
        <v>2</v>
      </c>
      <c r="R324">
        <f t="shared" si="74"/>
        <v>2</v>
      </c>
      <c r="S324">
        <f t="shared" si="75"/>
        <v>0</v>
      </c>
      <c r="V324" t="s">
        <v>1047</v>
      </c>
      <c r="X324" t="s">
        <v>854</v>
      </c>
    </row>
    <row r="325" spans="1:24">
      <c r="A325">
        <v>324</v>
      </c>
      <c r="B325" t="s">
        <v>802</v>
      </c>
      <c r="C325" s="79">
        <v>90</v>
      </c>
      <c r="D325" s="79">
        <v>95</v>
      </c>
      <c r="E325" s="79">
        <v>85</v>
      </c>
      <c r="F325" s="79">
        <v>80</v>
      </c>
      <c r="G325" s="23">
        <f t="shared" si="64"/>
        <v>270</v>
      </c>
      <c r="H325" s="23">
        <f t="shared" si="66"/>
        <v>90</v>
      </c>
      <c r="I325" s="23">
        <f t="shared" si="65"/>
        <v>350</v>
      </c>
      <c r="J325" s="23">
        <f t="shared" si="67"/>
        <v>46.3551</v>
      </c>
      <c r="K325" s="23">
        <f t="shared" si="68"/>
        <v>52.493400000000001</v>
      </c>
      <c r="L325" s="23">
        <f t="shared" si="69"/>
        <v>40.6447</v>
      </c>
      <c r="M325" s="23">
        <f t="shared" si="70"/>
        <v>35.354700000000001</v>
      </c>
      <c r="N325" s="23">
        <f t="shared" si="71"/>
        <v>139.4932</v>
      </c>
      <c r="O325" s="23">
        <f t="shared" si="72"/>
        <v>174.84790000000001</v>
      </c>
      <c r="P325">
        <v>1</v>
      </c>
      <c r="Q325">
        <f t="shared" si="73"/>
        <v>4</v>
      </c>
      <c r="R325">
        <f t="shared" si="74"/>
        <v>3</v>
      </c>
      <c r="S325">
        <f t="shared" si="75"/>
        <v>-1</v>
      </c>
      <c r="V325" t="s">
        <v>1047</v>
      </c>
      <c r="X325" t="s">
        <v>855</v>
      </c>
    </row>
    <row r="326" spans="1:24">
      <c r="A326">
        <v>325</v>
      </c>
      <c r="B326" t="s">
        <v>320</v>
      </c>
      <c r="C326" s="79">
        <v>80</v>
      </c>
      <c r="D326" s="79">
        <v>95</v>
      </c>
      <c r="E326" s="79">
        <v>60</v>
      </c>
      <c r="F326" s="79">
        <v>65</v>
      </c>
      <c r="G326" s="23">
        <f t="shared" si="64"/>
        <v>235</v>
      </c>
      <c r="H326" s="23">
        <f t="shared" si="66"/>
        <v>78.333333333333329</v>
      </c>
      <c r="I326" s="23">
        <f t="shared" si="65"/>
        <v>300</v>
      </c>
      <c r="J326" s="23">
        <f t="shared" si="67"/>
        <v>35.354700000000001</v>
      </c>
      <c r="K326" s="23">
        <f t="shared" si="68"/>
        <v>52.493400000000001</v>
      </c>
      <c r="L326" s="23">
        <f t="shared" si="69"/>
        <v>18.242699999999999</v>
      </c>
      <c r="M326" s="23">
        <f t="shared" si="70"/>
        <v>21.930099999999999</v>
      </c>
      <c r="N326" s="23">
        <f t="shared" si="71"/>
        <v>106.0908</v>
      </c>
      <c r="O326" s="23">
        <f t="shared" si="72"/>
        <v>128.02090000000001</v>
      </c>
      <c r="P326">
        <v>1</v>
      </c>
      <c r="Q326">
        <f t="shared" si="73"/>
        <v>3</v>
      </c>
      <c r="R326">
        <f t="shared" si="74"/>
        <v>3</v>
      </c>
      <c r="S326">
        <f t="shared" si="75"/>
        <v>0</v>
      </c>
      <c r="V326" t="s">
        <v>1047</v>
      </c>
      <c r="X326" t="s">
        <v>856</v>
      </c>
    </row>
    <row r="327" spans="1:24">
      <c r="A327">
        <v>326</v>
      </c>
      <c r="B327" t="s">
        <v>803</v>
      </c>
      <c r="C327" s="79">
        <v>70</v>
      </c>
      <c r="D327" s="79">
        <v>80</v>
      </c>
      <c r="E327" s="79">
        <v>60</v>
      </c>
      <c r="F327" s="79">
        <v>60</v>
      </c>
      <c r="G327" s="23">
        <f t="shared" si="64"/>
        <v>210</v>
      </c>
      <c r="H327" s="23">
        <f t="shared" si="66"/>
        <v>70</v>
      </c>
      <c r="I327" s="23">
        <f t="shared" si="65"/>
        <v>270</v>
      </c>
      <c r="J327" s="23">
        <f t="shared" si="67"/>
        <v>26.005500000000001</v>
      </c>
      <c r="K327" s="23">
        <f t="shared" si="68"/>
        <v>35.354700000000001</v>
      </c>
      <c r="L327" s="23">
        <f t="shared" si="69"/>
        <v>18.242699999999999</v>
      </c>
      <c r="M327" s="23">
        <f t="shared" si="70"/>
        <v>18.242699999999999</v>
      </c>
      <c r="N327" s="23">
        <f t="shared" si="71"/>
        <v>79.602900000000005</v>
      </c>
      <c r="O327" s="23">
        <f t="shared" si="72"/>
        <v>97.845600000000005</v>
      </c>
      <c r="P327">
        <v>1</v>
      </c>
      <c r="Q327">
        <f t="shared" si="73"/>
        <v>2</v>
      </c>
      <c r="R327">
        <f t="shared" si="74"/>
        <v>2</v>
      </c>
      <c r="S327">
        <f t="shared" si="75"/>
        <v>0</v>
      </c>
      <c r="V327" t="s">
        <v>1047</v>
      </c>
      <c r="X327" t="s">
        <v>857</v>
      </c>
    </row>
    <row r="328" spans="1:24">
      <c r="A328">
        <v>327</v>
      </c>
      <c r="B328" t="s">
        <v>804</v>
      </c>
      <c r="C328" s="79">
        <v>50</v>
      </c>
      <c r="D328" s="79">
        <v>65</v>
      </c>
      <c r="E328" s="79">
        <v>35</v>
      </c>
      <c r="F328" s="79">
        <v>30</v>
      </c>
      <c r="G328" s="23">
        <f t="shared" si="64"/>
        <v>150</v>
      </c>
      <c r="H328" s="23">
        <f t="shared" si="66"/>
        <v>50</v>
      </c>
      <c r="I328" s="23">
        <f t="shared" si="65"/>
        <v>180</v>
      </c>
      <c r="J328" s="23">
        <f t="shared" si="67"/>
        <v>11.994199999999999</v>
      </c>
      <c r="K328" s="23">
        <f t="shared" si="68"/>
        <v>21.930099999999999</v>
      </c>
      <c r="L328" s="23">
        <f t="shared" si="69"/>
        <v>5.2808000000000002</v>
      </c>
      <c r="M328" s="23">
        <f t="shared" si="70"/>
        <v>3.7044000000000001</v>
      </c>
      <c r="N328" s="23">
        <f t="shared" si="71"/>
        <v>39.205100000000002</v>
      </c>
      <c r="O328" s="23">
        <f t="shared" si="72"/>
        <v>42.909500000000001</v>
      </c>
      <c r="P328">
        <v>1</v>
      </c>
      <c r="Q328">
        <f t="shared" si="73"/>
        <v>1</v>
      </c>
      <c r="R328">
        <f t="shared" si="74"/>
        <v>1</v>
      </c>
      <c r="S328">
        <f t="shared" si="75"/>
        <v>0</v>
      </c>
      <c r="V328" t="s">
        <v>1047</v>
      </c>
      <c r="X328" t="s">
        <v>858</v>
      </c>
    </row>
    <row r="329" spans="1:24">
      <c r="A329">
        <v>328</v>
      </c>
      <c r="B329" t="s">
        <v>314</v>
      </c>
      <c r="C329" s="79">
        <v>40</v>
      </c>
      <c r="D329" s="79">
        <v>50</v>
      </c>
      <c r="E329" s="79">
        <v>40</v>
      </c>
      <c r="F329" s="79">
        <v>30</v>
      </c>
      <c r="G329" s="23">
        <f t="shared" si="64"/>
        <v>130</v>
      </c>
      <c r="H329" s="23">
        <f t="shared" si="66"/>
        <v>43.333333333333336</v>
      </c>
      <c r="I329" s="23">
        <f t="shared" si="65"/>
        <v>160</v>
      </c>
      <c r="J329" s="23">
        <f t="shared" si="67"/>
        <v>7.1791999999999998</v>
      </c>
      <c r="K329" s="23">
        <f t="shared" si="68"/>
        <v>11.994199999999999</v>
      </c>
      <c r="L329" s="23">
        <f t="shared" si="69"/>
        <v>7.1791999999999998</v>
      </c>
      <c r="M329" s="23">
        <f t="shared" si="70"/>
        <v>3.7044000000000001</v>
      </c>
      <c r="N329" s="23">
        <f t="shared" si="71"/>
        <v>26.352600000000002</v>
      </c>
      <c r="O329" s="23">
        <f t="shared" si="72"/>
        <v>30.057000000000002</v>
      </c>
      <c r="P329">
        <v>1</v>
      </c>
      <c r="Q329">
        <f t="shared" si="73"/>
        <v>1</v>
      </c>
      <c r="R329">
        <f t="shared" si="74"/>
        <v>1</v>
      </c>
      <c r="S329">
        <f t="shared" si="75"/>
        <v>0</v>
      </c>
      <c r="V329" t="s">
        <v>1047</v>
      </c>
      <c r="X329" t="s">
        <v>859</v>
      </c>
    </row>
    <row r="330" spans="1:24">
      <c r="A330">
        <v>329</v>
      </c>
      <c r="B330" t="s">
        <v>315</v>
      </c>
      <c r="C330" s="79">
        <v>60</v>
      </c>
      <c r="D330" s="79">
        <v>70</v>
      </c>
      <c r="E330" s="79">
        <v>40</v>
      </c>
      <c r="F330" s="79">
        <v>40</v>
      </c>
      <c r="G330" s="23">
        <f t="shared" si="64"/>
        <v>170</v>
      </c>
      <c r="H330" s="23">
        <f t="shared" si="66"/>
        <v>56.666666666666664</v>
      </c>
      <c r="I330" s="23">
        <f t="shared" si="65"/>
        <v>210</v>
      </c>
      <c r="J330" s="23">
        <f t="shared" si="67"/>
        <v>18.242699999999999</v>
      </c>
      <c r="K330" s="23">
        <f t="shared" si="68"/>
        <v>26.005500000000001</v>
      </c>
      <c r="L330" s="23">
        <f t="shared" si="69"/>
        <v>7.1791999999999998</v>
      </c>
      <c r="M330" s="23">
        <f t="shared" si="70"/>
        <v>7.1791999999999998</v>
      </c>
      <c r="N330" s="23">
        <f t="shared" si="71"/>
        <v>51.427399999999999</v>
      </c>
      <c r="O330" s="23">
        <f t="shared" si="72"/>
        <v>58.6066</v>
      </c>
      <c r="P330">
        <v>1</v>
      </c>
      <c r="Q330">
        <f t="shared" si="73"/>
        <v>2</v>
      </c>
      <c r="R330">
        <f t="shared" si="74"/>
        <v>1</v>
      </c>
      <c r="S330">
        <f t="shared" si="75"/>
        <v>-1</v>
      </c>
      <c r="V330" t="s">
        <v>1047</v>
      </c>
      <c r="X330" t="s">
        <v>860</v>
      </c>
    </row>
    <row r="331" spans="1:24">
      <c r="A331">
        <v>330</v>
      </c>
      <c r="B331" t="s">
        <v>805</v>
      </c>
      <c r="C331" s="79">
        <v>70</v>
      </c>
      <c r="D331" s="79">
        <v>85</v>
      </c>
      <c r="E331" s="79">
        <v>60</v>
      </c>
      <c r="F331" s="79">
        <v>50</v>
      </c>
      <c r="G331" s="23">
        <f t="shared" si="64"/>
        <v>215</v>
      </c>
      <c r="H331" s="23">
        <f t="shared" si="66"/>
        <v>71.666666666666671</v>
      </c>
      <c r="I331" s="23">
        <f t="shared" si="65"/>
        <v>265</v>
      </c>
      <c r="J331" s="23">
        <f t="shared" si="67"/>
        <v>26.005500000000001</v>
      </c>
      <c r="K331" s="23">
        <f t="shared" si="68"/>
        <v>40.6447</v>
      </c>
      <c r="L331" s="23">
        <f t="shared" si="69"/>
        <v>18.242699999999999</v>
      </c>
      <c r="M331" s="23">
        <f t="shared" si="70"/>
        <v>11.994199999999999</v>
      </c>
      <c r="N331" s="23">
        <f t="shared" si="71"/>
        <v>84.892899999999997</v>
      </c>
      <c r="O331" s="23">
        <f t="shared" si="72"/>
        <v>96.887100000000004</v>
      </c>
      <c r="P331">
        <v>1</v>
      </c>
      <c r="Q331">
        <f t="shared" si="73"/>
        <v>2</v>
      </c>
      <c r="R331">
        <f t="shared" si="74"/>
        <v>2</v>
      </c>
      <c r="S331">
        <f t="shared" si="75"/>
        <v>0</v>
      </c>
      <c r="V331" t="s">
        <v>1047</v>
      </c>
      <c r="X331" t="s">
        <v>861</v>
      </c>
    </row>
    <row r="332" spans="1:24">
      <c r="A332">
        <v>331</v>
      </c>
      <c r="B332" t="s">
        <v>806</v>
      </c>
      <c r="C332" s="79">
        <v>70</v>
      </c>
      <c r="D332" s="79">
        <v>80</v>
      </c>
      <c r="E332" s="79">
        <v>60</v>
      </c>
      <c r="F332" s="79">
        <v>55</v>
      </c>
      <c r="G332" s="23">
        <f t="shared" si="64"/>
        <v>210</v>
      </c>
      <c r="H332" s="23">
        <f t="shared" si="66"/>
        <v>70</v>
      </c>
      <c r="I332" s="23">
        <f t="shared" si="65"/>
        <v>265</v>
      </c>
      <c r="J332" s="23">
        <f t="shared" si="67"/>
        <v>26.005500000000001</v>
      </c>
      <c r="K332" s="23">
        <f t="shared" si="68"/>
        <v>35.354700000000001</v>
      </c>
      <c r="L332" s="23">
        <f t="shared" si="69"/>
        <v>18.242699999999999</v>
      </c>
      <c r="M332" s="23">
        <f t="shared" si="70"/>
        <v>14.9339</v>
      </c>
      <c r="N332" s="23">
        <f t="shared" si="71"/>
        <v>79.602900000000005</v>
      </c>
      <c r="O332" s="23">
        <f t="shared" si="72"/>
        <v>94.536799999999999</v>
      </c>
      <c r="P332">
        <v>1</v>
      </c>
      <c r="Q332">
        <f t="shared" si="73"/>
        <v>2</v>
      </c>
      <c r="R332">
        <f t="shared" si="74"/>
        <v>2</v>
      </c>
      <c r="S332">
        <f t="shared" si="75"/>
        <v>0</v>
      </c>
      <c r="V332" t="s">
        <v>1047</v>
      </c>
      <c r="X332" t="s">
        <v>862</v>
      </c>
    </row>
    <row r="333" spans="1:24">
      <c r="A333">
        <v>332</v>
      </c>
      <c r="B333" t="s">
        <v>317</v>
      </c>
      <c r="C333" s="79">
        <v>60</v>
      </c>
      <c r="D333" s="79">
        <v>55</v>
      </c>
      <c r="E333" s="79">
        <v>65</v>
      </c>
      <c r="F333" s="79">
        <v>75</v>
      </c>
      <c r="G333" s="23">
        <f t="shared" si="64"/>
        <v>180</v>
      </c>
      <c r="H333" s="23">
        <f t="shared" si="66"/>
        <v>60</v>
      </c>
      <c r="I333" s="23">
        <f t="shared" si="65"/>
        <v>255</v>
      </c>
      <c r="J333" s="23">
        <f t="shared" si="67"/>
        <v>18.242699999999999</v>
      </c>
      <c r="K333" s="23">
        <f t="shared" si="68"/>
        <v>14.9339</v>
      </c>
      <c r="L333" s="23">
        <f t="shared" si="69"/>
        <v>21.930099999999999</v>
      </c>
      <c r="M333" s="23">
        <f t="shared" si="70"/>
        <v>30.477599999999999</v>
      </c>
      <c r="N333" s="23">
        <f t="shared" si="71"/>
        <v>55.106700000000004</v>
      </c>
      <c r="O333" s="23">
        <f t="shared" si="72"/>
        <v>85.584299999999999</v>
      </c>
      <c r="P333">
        <v>1</v>
      </c>
      <c r="Q333">
        <f t="shared" si="73"/>
        <v>2</v>
      </c>
      <c r="R333">
        <f t="shared" si="74"/>
        <v>2</v>
      </c>
      <c r="S333">
        <f t="shared" si="75"/>
        <v>0</v>
      </c>
      <c r="V333" t="s">
        <v>1047</v>
      </c>
      <c r="X333" t="s">
        <v>863</v>
      </c>
    </row>
    <row r="334" spans="1:24">
      <c r="A334">
        <v>333</v>
      </c>
      <c r="B334" t="s">
        <v>824</v>
      </c>
      <c r="C334" s="79">
        <v>85</v>
      </c>
      <c r="D334" s="79">
        <v>100</v>
      </c>
      <c r="E334" s="79">
        <v>60</v>
      </c>
      <c r="F334" s="79">
        <v>65</v>
      </c>
      <c r="G334" s="23">
        <f t="shared" si="64"/>
        <v>245</v>
      </c>
      <c r="H334" s="23">
        <f t="shared" si="66"/>
        <v>81.666666666666671</v>
      </c>
      <c r="I334" s="23">
        <f t="shared" si="65"/>
        <v>310</v>
      </c>
      <c r="J334" s="23">
        <f t="shared" si="67"/>
        <v>40.6447</v>
      </c>
      <c r="K334" s="23">
        <f t="shared" si="68"/>
        <v>59.066299999999998</v>
      </c>
      <c r="L334" s="23">
        <f t="shared" si="69"/>
        <v>18.242699999999999</v>
      </c>
      <c r="M334" s="23">
        <f t="shared" si="70"/>
        <v>21.930099999999999</v>
      </c>
      <c r="N334" s="23">
        <f t="shared" si="71"/>
        <v>117.9537</v>
      </c>
      <c r="O334" s="23">
        <f t="shared" si="72"/>
        <v>139.88380000000001</v>
      </c>
      <c r="P334">
        <v>1</v>
      </c>
      <c r="Q334">
        <f t="shared" si="73"/>
        <v>3</v>
      </c>
      <c r="R334">
        <f t="shared" si="74"/>
        <v>3</v>
      </c>
      <c r="S334">
        <f t="shared" si="75"/>
        <v>0</v>
      </c>
      <c r="V334" t="s">
        <v>1047</v>
      </c>
      <c r="X334" t="s">
        <v>825</v>
      </c>
    </row>
    <row r="335" spans="1:24">
      <c r="A335">
        <v>334</v>
      </c>
      <c r="B335" t="s">
        <v>830</v>
      </c>
      <c r="C335" s="79">
        <v>90</v>
      </c>
      <c r="D335" s="79">
        <v>90</v>
      </c>
      <c r="E335" s="79">
        <v>70</v>
      </c>
      <c r="F335" s="79">
        <v>60</v>
      </c>
      <c r="G335" s="23">
        <f t="shared" si="64"/>
        <v>250</v>
      </c>
      <c r="H335" s="23">
        <f t="shared" si="66"/>
        <v>83.333333333333329</v>
      </c>
      <c r="I335" s="23">
        <f t="shared" si="65"/>
        <v>310</v>
      </c>
      <c r="J335" s="23">
        <f t="shared" si="67"/>
        <v>46.3551</v>
      </c>
      <c r="K335" s="23">
        <f t="shared" si="68"/>
        <v>46.3551</v>
      </c>
      <c r="L335" s="23">
        <f t="shared" si="69"/>
        <v>26.005500000000001</v>
      </c>
      <c r="M335" s="23">
        <f t="shared" si="70"/>
        <v>18.242699999999999</v>
      </c>
      <c r="N335" s="23">
        <f t="shared" si="71"/>
        <v>118.7157</v>
      </c>
      <c r="O335" s="23">
        <f t="shared" si="72"/>
        <v>136.95839999999998</v>
      </c>
      <c r="P335">
        <v>1</v>
      </c>
      <c r="Q335">
        <f t="shared" si="73"/>
        <v>3</v>
      </c>
      <c r="R335">
        <f t="shared" si="74"/>
        <v>3</v>
      </c>
      <c r="S335">
        <f t="shared" si="75"/>
        <v>0</v>
      </c>
      <c r="V335" t="s">
        <v>1047</v>
      </c>
      <c r="X335" t="s">
        <v>831</v>
      </c>
    </row>
    <row r="336" spans="1:24">
      <c r="A336">
        <v>335</v>
      </c>
      <c r="B336" t="s">
        <v>865</v>
      </c>
      <c r="C336" s="79">
        <v>90</v>
      </c>
      <c r="D336" s="79">
        <v>80</v>
      </c>
      <c r="E336" s="79">
        <v>70</v>
      </c>
      <c r="F336" s="79">
        <v>70</v>
      </c>
      <c r="G336" s="23">
        <f t="shared" ref="G336:G372" si="76">SUM(C336:E336)</f>
        <v>240</v>
      </c>
      <c r="H336" s="23">
        <f t="shared" si="66"/>
        <v>80</v>
      </c>
      <c r="I336" s="23">
        <f t="shared" ref="I336:I372" si="77">SUM(C336:F336)</f>
        <v>310</v>
      </c>
      <c r="J336" s="23">
        <f t="shared" si="67"/>
        <v>46.3551</v>
      </c>
      <c r="K336" s="23">
        <f t="shared" si="68"/>
        <v>35.354700000000001</v>
      </c>
      <c r="L336" s="23">
        <f t="shared" si="69"/>
        <v>26.005500000000001</v>
      </c>
      <c r="M336" s="23">
        <f t="shared" si="70"/>
        <v>26.005500000000001</v>
      </c>
      <c r="N336" s="23">
        <f t="shared" si="71"/>
        <v>107.7153</v>
      </c>
      <c r="O336" s="23">
        <f t="shared" si="72"/>
        <v>133.7208</v>
      </c>
      <c r="P336">
        <v>1</v>
      </c>
      <c r="Q336">
        <f t="shared" si="73"/>
        <v>3</v>
      </c>
      <c r="R336">
        <f t="shared" si="74"/>
        <v>3</v>
      </c>
      <c r="S336">
        <f t="shared" si="75"/>
        <v>0</v>
      </c>
      <c r="V336" t="s">
        <v>323</v>
      </c>
      <c r="X336" t="s">
        <v>864</v>
      </c>
    </row>
    <row r="337" spans="1:24">
      <c r="A337">
        <v>336</v>
      </c>
      <c r="B337" t="s">
        <v>866</v>
      </c>
      <c r="C337" s="79">
        <v>85</v>
      </c>
      <c r="D337" s="79">
        <v>60</v>
      </c>
      <c r="E337" s="79">
        <v>100</v>
      </c>
      <c r="F337" s="79">
        <v>75</v>
      </c>
      <c r="G337" s="23">
        <f t="shared" si="76"/>
        <v>245</v>
      </c>
      <c r="H337" s="23">
        <f t="shared" si="66"/>
        <v>81.666666666666671</v>
      </c>
      <c r="I337" s="23">
        <f t="shared" si="77"/>
        <v>320</v>
      </c>
      <c r="J337" s="23">
        <f t="shared" si="67"/>
        <v>40.6447</v>
      </c>
      <c r="K337" s="23">
        <f t="shared" si="68"/>
        <v>18.242699999999999</v>
      </c>
      <c r="L337" s="23">
        <f t="shared" si="69"/>
        <v>59.066299999999998</v>
      </c>
      <c r="M337" s="23">
        <f t="shared" si="70"/>
        <v>30.477599999999999</v>
      </c>
      <c r="N337" s="23">
        <f t="shared" si="71"/>
        <v>117.9537</v>
      </c>
      <c r="O337" s="23">
        <f t="shared" si="72"/>
        <v>148.43129999999999</v>
      </c>
      <c r="P337">
        <v>1</v>
      </c>
      <c r="Q337">
        <f t="shared" si="73"/>
        <v>3</v>
      </c>
      <c r="R337">
        <f t="shared" si="74"/>
        <v>3</v>
      </c>
      <c r="S337">
        <f t="shared" si="75"/>
        <v>0</v>
      </c>
      <c r="V337" t="s">
        <v>323</v>
      </c>
      <c r="X337" t="s">
        <v>867</v>
      </c>
    </row>
    <row r="338" spans="1:24">
      <c r="A338">
        <v>337</v>
      </c>
      <c r="B338" t="s">
        <v>868</v>
      </c>
      <c r="C338" s="79">
        <v>90</v>
      </c>
      <c r="D338" s="79">
        <v>70</v>
      </c>
      <c r="E338" s="79">
        <v>110</v>
      </c>
      <c r="F338" s="79">
        <v>70</v>
      </c>
      <c r="G338" s="23">
        <f t="shared" si="76"/>
        <v>270</v>
      </c>
      <c r="H338" s="23">
        <f t="shared" si="66"/>
        <v>90</v>
      </c>
      <c r="I338" s="23">
        <f t="shared" si="77"/>
        <v>340</v>
      </c>
      <c r="J338" s="23">
        <f t="shared" si="67"/>
        <v>46.3551</v>
      </c>
      <c r="K338" s="23">
        <f t="shared" si="68"/>
        <v>26.005500000000001</v>
      </c>
      <c r="L338" s="23">
        <f t="shared" si="69"/>
        <v>73.543300000000002</v>
      </c>
      <c r="M338" s="23">
        <f t="shared" si="70"/>
        <v>26.005500000000001</v>
      </c>
      <c r="N338" s="23">
        <f t="shared" si="71"/>
        <v>145.90390000000002</v>
      </c>
      <c r="O338" s="23">
        <f t="shared" si="72"/>
        <v>171.90940000000003</v>
      </c>
      <c r="P338">
        <v>1</v>
      </c>
      <c r="Q338">
        <f t="shared" si="73"/>
        <v>4</v>
      </c>
      <c r="R338">
        <f t="shared" si="74"/>
        <v>3</v>
      </c>
      <c r="S338">
        <f t="shared" si="75"/>
        <v>-1</v>
      </c>
      <c r="V338" t="s">
        <v>323</v>
      </c>
      <c r="X338" t="s">
        <v>869</v>
      </c>
    </row>
    <row r="339" spans="1:24">
      <c r="A339">
        <v>338</v>
      </c>
      <c r="B339" s="12" t="s">
        <v>870</v>
      </c>
      <c r="C339" s="79">
        <v>100</v>
      </c>
      <c r="D339" s="79">
        <v>85</v>
      </c>
      <c r="E339" s="79">
        <v>65</v>
      </c>
      <c r="F339" s="79">
        <v>70</v>
      </c>
      <c r="G339" s="23">
        <f t="shared" si="76"/>
        <v>250</v>
      </c>
      <c r="H339" s="23">
        <f t="shared" si="66"/>
        <v>83.333333333333329</v>
      </c>
      <c r="I339" s="23">
        <f t="shared" si="77"/>
        <v>320</v>
      </c>
      <c r="J339" s="23">
        <f t="shared" si="67"/>
        <v>59.066299999999998</v>
      </c>
      <c r="K339" s="23">
        <f t="shared" si="68"/>
        <v>40.6447</v>
      </c>
      <c r="L339" s="23">
        <f t="shared" si="69"/>
        <v>21.930099999999999</v>
      </c>
      <c r="M339" s="23">
        <f t="shared" si="70"/>
        <v>26.005500000000001</v>
      </c>
      <c r="N339" s="23">
        <f t="shared" si="71"/>
        <v>121.64109999999999</v>
      </c>
      <c r="O339" s="23">
        <f t="shared" si="72"/>
        <v>147.64660000000001</v>
      </c>
      <c r="P339">
        <v>1</v>
      </c>
      <c r="Q339">
        <f t="shared" si="73"/>
        <v>3</v>
      </c>
      <c r="R339">
        <f t="shared" si="74"/>
        <v>3</v>
      </c>
      <c r="S339">
        <f t="shared" si="75"/>
        <v>0</v>
      </c>
      <c r="V339" t="s">
        <v>323</v>
      </c>
      <c r="X339" t="s">
        <v>871</v>
      </c>
    </row>
    <row r="340" spans="1:24">
      <c r="A340">
        <v>339</v>
      </c>
      <c r="B340" s="12" t="s">
        <v>872</v>
      </c>
      <c r="C340" s="79">
        <v>85</v>
      </c>
      <c r="D340" s="79">
        <v>70</v>
      </c>
      <c r="E340" s="79">
        <v>75</v>
      </c>
      <c r="F340" s="79">
        <v>60</v>
      </c>
      <c r="G340" s="23">
        <f t="shared" si="76"/>
        <v>230</v>
      </c>
      <c r="H340" s="23">
        <f t="shared" si="66"/>
        <v>76.666666666666671</v>
      </c>
      <c r="I340" s="23">
        <f t="shared" si="77"/>
        <v>290</v>
      </c>
      <c r="J340" s="23">
        <f t="shared" si="67"/>
        <v>40.6447</v>
      </c>
      <c r="K340" s="23">
        <f t="shared" si="68"/>
        <v>26.005500000000001</v>
      </c>
      <c r="L340" s="23">
        <f t="shared" si="69"/>
        <v>30.477599999999999</v>
      </c>
      <c r="M340" s="23">
        <f t="shared" si="70"/>
        <v>18.242699999999999</v>
      </c>
      <c r="N340" s="23">
        <f t="shared" si="71"/>
        <v>97.127799999999993</v>
      </c>
      <c r="O340" s="23">
        <f t="shared" si="72"/>
        <v>115.37049999999999</v>
      </c>
      <c r="P340">
        <v>1</v>
      </c>
      <c r="Q340">
        <f t="shared" si="73"/>
        <v>3</v>
      </c>
      <c r="R340">
        <f t="shared" si="74"/>
        <v>2</v>
      </c>
      <c r="S340">
        <f t="shared" si="75"/>
        <v>-1</v>
      </c>
      <c r="V340" t="s">
        <v>323</v>
      </c>
      <c r="X340" t="s">
        <v>324</v>
      </c>
    </row>
    <row r="341" spans="1:24">
      <c r="A341">
        <v>340</v>
      </c>
      <c r="B341" s="12" t="s">
        <v>325</v>
      </c>
      <c r="C341" s="79">
        <v>90</v>
      </c>
      <c r="D341" s="79">
        <v>90</v>
      </c>
      <c r="E341" s="79">
        <v>75</v>
      </c>
      <c r="F341" s="79">
        <v>60</v>
      </c>
      <c r="G341" s="23">
        <f t="shared" si="76"/>
        <v>255</v>
      </c>
      <c r="H341" s="23">
        <f t="shared" si="66"/>
        <v>85</v>
      </c>
      <c r="I341" s="23">
        <f t="shared" si="77"/>
        <v>315</v>
      </c>
      <c r="J341" s="23">
        <f t="shared" si="67"/>
        <v>46.3551</v>
      </c>
      <c r="K341" s="23">
        <f t="shared" si="68"/>
        <v>46.3551</v>
      </c>
      <c r="L341" s="23">
        <f t="shared" si="69"/>
        <v>30.477599999999999</v>
      </c>
      <c r="M341" s="23">
        <f t="shared" si="70"/>
        <v>18.242699999999999</v>
      </c>
      <c r="N341" s="23">
        <f t="shared" si="71"/>
        <v>123.1878</v>
      </c>
      <c r="O341" s="23">
        <f t="shared" si="72"/>
        <v>141.43049999999999</v>
      </c>
      <c r="P341">
        <v>1</v>
      </c>
      <c r="Q341">
        <f t="shared" si="73"/>
        <v>3</v>
      </c>
      <c r="R341">
        <f t="shared" si="74"/>
        <v>3</v>
      </c>
      <c r="S341">
        <f t="shared" si="75"/>
        <v>0</v>
      </c>
      <c r="V341" t="s">
        <v>323</v>
      </c>
      <c r="W341" t="s">
        <v>877</v>
      </c>
      <c r="X341" t="s">
        <v>326</v>
      </c>
    </row>
    <row r="342" spans="1:24">
      <c r="A342">
        <v>341</v>
      </c>
      <c r="B342" s="12" t="s">
        <v>873</v>
      </c>
      <c r="C342" s="79">
        <v>85</v>
      </c>
      <c r="D342" s="79">
        <v>80</v>
      </c>
      <c r="E342" s="79">
        <v>65</v>
      </c>
      <c r="F342" s="79">
        <v>60</v>
      </c>
      <c r="G342" s="23">
        <f t="shared" si="76"/>
        <v>230</v>
      </c>
      <c r="H342" s="23">
        <f t="shared" si="66"/>
        <v>76.666666666666671</v>
      </c>
      <c r="I342" s="23">
        <f t="shared" si="77"/>
        <v>290</v>
      </c>
      <c r="J342" s="23">
        <f t="shared" si="67"/>
        <v>40.6447</v>
      </c>
      <c r="K342" s="23">
        <f t="shared" si="68"/>
        <v>35.354700000000001</v>
      </c>
      <c r="L342" s="23">
        <f t="shared" si="69"/>
        <v>21.930099999999999</v>
      </c>
      <c r="M342" s="23">
        <f t="shared" si="70"/>
        <v>18.242699999999999</v>
      </c>
      <c r="N342" s="23">
        <f t="shared" si="71"/>
        <v>97.929500000000004</v>
      </c>
      <c r="O342" s="23">
        <f t="shared" si="72"/>
        <v>116.1722</v>
      </c>
      <c r="P342">
        <v>1</v>
      </c>
      <c r="Q342">
        <f t="shared" si="73"/>
        <v>3</v>
      </c>
      <c r="R342">
        <f t="shared" si="74"/>
        <v>2</v>
      </c>
      <c r="S342">
        <f t="shared" si="75"/>
        <v>-1</v>
      </c>
      <c r="V342" t="s">
        <v>323</v>
      </c>
      <c r="X342" t="s">
        <v>874</v>
      </c>
    </row>
    <row r="343" spans="1:24">
      <c r="A343">
        <v>342</v>
      </c>
      <c r="B343" s="12" t="s">
        <v>876</v>
      </c>
      <c r="C343" s="79">
        <v>80</v>
      </c>
      <c r="D343" s="79">
        <v>75</v>
      </c>
      <c r="E343" s="79">
        <v>85</v>
      </c>
      <c r="F343" s="79">
        <v>70</v>
      </c>
      <c r="G343" s="23">
        <f t="shared" si="76"/>
        <v>240</v>
      </c>
      <c r="H343" s="23">
        <f t="shared" si="66"/>
        <v>80</v>
      </c>
      <c r="I343" s="23">
        <f t="shared" si="77"/>
        <v>310</v>
      </c>
      <c r="J343" s="23">
        <f t="shared" si="67"/>
        <v>35.354700000000001</v>
      </c>
      <c r="K343" s="23">
        <f t="shared" si="68"/>
        <v>30.477599999999999</v>
      </c>
      <c r="L343" s="23">
        <f t="shared" si="69"/>
        <v>40.6447</v>
      </c>
      <c r="M343" s="23">
        <f t="shared" si="70"/>
        <v>26.005500000000001</v>
      </c>
      <c r="N343" s="23">
        <f t="shared" si="71"/>
        <v>106.477</v>
      </c>
      <c r="O343" s="23">
        <f t="shared" si="72"/>
        <v>132.48250000000002</v>
      </c>
      <c r="P343">
        <v>1</v>
      </c>
      <c r="Q343">
        <f t="shared" si="73"/>
        <v>3</v>
      </c>
      <c r="R343">
        <f t="shared" si="74"/>
        <v>3</v>
      </c>
      <c r="S343">
        <f t="shared" si="75"/>
        <v>0</v>
      </c>
      <c r="V343" t="s">
        <v>323</v>
      </c>
      <c r="X343" t="s">
        <v>875</v>
      </c>
    </row>
    <row r="344" spans="1:24">
      <c r="A344">
        <v>343</v>
      </c>
      <c r="B344" s="12" t="s">
        <v>880</v>
      </c>
      <c r="C344" s="79">
        <v>90</v>
      </c>
      <c r="D344" s="79">
        <v>75</v>
      </c>
      <c r="E344" s="79">
        <v>70</v>
      </c>
      <c r="F344" s="79">
        <v>70</v>
      </c>
      <c r="G344" s="23">
        <f t="shared" si="76"/>
        <v>235</v>
      </c>
      <c r="H344" s="23">
        <f t="shared" si="66"/>
        <v>78.333333333333329</v>
      </c>
      <c r="I344" s="23">
        <f t="shared" si="77"/>
        <v>305</v>
      </c>
      <c r="J344" s="23">
        <f t="shared" si="67"/>
        <v>46.3551</v>
      </c>
      <c r="K344" s="23">
        <f t="shared" si="68"/>
        <v>30.477599999999999</v>
      </c>
      <c r="L344" s="23">
        <f t="shared" si="69"/>
        <v>26.005500000000001</v>
      </c>
      <c r="M344" s="23">
        <f t="shared" si="70"/>
        <v>26.005500000000001</v>
      </c>
      <c r="N344" s="23">
        <f t="shared" si="71"/>
        <v>102.8382</v>
      </c>
      <c r="O344" s="23">
        <f t="shared" si="72"/>
        <v>128.84370000000001</v>
      </c>
      <c r="P344">
        <v>1</v>
      </c>
      <c r="Q344">
        <f t="shared" si="73"/>
        <v>3</v>
      </c>
      <c r="R344">
        <f t="shared" si="74"/>
        <v>3</v>
      </c>
      <c r="S344">
        <f t="shared" si="75"/>
        <v>0</v>
      </c>
      <c r="V344" t="s">
        <v>323</v>
      </c>
      <c r="X344" t="s">
        <v>881</v>
      </c>
    </row>
    <row r="345" spans="1:24">
      <c r="A345">
        <v>344</v>
      </c>
      <c r="B345" s="12" t="s">
        <v>878</v>
      </c>
      <c r="C345" s="79">
        <v>100</v>
      </c>
      <c r="D345" s="79">
        <v>85</v>
      </c>
      <c r="E345" s="79">
        <v>75</v>
      </c>
      <c r="F345" s="79">
        <v>70</v>
      </c>
      <c r="G345" s="23">
        <f t="shared" si="76"/>
        <v>260</v>
      </c>
      <c r="H345" s="23">
        <f t="shared" si="66"/>
        <v>86.666666666666671</v>
      </c>
      <c r="I345" s="23">
        <f t="shared" si="77"/>
        <v>330</v>
      </c>
      <c r="J345" s="23">
        <f t="shared" si="67"/>
        <v>59.066299999999998</v>
      </c>
      <c r="K345" s="23">
        <f t="shared" si="68"/>
        <v>40.6447</v>
      </c>
      <c r="L345" s="23">
        <f t="shared" si="69"/>
        <v>30.477599999999999</v>
      </c>
      <c r="M345" s="23">
        <f t="shared" si="70"/>
        <v>26.005500000000001</v>
      </c>
      <c r="N345" s="23">
        <f t="shared" si="71"/>
        <v>130.18860000000001</v>
      </c>
      <c r="O345" s="23">
        <f t="shared" si="72"/>
        <v>156.19410000000002</v>
      </c>
      <c r="P345">
        <v>1</v>
      </c>
      <c r="Q345">
        <f t="shared" si="73"/>
        <v>3</v>
      </c>
      <c r="R345">
        <f t="shared" si="74"/>
        <v>3</v>
      </c>
      <c r="S345">
        <f t="shared" si="75"/>
        <v>0</v>
      </c>
      <c r="V345" t="s">
        <v>323</v>
      </c>
      <c r="X345" t="s">
        <v>879</v>
      </c>
    </row>
    <row r="346" spans="1:24">
      <c r="A346">
        <v>345</v>
      </c>
      <c r="B346" s="12" t="s">
        <v>882</v>
      </c>
      <c r="C346" s="79">
        <v>95</v>
      </c>
      <c r="D346" s="79">
        <v>90</v>
      </c>
      <c r="E346" s="79">
        <v>80</v>
      </c>
      <c r="F346" s="79">
        <v>70</v>
      </c>
      <c r="G346" s="23">
        <f t="shared" si="76"/>
        <v>265</v>
      </c>
      <c r="H346" s="23">
        <f t="shared" si="66"/>
        <v>88.333333333333329</v>
      </c>
      <c r="I346" s="23">
        <f t="shared" si="77"/>
        <v>335</v>
      </c>
      <c r="J346" s="23">
        <f t="shared" si="67"/>
        <v>52.493400000000001</v>
      </c>
      <c r="K346" s="23">
        <f t="shared" si="68"/>
        <v>46.3551</v>
      </c>
      <c r="L346" s="23">
        <f t="shared" si="69"/>
        <v>35.354700000000001</v>
      </c>
      <c r="M346" s="23">
        <f t="shared" si="70"/>
        <v>26.005500000000001</v>
      </c>
      <c r="N346" s="23">
        <f t="shared" si="71"/>
        <v>134.20320000000001</v>
      </c>
      <c r="O346" s="23">
        <f t="shared" si="72"/>
        <v>160.20870000000002</v>
      </c>
      <c r="P346">
        <v>1</v>
      </c>
      <c r="Q346">
        <f t="shared" si="73"/>
        <v>3</v>
      </c>
      <c r="R346">
        <f t="shared" si="74"/>
        <v>3</v>
      </c>
      <c r="S346">
        <f t="shared" si="75"/>
        <v>0</v>
      </c>
      <c r="U346" t="s">
        <v>840</v>
      </c>
      <c r="V346" t="s">
        <v>323</v>
      </c>
      <c r="X346" t="s">
        <v>883</v>
      </c>
    </row>
    <row r="347" spans="1:24">
      <c r="A347">
        <v>346</v>
      </c>
      <c r="B347" s="12" t="s">
        <v>887</v>
      </c>
      <c r="C347" s="79">
        <v>70</v>
      </c>
      <c r="D347" s="79">
        <v>40</v>
      </c>
      <c r="E347" s="79">
        <v>110</v>
      </c>
      <c r="F347" s="79">
        <v>90</v>
      </c>
      <c r="G347" s="23">
        <f t="shared" si="76"/>
        <v>220</v>
      </c>
      <c r="H347" s="23">
        <f t="shared" si="66"/>
        <v>73.333333333333329</v>
      </c>
      <c r="I347" s="23">
        <f t="shared" si="77"/>
        <v>310</v>
      </c>
      <c r="J347" s="23">
        <f t="shared" si="67"/>
        <v>26.005500000000001</v>
      </c>
      <c r="K347" s="23">
        <f t="shared" si="68"/>
        <v>7.1791999999999998</v>
      </c>
      <c r="L347" s="23">
        <f t="shared" si="69"/>
        <v>73.543300000000002</v>
      </c>
      <c r="M347" s="23">
        <f t="shared" si="70"/>
        <v>46.3551</v>
      </c>
      <c r="N347" s="23">
        <f t="shared" si="71"/>
        <v>106.72800000000001</v>
      </c>
      <c r="O347" s="23">
        <f t="shared" si="72"/>
        <v>153.0831</v>
      </c>
      <c r="P347">
        <v>1</v>
      </c>
      <c r="Q347">
        <f t="shared" si="73"/>
        <v>3</v>
      </c>
      <c r="R347">
        <f t="shared" si="74"/>
        <v>3</v>
      </c>
      <c r="S347">
        <f t="shared" si="75"/>
        <v>0</v>
      </c>
      <c r="V347" t="s">
        <v>323</v>
      </c>
      <c r="X347" t="s">
        <v>886</v>
      </c>
    </row>
    <row r="348" spans="1:24">
      <c r="A348">
        <v>347</v>
      </c>
      <c r="B348" s="12" t="s">
        <v>889</v>
      </c>
      <c r="C348" s="79">
        <v>60</v>
      </c>
      <c r="D348" s="79">
        <v>50</v>
      </c>
      <c r="E348" s="79">
        <v>90</v>
      </c>
      <c r="F348" s="79">
        <v>70</v>
      </c>
      <c r="G348" s="23">
        <f t="shared" si="76"/>
        <v>200</v>
      </c>
      <c r="H348" s="23">
        <f t="shared" si="66"/>
        <v>66.666666666666671</v>
      </c>
      <c r="I348" s="23">
        <f t="shared" si="77"/>
        <v>270</v>
      </c>
      <c r="J348" s="23">
        <f t="shared" si="67"/>
        <v>18.242699999999999</v>
      </c>
      <c r="K348" s="23">
        <f t="shared" si="68"/>
        <v>11.994199999999999</v>
      </c>
      <c r="L348" s="23">
        <f t="shared" si="69"/>
        <v>46.3551</v>
      </c>
      <c r="M348" s="23">
        <f t="shared" si="70"/>
        <v>26.005500000000001</v>
      </c>
      <c r="N348" s="23">
        <f t="shared" si="71"/>
        <v>76.591999999999999</v>
      </c>
      <c r="O348" s="23">
        <f t="shared" si="72"/>
        <v>102.5975</v>
      </c>
      <c r="P348">
        <v>1</v>
      </c>
      <c r="Q348">
        <f t="shared" si="73"/>
        <v>2</v>
      </c>
      <c r="R348">
        <f t="shared" si="74"/>
        <v>2</v>
      </c>
      <c r="S348">
        <f t="shared" si="75"/>
        <v>0</v>
      </c>
      <c r="V348" t="s">
        <v>323</v>
      </c>
      <c r="X348" t="s">
        <v>888</v>
      </c>
    </row>
    <row r="349" spans="1:24">
      <c r="A349">
        <v>348</v>
      </c>
      <c r="B349" s="12" t="s">
        <v>891</v>
      </c>
      <c r="C349" s="79">
        <v>60</v>
      </c>
      <c r="D349" s="79">
        <v>110</v>
      </c>
      <c r="E349" s="79">
        <v>70</v>
      </c>
      <c r="F349" s="79">
        <v>70</v>
      </c>
      <c r="G349" s="23">
        <f t="shared" si="76"/>
        <v>240</v>
      </c>
      <c r="H349" s="23">
        <f t="shared" si="66"/>
        <v>80</v>
      </c>
      <c r="I349" s="23">
        <f t="shared" si="77"/>
        <v>310</v>
      </c>
      <c r="J349" s="23">
        <f t="shared" si="67"/>
        <v>18.242699999999999</v>
      </c>
      <c r="K349" s="23">
        <f t="shared" si="68"/>
        <v>73.543300000000002</v>
      </c>
      <c r="L349" s="23">
        <f t="shared" si="69"/>
        <v>26.005500000000001</v>
      </c>
      <c r="M349" s="23">
        <f t="shared" si="70"/>
        <v>26.005500000000001</v>
      </c>
      <c r="N349" s="23">
        <f t="shared" si="71"/>
        <v>117.7915</v>
      </c>
      <c r="O349" s="23">
        <f t="shared" si="72"/>
        <v>143.797</v>
      </c>
      <c r="P349">
        <v>1</v>
      </c>
      <c r="Q349">
        <f t="shared" si="73"/>
        <v>3</v>
      </c>
      <c r="R349">
        <f t="shared" si="74"/>
        <v>3</v>
      </c>
      <c r="S349">
        <f t="shared" si="75"/>
        <v>0</v>
      </c>
      <c r="V349" t="s">
        <v>323</v>
      </c>
      <c r="X349" t="s">
        <v>890</v>
      </c>
    </row>
    <row r="350" spans="1:24">
      <c r="A350">
        <v>349</v>
      </c>
      <c r="B350" s="12" t="s">
        <v>892</v>
      </c>
      <c r="C350" s="79">
        <v>60</v>
      </c>
      <c r="D350" s="79">
        <v>120</v>
      </c>
      <c r="E350" s="79">
        <v>70</v>
      </c>
      <c r="F350" s="79">
        <v>70</v>
      </c>
      <c r="G350" s="23">
        <f t="shared" si="76"/>
        <v>250</v>
      </c>
      <c r="H350" s="23">
        <f t="shared" si="66"/>
        <v>83.333333333333329</v>
      </c>
      <c r="I350" s="23">
        <f t="shared" si="77"/>
        <v>320</v>
      </c>
      <c r="J350" s="23">
        <f t="shared" si="67"/>
        <v>18.242699999999999</v>
      </c>
      <c r="K350" s="23">
        <f t="shared" si="68"/>
        <v>89.837400000000002</v>
      </c>
      <c r="L350" s="23">
        <f t="shared" si="69"/>
        <v>26.005500000000001</v>
      </c>
      <c r="M350" s="23">
        <f t="shared" si="70"/>
        <v>26.005500000000001</v>
      </c>
      <c r="N350" s="23">
        <f t="shared" si="71"/>
        <v>134.0856</v>
      </c>
      <c r="O350" s="23">
        <f t="shared" si="72"/>
        <v>160.09110000000001</v>
      </c>
      <c r="P350">
        <v>1</v>
      </c>
      <c r="Q350">
        <f t="shared" si="73"/>
        <v>3</v>
      </c>
      <c r="R350">
        <f t="shared" si="74"/>
        <v>3</v>
      </c>
      <c r="S350">
        <f t="shared" si="75"/>
        <v>0</v>
      </c>
      <c r="V350" t="s">
        <v>323</v>
      </c>
    </row>
    <row r="351" spans="1:24">
      <c r="A351">
        <v>350</v>
      </c>
      <c r="B351" s="12" t="s">
        <v>893</v>
      </c>
      <c r="C351" s="79">
        <v>90</v>
      </c>
      <c r="D351" s="79">
        <v>80</v>
      </c>
      <c r="E351" s="79">
        <v>70</v>
      </c>
      <c r="F351" s="79">
        <v>70</v>
      </c>
      <c r="G351" s="23">
        <f t="shared" si="76"/>
        <v>240</v>
      </c>
      <c r="H351" s="23">
        <f t="shared" si="66"/>
        <v>80</v>
      </c>
      <c r="I351" s="23">
        <f t="shared" si="77"/>
        <v>310</v>
      </c>
      <c r="J351" s="23">
        <f t="shared" si="67"/>
        <v>46.3551</v>
      </c>
      <c r="K351" s="23">
        <f t="shared" si="68"/>
        <v>35.354700000000001</v>
      </c>
      <c r="L351" s="23">
        <f t="shared" si="69"/>
        <v>26.005500000000001</v>
      </c>
      <c r="M351" s="23">
        <f t="shared" si="70"/>
        <v>26.005500000000001</v>
      </c>
      <c r="N351" s="23">
        <f t="shared" si="71"/>
        <v>107.7153</v>
      </c>
      <c r="O351" s="23">
        <f t="shared" si="72"/>
        <v>133.7208</v>
      </c>
      <c r="P351">
        <v>1</v>
      </c>
      <c r="Q351">
        <f t="shared" si="73"/>
        <v>3</v>
      </c>
      <c r="R351">
        <f t="shared" si="74"/>
        <v>3</v>
      </c>
      <c r="S351">
        <f t="shared" si="75"/>
        <v>0</v>
      </c>
      <c r="V351" t="s">
        <v>323</v>
      </c>
      <c r="X351" t="s">
        <v>894</v>
      </c>
    </row>
    <row r="352" spans="1:24">
      <c r="A352">
        <v>351</v>
      </c>
      <c r="B352" s="12" t="s">
        <v>896</v>
      </c>
      <c r="C352" s="79">
        <v>95</v>
      </c>
      <c r="D352" s="79">
        <v>60</v>
      </c>
      <c r="E352" s="79">
        <v>70</v>
      </c>
      <c r="F352" s="79">
        <v>90</v>
      </c>
      <c r="G352" s="23">
        <f t="shared" si="76"/>
        <v>225</v>
      </c>
      <c r="H352" s="23">
        <f t="shared" si="66"/>
        <v>75</v>
      </c>
      <c r="I352" s="23">
        <f t="shared" si="77"/>
        <v>315</v>
      </c>
      <c r="J352" s="23">
        <f t="shared" si="67"/>
        <v>52.493400000000001</v>
      </c>
      <c r="K352" s="23">
        <f t="shared" si="68"/>
        <v>18.242699999999999</v>
      </c>
      <c r="L352" s="23">
        <f t="shared" si="69"/>
        <v>26.005500000000001</v>
      </c>
      <c r="M352" s="23">
        <f t="shared" si="70"/>
        <v>46.3551</v>
      </c>
      <c r="N352" s="23">
        <f t="shared" si="71"/>
        <v>96.741599999999991</v>
      </c>
      <c r="O352" s="23">
        <f t="shared" si="72"/>
        <v>143.0967</v>
      </c>
      <c r="P352">
        <v>1</v>
      </c>
      <c r="Q352">
        <f t="shared" si="73"/>
        <v>3</v>
      </c>
      <c r="R352">
        <f t="shared" si="74"/>
        <v>3</v>
      </c>
      <c r="S352">
        <f t="shared" si="75"/>
        <v>0</v>
      </c>
      <c r="V352" t="s">
        <v>323</v>
      </c>
      <c r="X352" t="s">
        <v>895</v>
      </c>
    </row>
    <row r="353" spans="1:24">
      <c r="A353">
        <v>352</v>
      </c>
      <c r="B353" s="12" t="s">
        <v>897</v>
      </c>
      <c r="C353" s="79">
        <v>80</v>
      </c>
      <c r="D353" s="79">
        <v>70</v>
      </c>
      <c r="E353" s="79">
        <v>70</v>
      </c>
      <c r="F353" s="79">
        <v>60</v>
      </c>
      <c r="G353" s="23">
        <f t="shared" si="76"/>
        <v>220</v>
      </c>
      <c r="H353" s="23">
        <f t="shared" si="66"/>
        <v>73.333333333333329</v>
      </c>
      <c r="I353" s="23">
        <f t="shared" si="77"/>
        <v>280</v>
      </c>
      <c r="J353" s="23">
        <f t="shared" si="67"/>
        <v>35.354700000000001</v>
      </c>
      <c r="K353" s="23">
        <f t="shared" si="68"/>
        <v>26.005500000000001</v>
      </c>
      <c r="L353" s="23">
        <f t="shared" si="69"/>
        <v>26.005500000000001</v>
      </c>
      <c r="M353" s="23">
        <f t="shared" si="70"/>
        <v>18.242699999999999</v>
      </c>
      <c r="N353" s="23">
        <f t="shared" si="71"/>
        <v>87.365700000000004</v>
      </c>
      <c r="O353" s="23">
        <f t="shared" si="72"/>
        <v>105.6084</v>
      </c>
      <c r="P353">
        <v>1</v>
      </c>
      <c r="Q353">
        <f t="shared" si="73"/>
        <v>2</v>
      </c>
      <c r="R353">
        <f t="shared" si="74"/>
        <v>2</v>
      </c>
      <c r="S353">
        <f t="shared" si="75"/>
        <v>0</v>
      </c>
      <c r="V353" t="s">
        <v>323</v>
      </c>
      <c r="X353" t="s">
        <v>898</v>
      </c>
    </row>
    <row r="354" spans="1:24">
      <c r="A354">
        <v>353</v>
      </c>
      <c r="B354" s="12" t="s">
        <v>900</v>
      </c>
      <c r="C354" s="79">
        <v>90</v>
      </c>
      <c r="D354" s="79">
        <v>65</v>
      </c>
      <c r="E354" s="79">
        <v>95</v>
      </c>
      <c r="F354" s="79">
        <v>80</v>
      </c>
      <c r="G354" s="23">
        <f t="shared" si="76"/>
        <v>250</v>
      </c>
      <c r="H354" s="23">
        <f t="shared" si="66"/>
        <v>83.333333333333329</v>
      </c>
      <c r="I354" s="23">
        <f t="shared" si="77"/>
        <v>330</v>
      </c>
      <c r="J354" s="23">
        <f t="shared" si="67"/>
        <v>46.3551</v>
      </c>
      <c r="K354" s="23">
        <f t="shared" si="68"/>
        <v>21.930099999999999</v>
      </c>
      <c r="L354" s="23">
        <f t="shared" si="69"/>
        <v>52.493400000000001</v>
      </c>
      <c r="M354" s="23">
        <f t="shared" si="70"/>
        <v>35.354700000000001</v>
      </c>
      <c r="N354" s="23">
        <f t="shared" si="71"/>
        <v>120.77860000000001</v>
      </c>
      <c r="O354" s="23">
        <f t="shared" si="72"/>
        <v>156.13330000000002</v>
      </c>
      <c r="P354">
        <v>1</v>
      </c>
      <c r="Q354">
        <f t="shared" si="73"/>
        <v>3</v>
      </c>
      <c r="R354">
        <f t="shared" si="74"/>
        <v>3</v>
      </c>
      <c r="S354">
        <f t="shared" si="75"/>
        <v>0</v>
      </c>
      <c r="V354" t="s">
        <v>323</v>
      </c>
      <c r="X354" t="s">
        <v>899</v>
      </c>
    </row>
    <row r="355" spans="1:24">
      <c r="A355">
        <v>354</v>
      </c>
      <c r="B355" s="12" t="s">
        <v>901</v>
      </c>
      <c r="C355" s="79">
        <v>85</v>
      </c>
      <c r="D355" s="79">
        <v>95</v>
      </c>
      <c r="E355" s="79">
        <v>70</v>
      </c>
      <c r="F355" s="79">
        <v>65</v>
      </c>
      <c r="G355" s="23">
        <f t="shared" si="76"/>
        <v>250</v>
      </c>
      <c r="H355" s="23">
        <f t="shared" si="66"/>
        <v>83.333333333333329</v>
      </c>
      <c r="I355" s="23">
        <f t="shared" si="77"/>
        <v>315</v>
      </c>
      <c r="J355" s="23">
        <f t="shared" si="67"/>
        <v>40.6447</v>
      </c>
      <c r="K355" s="23">
        <f t="shared" si="68"/>
        <v>52.493400000000001</v>
      </c>
      <c r="L355" s="23">
        <f t="shared" si="69"/>
        <v>26.005500000000001</v>
      </c>
      <c r="M355" s="23">
        <f t="shared" si="70"/>
        <v>21.930099999999999</v>
      </c>
      <c r="N355" s="23">
        <f t="shared" si="71"/>
        <v>119.14360000000001</v>
      </c>
      <c r="O355" s="23">
        <f t="shared" si="72"/>
        <v>141.0737</v>
      </c>
      <c r="P355">
        <v>1</v>
      </c>
      <c r="Q355">
        <f t="shared" si="73"/>
        <v>3</v>
      </c>
      <c r="R355">
        <f t="shared" si="74"/>
        <v>3</v>
      </c>
      <c r="S355">
        <f t="shared" si="75"/>
        <v>0</v>
      </c>
      <c r="V355" t="s">
        <v>323</v>
      </c>
      <c r="X355" t="s">
        <v>902</v>
      </c>
    </row>
    <row r="356" spans="1:24">
      <c r="A356">
        <v>355</v>
      </c>
      <c r="B356" s="12" t="s">
        <v>903</v>
      </c>
      <c r="C356" s="79">
        <v>75</v>
      </c>
      <c r="D356" s="79">
        <v>90</v>
      </c>
      <c r="E356" s="79">
        <v>70</v>
      </c>
      <c r="F356" s="79">
        <v>60</v>
      </c>
      <c r="G356" s="23">
        <f t="shared" si="76"/>
        <v>235</v>
      </c>
      <c r="H356" s="23">
        <f t="shared" si="66"/>
        <v>78.333333333333329</v>
      </c>
      <c r="I356" s="23">
        <f t="shared" si="77"/>
        <v>295</v>
      </c>
      <c r="J356" s="23">
        <f t="shared" si="67"/>
        <v>30.477599999999999</v>
      </c>
      <c r="K356" s="23">
        <f t="shared" si="68"/>
        <v>46.3551</v>
      </c>
      <c r="L356" s="23">
        <f t="shared" si="69"/>
        <v>26.005500000000001</v>
      </c>
      <c r="M356" s="23">
        <f t="shared" si="70"/>
        <v>18.242699999999999</v>
      </c>
      <c r="N356" s="23">
        <f t="shared" si="71"/>
        <v>102.8382</v>
      </c>
      <c r="O356" s="23">
        <f t="shared" si="72"/>
        <v>121.0809</v>
      </c>
      <c r="P356">
        <v>1</v>
      </c>
      <c r="Q356">
        <f t="shared" si="73"/>
        <v>3</v>
      </c>
      <c r="R356">
        <f t="shared" si="74"/>
        <v>3</v>
      </c>
      <c r="S356">
        <f t="shared" si="75"/>
        <v>0</v>
      </c>
      <c r="V356" t="s">
        <v>323</v>
      </c>
      <c r="X356" t="s">
        <v>904</v>
      </c>
    </row>
    <row r="357" spans="1:24">
      <c r="A357">
        <v>356</v>
      </c>
      <c r="B357" s="12" t="s">
        <v>906</v>
      </c>
      <c r="C357" s="79">
        <v>85</v>
      </c>
      <c r="D357" s="79">
        <v>85</v>
      </c>
      <c r="E357" s="79">
        <v>65</v>
      </c>
      <c r="F357" s="79">
        <v>65</v>
      </c>
      <c r="G357" s="23">
        <f t="shared" si="76"/>
        <v>235</v>
      </c>
      <c r="H357" s="23">
        <f t="shared" si="66"/>
        <v>78.333333333333329</v>
      </c>
      <c r="I357" s="23">
        <f t="shared" si="77"/>
        <v>300</v>
      </c>
      <c r="J357" s="23">
        <f t="shared" si="67"/>
        <v>40.6447</v>
      </c>
      <c r="K357" s="23">
        <f t="shared" si="68"/>
        <v>40.6447</v>
      </c>
      <c r="L357" s="23">
        <f t="shared" si="69"/>
        <v>21.930099999999999</v>
      </c>
      <c r="M357" s="23">
        <f t="shared" si="70"/>
        <v>21.930099999999999</v>
      </c>
      <c r="N357" s="23">
        <f t="shared" si="71"/>
        <v>103.2195</v>
      </c>
      <c r="O357" s="23">
        <f t="shared" si="72"/>
        <v>125.14959999999999</v>
      </c>
      <c r="P357">
        <v>1</v>
      </c>
      <c r="Q357">
        <f t="shared" si="73"/>
        <v>3</v>
      </c>
      <c r="R357">
        <f t="shared" si="74"/>
        <v>3</v>
      </c>
      <c r="S357">
        <f t="shared" si="75"/>
        <v>0</v>
      </c>
      <c r="V357" t="s">
        <v>323</v>
      </c>
      <c r="X357" t="s">
        <v>905</v>
      </c>
    </row>
    <row r="358" spans="1:24">
      <c r="A358">
        <v>357</v>
      </c>
      <c r="B358" s="12" t="s">
        <v>907</v>
      </c>
      <c r="C358" s="79">
        <v>80</v>
      </c>
      <c r="D358" s="79">
        <v>85</v>
      </c>
      <c r="E358" s="79">
        <v>70</v>
      </c>
      <c r="F358" s="79">
        <v>75</v>
      </c>
      <c r="G358" s="23">
        <f t="shared" si="76"/>
        <v>235</v>
      </c>
      <c r="H358" s="23">
        <f t="shared" si="66"/>
        <v>78.333333333333329</v>
      </c>
      <c r="I358" s="23">
        <f t="shared" si="77"/>
        <v>310</v>
      </c>
      <c r="J358" s="23">
        <f t="shared" si="67"/>
        <v>35.354700000000001</v>
      </c>
      <c r="K358" s="23">
        <f t="shared" si="68"/>
        <v>40.6447</v>
      </c>
      <c r="L358" s="23">
        <f t="shared" si="69"/>
        <v>26.005500000000001</v>
      </c>
      <c r="M358" s="23">
        <f t="shared" si="70"/>
        <v>30.477599999999999</v>
      </c>
      <c r="N358" s="23">
        <f t="shared" si="71"/>
        <v>102.00490000000001</v>
      </c>
      <c r="O358" s="23">
        <f t="shared" si="72"/>
        <v>132.48250000000002</v>
      </c>
      <c r="P358">
        <v>1</v>
      </c>
      <c r="Q358">
        <f t="shared" si="73"/>
        <v>3</v>
      </c>
      <c r="R358">
        <f t="shared" si="74"/>
        <v>3</v>
      </c>
      <c r="S358">
        <f t="shared" si="75"/>
        <v>0</v>
      </c>
      <c r="V358" t="s">
        <v>323</v>
      </c>
      <c r="X358" t="s">
        <v>908</v>
      </c>
    </row>
    <row r="359" spans="1:24">
      <c r="A359">
        <v>358</v>
      </c>
      <c r="B359" s="12" t="s">
        <v>909</v>
      </c>
      <c r="C359" s="79">
        <v>70</v>
      </c>
      <c r="D359" s="79">
        <v>95</v>
      </c>
      <c r="E359" s="79">
        <v>60</v>
      </c>
      <c r="F359" s="79">
        <v>65</v>
      </c>
      <c r="G359" s="23">
        <f t="shared" si="76"/>
        <v>225</v>
      </c>
      <c r="H359" s="23">
        <f t="shared" si="66"/>
        <v>75</v>
      </c>
      <c r="I359" s="23">
        <f t="shared" si="77"/>
        <v>290</v>
      </c>
      <c r="J359" s="23">
        <f t="shared" si="67"/>
        <v>26.005500000000001</v>
      </c>
      <c r="K359" s="23">
        <f t="shared" si="68"/>
        <v>52.493400000000001</v>
      </c>
      <c r="L359" s="23">
        <f t="shared" si="69"/>
        <v>18.242699999999999</v>
      </c>
      <c r="M359" s="23">
        <f t="shared" si="70"/>
        <v>21.930099999999999</v>
      </c>
      <c r="N359" s="23">
        <f t="shared" si="71"/>
        <v>96.741600000000005</v>
      </c>
      <c r="O359" s="23">
        <f t="shared" si="72"/>
        <v>118.6717</v>
      </c>
      <c r="P359">
        <v>1</v>
      </c>
      <c r="Q359">
        <f t="shared" si="73"/>
        <v>3</v>
      </c>
      <c r="R359">
        <f t="shared" si="74"/>
        <v>2</v>
      </c>
      <c r="S359">
        <f t="shared" si="75"/>
        <v>-1</v>
      </c>
      <c r="V359" t="s">
        <v>323</v>
      </c>
      <c r="X359" t="s">
        <v>910</v>
      </c>
    </row>
    <row r="360" spans="1:24">
      <c r="A360">
        <v>359</v>
      </c>
      <c r="B360" s="12" t="s">
        <v>911</v>
      </c>
      <c r="C360" s="79">
        <v>70</v>
      </c>
      <c r="D360" s="79">
        <v>80</v>
      </c>
      <c r="E360" s="79">
        <v>80</v>
      </c>
      <c r="F360" s="79">
        <v>55</v>
      </c>
      <c r="G360" s="23">
        <f t="shared" si="76"/>
        <v>230</v>
      </c>
      <c r="H360" s="23">
        <f t="shared" si="66"/>
        <v>76.666666666666671</v>
      </c>
      <c r="I360" s="23">
        <f t="shared" si="77"/>
        <v>285</v>
      </c>
      <c r="J360" s="23">
        <f t="shared" si="67"/>
        <v>26.005500000000001</v>
      </c>
      <c r="K360" s="23">
        <f t="shared" si="68"/>
        <v>35.354700000000001</v>
      </c>
      <c r="L360" s="23">
        <f t="shared" si="69"/>
        <v>35.354700000000001</v>
      </c>
      <c r="M360" s="23">
        <f t="shared" si="70"/>
        <v>14.9339</v>
      </c>
      <c r="N360" s="23">
        <f t="shared" si="71"/>
        <v>96.7149</v>
      </c>
      <c r="O360" s="23">
        <f t="shared" si="72"/>
        <v>111.64879999999999</v>
      </c>
      <c r="P360">
        <v>1</v>
      </c>
      <c r="Q360">
        <f t="shared" si="73"/>
        <v>3</v>
      </c>
      <c r="R360">
        <f t="shared" si="74"/>
        <v>2</v>
      </c>
      <c r="S360">
        <f t="shared" si="75"/>
        <v>-1</v>
      </c>
      <c r="V360" t="s">
        <v>323</v>
      </c>
      <c r="X360" t="s">
        <v>912</v>
      </c>
    </row>
    <row r="361" spans="1:24">
      <c r="A361">
        <v>360</v>
      </c>
      <c r="B361" s="12" t="s">
        <v>913</v>
      </c>
      <c r="C361" s="79">
        <v>85</v>
      </c>
      <c r="D361" s="79">
        <v>95</v>
      </c>
      <c r="E361" s="79">
        <v>65</v>
      </c>
      <c r="F361" s="79">
        <v>60</v>
      </c>
      <c r="G361" s="23">
        <f t="shared" si="76"/>
        <v>245</v>
      </c>
      <c r="H361" s="23">
        <f t="shared" si="66"/>
        <v>81.666666666666671</v>
      </c>
      <c r="I361" s="23">
        <f t="shared" si="77"/>
        <v>305</v>
      </c>
      <c r="J361" s="23">
        <f t="shared" si="67"/>
        <v>40.6447</v>
      </c>
      <c r="K361" s="23">
        <f t="shared" si="68"/>
        <v>52.493400000000001</v>
      </c>
      <c r="L361" s="23">
        <f t="shared" si="69"/>
        <v>21.930099999999999</v>
      </c>
      <c r="M361" s="23">
        <f t="shared" si="70"/>
        <v>18.242699999999999</v>
      </c>
      <c r="N361" s="23">
        <f t="shared" si="71"/>
        <v>115.0682</v>
      </c>
      <c r="O361" s="23">
        <f t="shared" si="72"/>
        <v>133.3109</v>
      </c>
      <c r="P361">
        <v>1</v>
      </c>
      <c r="Q361">
        <f t="shared" si="73"/>
        <v>3</v>
      </c>
      <c r="R361">
        <f t="shared" si="74"/>
        <v>3</v>
      </c>
      <c r="S361">
        <f t="shared" si="75"/>
        <v>0</v>
      </c>
      <c r="V361" t="s">
        <v>323</v>
      </c>
      <c r="X361" t="s">
        <v>914</v>
      </c>
    </row>
    <row r="362" spans="1:24">
      <c r="A362">
        <v>361</v>
      </c>
      <c r="B362" s="12" t="s">
        <v>915</v>
      </c>
      <c r="C362" s="79">
        <v>80</v>
      </c>
      <c r="D362" s="79">
        <v>90</v>
      </c>
      <c r="E362" s="79">
        <v>80</v>
      </c>
      <c r="F362" s="79">
        <v>75</v>
      </c>
      <c r="G362" s="23">
        <f t="shared" si="76"/>
        <v>250</v>
      </c>
      <c r="H362" s="23">
        <f t="shared" si="66"/>
        <v>83.333333333333329</v>
      </c>
      <c r="I362" s="23">
        <f t="shared" si="77"/>
        <v>325</v>
      </c>
      <c r="J362" s="23">
        <f t="shared" si="67"/>
        <v>35.354700000000001</v>
      </c>
      <c r="K362" s="23">
        <f t="shared" si="68"/>
        <v>46.3551</v>
      </c>
      <c r="L362" s="23">
        <f t="shared" si="69"/>
        <v>35.354700000000001</v>
      </c>
      <c r="M362" s="23">
        <f t="shared" si="70"/>
        <v>30.477599999999999</v>
      </c>
      <c r="N362" s="23">
        <f t="shared" si="71"/>
        <v>117.06450000000001</v>
      </c>
      <c r="O362" s="23">
        <f t="shared" si="72"/>
        <v>147.5421</v>
      </c>
      <c r="P362">
        <v>1</v>
      </c>
      <c r="Q362">
        <f t="shared" si="73"/>
        <v>3</v>
      </c>
      <c r="R362">
        <f t="shared" si="74"/>
        <v>3</v>
      </c>
      <c r="S362">
        <f t="shared" si="75"/>
        <v>0</v>
      </c>
      <c r="V362" t="s">
        <v>323</v>
      </c>
      <c r="X362" t="s">
        <v>916</v>
      </c>
    </row>
    <row r="363" spans="1:24">
      <c r="A363">
        <v>362</v>
      </c>
      <c r="B363" s="12" t="s">
        <v>918</v>
      </c>
      <c r="C363" s="79">
        <v>95</v>
      </c>
      <c r="D363" s="79">
        <v>60</v>
      </c>
      <c r="E363" s="79">
        <v>80</v>
      </c>
      <c r="F363" s="79">
        <v>75</v>
      </c>
      <c r="G363" s="23">
        <f t="shared" si="76"/>
        <v>235</v>
      </c>
      <c r="H363" s="23">
        <f t="shared" si="66"/>
        <v>78.333333333333329</v>
      </c>
      <c r="I363" s="23">
        <f t="shared" si="77"/>
        <v>310</v>
      </c>
      <c r="J363" s="23">
        <f t="shared" si="67"/>
        <v>52.493400000000001</v>
      </c>
      <c r="K363" s="23">
        <f t="shared" si="68"/>
        <v>18.242699999999999</v>
      </c>
      <c r="L363" s="23">
        <f t="shared" si="69"/>
        <v>35.354700000000001</v>
      </c>
      <c r="M363" s="23">
        <f t="shared" si="70"/>
        <v>30.477599999999999</v>
      </c>
      <c r="N363" s="23">
        <f t="shared" si="71"/>
        <v>106.0908</v>
      </c>
      <c r="O363" s="23">
        <f t="shared" si="72"/>
        <v>136.5684</v>
      </c>
      <c r="P363">
        <v>1</v>
      </c>
      <c r="Q363">
        <f t="shared" si="73"/>
        <v>3</v>
      </c>
      <c r="R363">
        <f t="shared" si="74"/>
        <v>3</v>
      </c>
      <c r="S363">
        <f t="shared" si="75"/>
        <v>0</v>
      </c>
      <c r="V363" t="s">
        <v>323</v>
      </c>
      <c r="X363" t="s">
        <v>917</v>
      </c>
    </row>
    <row r="364" spans="1:24">
      <c r="A364">
        <v>363</v>
      </c>
      <c r="B364" s="12" t="s">
        <v>920</v>
      </c>
      <c r="C364" s="79">
        <v>85</v>
      </c>
      <c r="D364" s="79">
        <v>80</v>
      </c>
      <c r="E364" s="79">
        <v>70</v>
      </c>
      <c r="F364" s="79">
        <v>65</v>
      </c>
      <c r="G364" s="23">
        <f t="shared" si="76"/>
        <v>235</v>
      </c>
      <c r="H364" s="23">
        <f t="shared" si="66"/>
        <v>78.333333333333329</v>
      </c>
      <c r="I364" s="23">
        <f t="shared" si="77"/>
        <v>300</v>
      </c>
      <c r="J364" s="23">
        <f t="shared" si="67"/>
        <v>40.6447</v>
      </c>
      <c r="K364" s="23">
        <f t="shared" si="68"/>
        <v>35.354700000000001</v>
      </c>
      <c r="L364" s="23">
        <f t="shared" si="69"/>
        <v>26.005500000000001</v>
      </c>
      <c r="M364" s="23">
        <f t="shared" si="70"/>
        <v>21.930099999999999</v>
      </c>
      <c r="N364" s="23">
        <f t="shared" si="71"/>
        <v>102.00490000000001</v>
      </c>
      <c r="O364" s="23">
        <f t="shared" si="72"/>
        <v>123.935</v>
      </c>
      <c r="P364">
        <v>1</v>
      </c>
      <c r="Q364">
        <f t="shared" si="73"/>
        <v>3</v>
      </c>
      <c r="R364">
        <f t="shared" si="74"/>
        <v>3</v>
      </c>
      <c r="S364">
        <f t="shared" si="75"/>
        <v>0</v>
      </c>
      <c r="V364" t="s">
        <v>323</v>
      </c>
      <c r="X364" t="s">
        <v>919</v>
      </c>
    </row>
    <row r="365" spans="1:24">
      <c r="A365">
        <v>364</v>
      </c>
      <c r="B365" s="12" t="s">
        <v>922</v>
      </c>
      <c r="C365" s="79">
        <v>75</v>
      </c>
      <c r="D365" s="79">
        <v>90</v>
      </c>
      <c r="E365" s="79">
        <v>60</v>
      </c>
      <c r="F365" s="79">
        <v>65</v>
      </c>
      <c r="G365" s="23">
        <f t="shared" si="76"/>
        <v>225</v>
      </c>
      <c r="H365" s="23">
        <f t="shared" si="66"/>
        <v>75</v>
      </c>
      <c r="I365" s="23">
        <f t="shared" si="77"/>
        <v>290</v>
      </c>
      <c r="J365" s="23">
        <f t="shared" si="67"/>
        <v>30.477599999999999</v>
      </c>
      <c r="K365" s="23">
        <f t="shared" si="68"/>
        <v>46.3551</v>
      </c>
      <c r="L365" s="23">
        <f t="shared" si="69"/>
        <v>18.242699999999999</v>
      </c>
      <c r="M365" s="23">
        <f t="shared" si="70"/>
        <v>21.930099999999999</v>
      </c>
      <c r="N365" s="23">
        <f t="shared" si="71"/>
        <v>95.075400000000002</v>
      </c>
      <c r="O365" s="23">
        <f t="shared" si="72"/>
        <v>117.0055</v>
      </c>
      <c r="P365">
        <v>1</v>
      </c>
      <c r="Q365">
        <f t="shared" si="73"/>
        <v>3</v>
      </c>
      <c r="R365">
        <f t="shared" si="74"/>
        <v>2</v>
      </c>
      <c r="S365">
        <f t="shared" si="75"/>
        <v>-1</v>
      </c>
      <c r="V365" t="s">
        <v>323</v>
      </c>
      <c r="X365" t="s">
        <v>921</v>
      </c>
    </row>
    <row r="366" spans="1:24">
      <c r="A366">
        <v>365</v>
      </c>
      <c r="B366" s="12" t="s">
        <v>924</v>
      </c>
      <c r="C366" s="79">
        <v>75</v>
      </c>
      <c r="D366" s="79">
        <v>70</v>
      </c>
      <c r="E366" s="79">
        <v>75</v>
      </c>
      <c r="F366" s="79">
        <v>65</v>
      </c>
      <c r="G366" s="23">
        <f t="shared" si="76"/>
        <v>220</v>
      </c>
      <c r="H366" s="23">
        <f t="shared" si="66"/>
        <v>73.333333333333329</v>
      </c>
      <c r="I366" s="23">
        <f t="shared" si="77"/>
        <v>285</v>
      </c>
      <c r="J366" s="23">
        <f t="shared" si="67"/>
        <v>30.477599999999999</v>
      </c>
      <c r="K366" s="23">
        <f t="shared" si="68"/>
        <v>26.005500000000001</v>
      </c>
      <c r="L366" s="23">
        <f t="shared" si="69"/>
        <v>30.477599999999999</v>
      </c>
      <c r="M366" s="23">
        <f t="shared" si="70"/>
        <v>21.930099999999999</v>
      </c>
      <c r="N366" s="23">
        <f t="shared" si="71"/>
        <v>86.960700000000003</v>
      </c>
      <c r="O366" s="23">
        <f t="shared" si="72"/>
        <v>108.8908</v>
      </c>
      <c r="P366">
        <v>1</v>
      </c>
      <c r="Q366">
        <f t="shared" si="73"/>
        <v>2</v>
      </c>
      <c r="R366">
        <f t="shared" si="74"/>
        <v>2</v>
      </c>
      <c r="S366">
        <f t="shared" si="75"/>
        <v>0</v>
      </c>
      <c r="V366" t="s">
        <v>323</v>
      </c>
      <c r="X366" t="s">
        <v>923</v>
      </c>
    </row>
    <row r="367" spans="1:24">
      <c r="A367">
        <v>366</v>
      </c>
      <c r="B367" s="12" t="s">
        <v>926</v>
      </c>
      <c r="C367" s="79">
        <v>80</v>
      </c>
      <c r="D367" s="79">
        <v>75</v>
      </c>
      <c r="E367" s="79">
        <v>70</v>
      </c>
      <c r="F367" s="79">
        <v>70</v>
      </c>
      <c r="G367" s="23">
        <f t="shared" si="76"/>
        <v>225</v>
      </c>
      <c r="H367" s="23">
        <f t="shared" si="66"/>
        <v>75</v>
      </c>
      <c r="I367" s="23">
        <f t="shared" si="77"/>
        <v>295</v>
      </c>
      <c r="J367" s="23">
        <f t="shared" si="67"/>
        <v>35.354700000000001</v>
      </c>
      <c r="K367" s="23">
        <f t="shared" si="68"/>
        <v>30.477599999999999</v>
      </c>
      <c r="L367" s="23">
        <f t="shared" si="69"/>
        <v>26.005500000000001</v>
      </c>
      <c r="M367" s="23">
        <f t="shared" si="70"/>
        <v>26.005500000000001</v>
      </c>
      <c r="N367" s="23">
        <f t="shared" si="71"/>
        <v>91.837800000000001</v>
      </c>
      <c r="O367" s="23">
        <f t="shared" si="72"/>
        <v>117.8433</v>
      </c>
      <c r="P367">
        <v>1</v>
      </c>
      <c r="Q367">
        <f t="shared" si="73"/>
        <v>3</v>
      </c>
      <c r="R367">
        <f t="shared" si="74"/>
        <v>2</v>
      </c>
      <c r="S367">
        <f t="shared" si="75"/>
        <v>-1</v>
      </c>
      <c r="V367" t="s">
        <v>323</v>
      </c>
      <c r="X367" t="s">
        <v>925</v>
      </c>
    </row>
    <row r="368" spans="1:24">
      <c r="A368">
        <v>367</v>
      </c>
      <c r="B368" s="12" t="s">
        <v>927</v>
      </c>
      <c r="C368" s="79">
        <v>80</v>
      </c>
      <c r="D368" s="79">
        <v>75</v>
      </c>
      <c r="E368" s="79">
        <v>70</v>
      </c>
      <c r="F368" s="79">
        <v>85</v>
      </c>
      <c r="G368" s="23">
        <f t="shared" si="76"/>
        <v>225</v>
      </c>
      <c r="H368" s="23">
        <f t="shared" si="66"/>
        <v>75</v>
      </c>
      <c r="I368" s="23">
        <f t="shared" si="77"/>
        <v>310</v>
      </c>
      <c r="J368" s="23">
        <f t="shared" si="67"/>
        <v>35.354700000000001</v>
      </c>
      <c r="K368" s="23">
        <f t="shared" si="68"/>
        <v>30.477599999999999</v>
      </c>
      <c r="L368" s="23">
        <f t="shared" si="69"/>
        <v>26.005500000000001</v>
      </c>
      <c r="M368" s="23">
        <f t="shared" si="70"/>
        <v>40.6447</v>
      </c>
      <c r="N368" s="23">
        <f t="shared" si="71"/>
        <v>91.837800000000001</v>
      </c>
      <c r="O368" s="23">
        <f t="shared" si="72"/>
        <v>132.48250000000002</v>
      </c>
      <c r="P368">
        <v>1</v>
      </c>
      <c r="Q368">
        <f t="shared" si="73"/>
        <v>3</v>
      </c>
      <c r="R368">
        <f t="shared" si="74"/>
        <v>3</v>
      </c>
      <c r="S368">
        <f t="shared" si="75"/>
        <v>0</v>
      </c>
      <c r="V368" t="s">
        <v>323</v>
      </c>
      <c r="X368" t="s">
        <v>928</v>
      </c>
    </row>
    <row r="369" spans="1:24">
      <c r="A369">
        <v>368</v>
      </c>
      <c r="B369" s="12" t="s">
        <v>931</v>
      </c>
      <c r="C369" s="79">
        <v>90</v>
      </c>
      <c r="D369" s="79">
        <v>75</v>
      </c>
      <c r="E369" s="79">
        <v>70</v>
      </c>
      <c r="F369" s="79">
        <v>65</v>
      </c>
      <c r="G369" s="23">
        <f t="shared" si="76"/>
        <v>235</v>
      </c>
      <c r="H369" s="23">
        <f t="shared" si="66"/>
        <v>78.333333333333329</v>
      </c>
      <c r="I369" s="23">
        <f t="shared" si="77"/>
        <v>300</v>
      </c>
      <c r="J369" s="23">
        <f t="shared" si="67"/>
        <v>46.3551</v>
      </c>
      <c r="K369" s="23">
        <f t="shared" si="68"/>
        <v>30.477599999999999</v>
      </c>
      <c r="L369" s="23">
        <f t="shared" si="69"/>
        <v>26.005500000000001</v>
      </c>
      <c r="M369" s="23">
        <f t="shared" si="70"/>
        <v>21.930099999999999</v>
      </c>
      <c r="N369" s="23">
        <f t="shared" si="71"/>
        <v>102.8382</v>
      </c>
      <c r="O369" s="23">
        <f t="shared" si="72"/>
        <v>124.7683</v>
      </c>
      <c r="P369">
        <v>1</v>
      </c>
      <c r="Q369">
        <f t="shared" si="73"/>
        <v>3</v>
      </c>
      <c r="R369">
        <f t="shared" si="74"/>
        <v>3</v>
      </c>
      <c r="S369">
        <f t="shared" si="75"/>
        <v>0</v>
      </c>
      <c r="V369" t="s">
        <v>323</v>
      </c>
      <c r="W369" t="s">
        <v>930</v>
      </c>
      <c r="X369" t="s">
        <v>929</v>
      </c>
    </row>
    <row r="370" spans="1:24">
      <c r="A370">
        <v>369</v>
      </c>
      <c r="B370" s="12" t="s">
        <v>932</v>
      </c>
      <c r="C370" s="79">
        <v>85</v>
      </c>
      <c r="D370" s="79">
        <v>70</v>
      </c>
      <c r="E370" s="79">
        <v>70</v>
      </c>
      <c r="F370" s="79">
        <v>85</v>
      </c>
      <c r="G370" s="23">
        <f t="shared" si="76"/>
        <v>225</v>
      </c>
      <c r="H370" s="23">
        <f t="shared" si="66"/>
        <v>75</v>
      </c>
      <c r="I370" s="23">
        <f t="shared" si="77"/>
        <v>310</v>
      </c>
      <c r="J370" s="23">
        <f t="shared" si="67"/>
        <v>40.6447</v>
      </c>
      <c r="K370" s="23">
        <f t="shared" si="68"/>
        <v>26.005500000000001</v>
      </c>
      <c r="L370" s="23">
        <f t="shared" si="69"/>
        <v>26.005500000000001</v>
      </c>
      <c r="M370" s="23">
        <f t="shared" si="70"/>
        <v>40.6447</v>
      </c>
      <c r="N370" s="23">
        <f t="shared" si="71"/>
        <v>92.655699999999996</v>
      </c>
      <c r="O370" s="23">
        <f t="shared" si="72"/>
        <v>133.3004</v>
      </c>
      <c r="P370">
        <v>1</v>
      </c>
      <c r="Q370">
        <f t="shared" si="73"/>
        <v>3</v>
      </c>
      <c r="R370">
        <f t="shared" si="74"/>
        <v>3</v>
      </c>
      <c r="S370">
        <f t="shared" si="75"/>
        <v>0</v>
      </c>
      <c r="V370" t="s">
        <v>323</v>
      </c>
      <c r="X370" t="s">
        <v>933</v>
      </c>
    </row>
    <row r="371" spans="1:24">
      <c r="A371">
        <v>370</v>
      </c>
      <c r="B371" s="12" t="s">
        <v>934</v>
      </c>
      <c r="C371" s="79">
        <v>80</v>
      </c>
      <c r="D371" s="79">
        <v>70</v>
      </c>
      <c r="E371" s="79">
        <v>70</v>
      </c>
      <c r="F371" s="79">
        <v>75</v>
      </c>
      <c r="G371" s="23">
        <f t="shared" si="76"/>
        <v>220</v>
      </c>
      <c r="H371" s="23">
        <f t="shared" si="66"/>
        <v>73.333333333333329</v>
      </c>
      <c r="I371" s="23">
        <f t="shared" si="77"/>
        <v>295</v>
      </c>
      <c r="J371" s="23">
        <f t="shared" si="67"/>
        <v>35.354700000000001</v>
      </c>
      <c r="K371" s="23">
        <f t="shared" si="68"/>
        <v>26.005500000000001</v>
      </c>
      <c r="L371" s="23">
        <f t="shared" si="69"/>
        <v>26.005500000000001</v>
      </c>
      <c r="M371" s="23">
        <f t="shared" si="70"/>
        <v>30.477599999999999</v>
      </c>
      <c r="N371" s="23">
        <f t="shared" si="71"/>
        <v>87.365700000000004</v>
      </c>
      <c r="O371" s="23">
        <f t="shared" si="72"/>
        <v>117.8433</v>
      </c>
      <c r="P371">
        <v>1</v>
      </c>
      <c r="Q371">
        <f t="shared" si="73"/>
        <v>2</v>
      </c>
      <c r="R371">
        <f t="shared" si="74"/>
        <v>2</v>
      </c>
      <c r="S371">
        <f t="shared" si="75"/>
        <v>0</v>
      </c>
      <c r="U371" t="s">
        <v>840</v>
      </c>
      <c r="V371" t="s">
        <v>323</v>
      </c>
      <c r="X371" t="s">
        <v>935</v>
      </c>
    </row>
    <row r="372" spans="1:24">
      <c r="A372">
        <v>371</v>
      </c>
      <c r="B372" s="12" t="s">
        <v>936</v>
      </c>
      <c r="C372" s="79">
        <v>60</v>
      </c>
      <c r="D372" s="79">
        <v>75</v>
      </c>
      <c r="E372" s="79">
        <v>60</v>
      </c>
      <c r="F372" s="79">
        <v>50</v>
      </c>
      <c r="G372" s="23">
        <f t="shared" si="76"/>
        <v>195</v>
      </c>
      <c r="H372" s="23">
        <f t="shared" si="66"/>
        <v>65</v>
      </c>
      <c r="I372" s="23">
        <f t="shared" si="77"/>
        <v>245</v>
      </c>
      <c r="J372" s="23">
        <f t="shared" si="67"/>
        <v>18.242699999999999</v>
      </c>
      <c r="K372" s="23">
        <f t="shared" si="68"/>
        <v>30.477599999999999</v>
      </c>
      <c r="L372" s="23">
        <f t="shared" si="69"/>
        <v>18.242699999999999</v>
      </c>
      <c r="M372" s="23">
        <f t="shared" si="70"/>
        <v>11.994199999999999</v>
      </c>
      <c r="N372" s="23">
        <f t="shared" si="71"/>
        <v>66.962999999999994</v>
      </c>
      <c r="O372" s="23">
        <f t="shared" si="72"/>
        <v>78.9572</v>
      </c>
      <c r="P372">
        <v>1</v>
      </c>
      <c r="Q372">
        <f t="shared" si="73"/>
        <v>2</v>
      </c>
      <c r="R372">
        <f t="shared" si="74"/>
        <v>2</v>
      </c>
      <c r="S372">
        <f t="shared" si="75"/>
        <v>0</v>
      </c>
      <c r="V372" t="s">
        <v>323</v>
      </c>
      <c r="X372" t="s">
        <v>937</v>
      </c>
    </row>
    <row r="373" spans="1:24">
      <c r="A373">
        <v>372</v>
      </c>
      <c r="B373" s="12" t="s">
        <v>961</v>
      </c>
      <c r="C373" s="79">
        <v>90</v>
      </c>
      <c r="D373" s="79">
        <v>80</v>
      </c>
      <c r="E373" s="79">
        <v>70</v>
      </c>
      <c r="F373" s="79">
        <v>75</v>
      </c>
      <c r="G373" s="23">
        <f t="shared" ref="G373:G391" si="78">SUM(C373:E373)</f>
        <v>240</v>
      </c>
      <c r="H373" s="23">
        <f t="shared" si="66"/>
        <v>80</v>
      </c>
      <c r="I373" s="23">
        <f t="shared" ref="I373:I391" si="79">SUM(C373:F373)</f>
        <v>315</v>
      </c>
      <c r="J373" s="23">
        <f t="shared" si="67"/>
        <v>46.3551</v>
      </c>
      <c r="K373" s="23">
        <f t="shared" si="68"/>
        <v>35.354700000000001</v>
      </c>
      <c r="L373" s="23">
        <f t="shared" si="69"/>
        <v>26.005500000000001</v>
      </c>
      <c r="M373" s="23">
        <f t="shared" si="70"/>
        <v>30.477599999999999</v>
      </c>
      <c r="N373" s="23">
        <f t="shared" si="71"/>
        <v>107.7153</v>
      </c>
      <c r="O373" s="23">
        <f t="shared" si="72"/>
        <v>138.19290000000001</v>
      </c>
      <c r="P373">
        <v>1</v>
      </c>
      <c r="Q373">
        <f t="shared" si="73"/>
        <v>3</v>
      </c>
      <c r="R373">
        <f t="shared" si="74"/>
        <v>3</v>
      </c>
      <c r="S373">
        <f t="shared" si="75"/>
        <v>0</v>
      </c>
      <c r="V373" t="s">
        <v>327</v>
      </c>
      <c r="X373" t="s">
        <v>996</v>
      </c>
    </row>
    <row r="374" spans="1:24">
      <c r="A374">
        <v>373</v>
      </c>
      <c r="B374" s="12" t="s">
        <v>962</v>
      </c>
      <c r="C374" s="79">
        <v>75</v>
      </c>
      <c r="D374" s="79">
        <v>55</v>
      </c>
      <c r="E374" s="79">
        <v>90</v>
      </c>
      <c r="F374" s="79">
        <v>100</v>
      </c>
      <c r="G374" s="23">
        <f t="shared" si="78"/>
        <v>220</v>
      </c>
      <c r="H374" s="23">
        <f t="shared" si="66"/>
        <v>73.333333333333329</v>
      </c>
      <c r="I374" s="23">
        <f t="shared" si="79"/>
        <v>320</v>
      </c>
      <c r="J374" s="23">
        <f t="shared" si="67"/>
        <v>30.477599999999999</v>
      </c>
      <c r="K374" s="23">
        <f t="shared" si="68"/>
        <v>14.9339</v>
      </c>
      <c r="L374" s="23">
        <f t="shared" si="69"/>
        <v>46.3551</v>
      </c>
      <c r="M374" s="23">
        <f t="shared" si="70"/>
        <v>59.066299999999998</v>
      </c>
      <c r="N374" s="23">
        <f t="shared" si="71"/>
        <v>91.766599999999997</v>
      </c>
      <c r="O374" s="23">
        <f t="shared" si="72"/>
        <v>150.8329</v>
      </c>
      <c r="P374">
        <v>1</v>
      </c>
      <c r="Q374">
        <f t="shared" si="73"/>
        <v>3</v>
      </c>
      <c r="R374">
        <f t="shared" si="74"/>
        <v>3</v>
      </c>
      <c r="S374">
        <f t="shared" si="75"/>
        <v>0</v>
      </c>
      <c r="V374" t="s">
        <v>327</v>
      </c>
      <c r="X374" t="s">
        <v>328</v>
      </c>
    </row>
    <row r="375" spans="1:24">
      <c r="A375">
        <v>374</v>
      </c>
      <c r="B375" s="12" t="s">
        <v>966</v>
      </c>
      <c r="C375" s="79">
        <v>105</v>
      </c>
      <c r="D375" s="79">
        <v>80</v>
      </c>
      <c r="E375" s="79">
        <v>130</v>
      </c>
      <c r="F375" s="79">
        <v>90</v>
      </c>
      <c r="G375" s="23">
        <f t="shared" si="78"/>
        <v>315</v>
      </c>
      <c r="H375" s="23">
        <f t="shared" si="66"/>
        <v>105</v>
      </c>
      <c r="I375" s="23">
        <f t="shared" si="79"/>
        <v>405</v>
      </c>
      <c r="J375" s="23">
        <f t="shared" si="67"/>
        <v>66.080799999999996</v>
      </c>
      <c r="K375" s="23">
        <f t="shared" si="68"/>
        <v>35.354700000000001</v>
      </c>
      <c r="L375" s="23">
        <f t="shared" si="69"/>
        <v>107.9965</v>
      </c>
      <c r="M375" s="23">
        <f t="shared" si="70"/>
        <v>46.3551</v>
      </c>
      <c r="N375" s="23">
        <f t="shared" si="71"/>
        <v>209.43199999999999</v>
      </c>
      <c r="O375" s="23">
        <f t="shared" si="72"/>
        <v>255.78709999999998</v>
      </c>
      <c r="P375">
        <v>1</v>
      </c>
      <c r="Q375">
        <f t="shared" si="73"/>
        <v>5</v>
      </c>
      <c r="R375">
        <f t="shared" si="74"/>
        <v>5</v>
      </c>
      <c r="S375">
        <f t="shared" si="75"/>
        <v>0</v>
      </c>
      <c r="V375" t="s">
        <v>327</v>
      </c>
      <c r="X375" t="s">
        <v>977</v>
      </c>
    </row>
    <row r="376" spans="1:24">
      <c r="A376">
        <v>375</v>
      </c>
      <c r="B376" s="12" t="s">
        <v>967</v>
      </c>
      <c r="C376" s="79">
        <v>85</v>
      </c>
      <c r="D376" s="79">
        <v>75</v>
      </c>
      <c r="E376" s="79">
        <v>70</v>
      </c>
      <c r="F376" s="79">
        <v>65</v>
      </c>
      <c r="G376" s="23">
        <f t="shared" si="78"/>
        <v>230</v>
      </c>
      <c r="H376" s="23">
        <f t="shared" si="66"/>
        <v>76.666666666666671</v>
      </c>
      <c r="I376" s="23">
        <f t="shared" si="79"/>
        <v>295</v>
      </c>
      <c r="J376" s="23">
        <f t="shared" si="67"/>
        <v>40.6447</v>
      </c>
      <c r="K376" s="23">
        <f t="shared" si="68"/>
        <v>30.477599999999999</v>
      </c>
      <c r="L376" s="23">
        <f t="shared" si="69"/>
        <v>26.005500000000001</v>
      </c>
      <c r="M376" s="23">
        <f t="shared" si="70"/>
        <v>21.930099999999999</v>
      </c>
      <c r="N376" s="23">
        <f t="shared" si="71"/>
        <v>97.127799999999993</v>
      </c>
      <c r="O376" s="23">
        <f t="shared" si="72"/>
        <v>119.05789999999999</v>
      </c>
      <c r="P376">
        <v>1</v>
      </c>
      <c r="Q376">
        <f t="shared" si="73"/>
        <v>3</v>
      </c>
      <c r="R376">
        <f t="shared" si="74"/>
        <v>2</v>
      </c>
      <c r="S376">
        <f t="shared" si="75"/>
        <v>-1</v>
      </c>
      <c r="V376" t="s">
        <v>327</v>
      </c>
      <c r="X376" t="s">
        <v>998</v>
      </c>
    </row>
    <row r="377" spans="1:24">
      <c r="A377">
        <v>376</v>
      </c>
      <c r="B377" s="12" t="s">
        <v>968</v>
      </c>
      <c r="C377" s="79">
        <v>85</v>
      </c>
      <c r="D377" s="79">
        <v>70</v>
      </c>
      <c r="E377" s="79">
        <v>95</v>
      </c>
      <c r="F377" s="79">
        <v>60</v>
      </c>
      <c r="G377" s="23">
        <f t="shared" si="78"/>
        <v>250</v>
      </c>
      <c r="H377" s="23">
        <f t="shared" si="66"/>
        <v>83.333333333333329</v>
      </c>
      <c r="I377" s="23">
        <f t="shared" si="79"/>
        <v>310</v>
      </c>
      <c r="J377" s="23">
        <f t="shared" si="67"/>
        <v>40.6447</v>
      </c>
      <c r="K377" s="23">
        <f t="shared" si="68"/>
        <v>26.005500000000001</v>
      </c>
      <c r="L377" s="23">
        <f t="shared" si="69"/>
        <v>52.493400000000001</v>
      </c>
      <c r="M377" s="23">
        <f t="shared" si="70"/>
        <v>18.242699999999999</v>
      </c>
      <c r="N377" s="23">
        <f t="shared" si="71"/>
        <v>119.14359999999999</v>
      </c>
      <c r="O377" s="23">
        <f t="shared" si="72"/>
        <v>137.38630000000001</v>
      </c>
      <c r="P377">
        <v>1</v>
      </c>
      <c r="Q377">
        <f t="shared" si="73"/>
        <v>3</v>
      </c>
      <c r="R377">
        <f t="shared" si="74"/>
        <v>3</v>
      </c>
      <c r="S377">
        <f t="shared" si="75"/>
        <v>0</v>
      </c>
      <c r="V377" t="s">
        <v>327</v>
      </c>
      <c r="X377" t="s">
        <v>997</v>
      </c>
    </row>
    <row r="378" spans="1:24">
      <c r="A378">
        <v>377</v>
      </c>
      <c r="B378" s="12" t="s">
        <v>970</v>
      </c>
      <c r="C378" s="79">
        <v>75</v>
      </c>
      <c r="D378" s="79">
        <v>65</v>
      </c>
      <c r="E378" s="79">
        <v>60</v>
      </c>
      <c r="F378" s="79">
        <v>60</v>
      </c>
      <c r="G378" s="23">
        <f t="shared" si="78"/>
        <v>200</v>
      </c>
      <c r="H378" s="23">
        <f t="shared" si="66"/>
        <v>66.666666666666671</v>
      </c>
      <c r="I378" s="23">
        <f t="shared" si="79"/>
        <v>260</v>
      </c>
      <c r="J378" s="23">
        <f t="shared" si="67"/>
        <v>30.477599999999999</v>
      </c>
      <c r="K378" s="23">
        <f t="shared" si="68"/>
        <v>21.930099999999999</v>
      </c>
      <c r="L378" s="23">
        <f t="shared" si="69"/>
        <v>18.242699999999999</v>
      </c>
      <c r="M378" s="23">
        <f t="shared" si="70"/>
        <v>18.242699999999999</v>
      </c>
      <c r="N378" s="23">
        <f t="shared" si="71"/>
        <v>70.650399999999991</v>
      </c>
      <c r="O378" s="23">
        <f t="shared" si="72"/>
        <v>88.89309999999999</v>
      </c>
      <c r="P378">
        <v>1</v>
      </c>
      <c r="Q378">
        <f t="shared" si="73"/>
        <v>2</v>
      </c>
      <c r="R378">
        <f t="shared" si="74"/>
        <v>2</v>
      </c>
      <c r="S378">
        <f t="shared" si="75"/>
        <v>0</v>
      </c>
      <c r="V378" t="s">
        <v>327</v>
      </c>
      <c r="X378" t="s">
        <v>999</v>
      </c>
    </row>
    <row r="379" spans="1:24">
      <c r="A379">
        <v>378</v>
      </c>
      <c r="B379" s="12" t="s">
        <v>971</v>
      </c>
      <c r="C379" s="79">
        <v>75</v>
      </c>
      <c r="D379" s="79">
        <v>65</v>
      </c>
      <c r="E379" s="79">
        <v>60</v>
      </c>
      <c r="F379" s="79">
        <v>55</v>
      </c>
      <c r="G379" s="23">
        <f t="shared" si="78"/>
        <v>200</v>
      </c>
      <c r="H379" s="23">
        <f t="shared" si="66"/>
        <v>66.666666666666671</v>
      </c>
      <c r="I379" s="23">
        <f t="shared" si="79"/>
        <v>255</v>
      </c>
      <c r="J379" s="23">
        <f t="shared" si="67"/>
        <v>30.477599999999999</v>
      </c>
      <c r="K379" s="23">
        <f t="shared" si="68"/>
        <v>21.930099999999999</v>
      </c>
      <c r="L379" s="23">
        <f t="shared" si="69"/>
        <v>18.242699999999999</v>
      </c>
      <c r="M379" s="23">
        <f t="shared" si="70"/>
        <v>14.9339</v>
      </c>
      <c r="N379" s="23">
        <f t="shared" si="71"/>
        <v>70.650399999999991</v>
      </c>
      <c r="O379" s="23">
        <f t="shared" si="72"/>
        <v>85.584299999999985</v>
      </c>
      <c r="P379">
        <v>1</v>
      </c>
      <c r="Q379">
        <f t="shared" si="73"/>
        <v>2</v>
      </c>
      <c r="R379">
        <f t="shared" si="74"/>
        <v>2</v>
      </c>
      <c r="S379">
        <f t="shared" si="75"/>
        <v>0</v>
      </c>
      <c r="V379" t="s">
        <v>327</v>
      </c>
      <c r="X379" t="s">
        <v>1000</v>
      </c>
    </row>
    <row r="380" spans="1:24">
      <c r="A380">
        <v>379</v>
      </c>
      <c r="B380" s="12" t="s">
        <v>972</v>
      </c>
      <c r="C380" s="79">
        <v>90</v>
      </c>
      <c r="D380" s="79">
        <v>80</v>
      </c>
      <c r="E380" s="79">
        <v>75</v>
      </c>
      <c r="F380" s="79">
        <v>70</v>
      </c>
      <c r="G380" s="23">
        <f t="shared" si="78"/>
        <v>245</v>
      </c>
      <c r="H380" s="23">
        <f t="shared" si="66"/>
        <v>81.666666666666671</v>
      </c>
      <c r="I380" s="23">
        <f t="shared" si="79"/>
        <v>315</v>
      </c>
      <c r="J380" s="23">
        <f t="shared" si="67"/>
        <v>46.3551</v>
      </c>
      <c r="K380" s="23">
        <f t="shared" si="68"/>
        <v>35.354700000000001</v>
      </c>
      <c r="L380" s="23">
        <f t="shared" si="69"/>
        <v>30.477599999999999</v>
      </c>
      <c r="M380" s="23">
        <f t="shared" si="70"/>
        <v>26.005500000000001</v>
      </c>
      <c r="N380" s="23">
        <f t="shared" si="71"/>
        <v>112.1874</v>
      </c>
      <c r="O380" s="23">
        <f t="shared" si="72"/>
        <v>138.19290000000001</v>
      </c>
      <c r="P380">
        <v>1</v>
      </c>
      <c r="Q380">
        <f t="shared" si="73"/>
        <v>3</v>
      </c>
      <c r="R380">
        <f t="shared" si="74"/>
        <v>3</v>
      </c>
      <c r="S380">
        <f t="shared" si="75"/>
        <v>0</v>
      </c>
      <c r="V380" t="s">
        <v>327</v>
      </c>
      <c r="X380" t="s">
        <v>980</v>
      </c>
    </row>
    <row r="381" spans="1:24">
      <c r="A381">
        <v>380</v>
      </c>
      <c r="B381" s="12" t="s">
        <v>973</v>
      </c>
      <c r="C381" s="79">
        <v>80</v>
      </c>
      <c r="D381" s="79">
        <v>100</v>
      </c>
      <c r="E381" s="79">
        <v>80</v>
      </c>
      <c r="F381" s="79">
        <v>65</v>
      </c>
      <c r="G381" s="23">
        <f t="shared" si="78"/>
        <v>260</v>
      </c>
      <c r="H381" s="23">
        <f t="shared" si="66"/>
        <v>86.666666666666671</v>
      </c>
      <c r="I381" s="23">
        <f t="shared" si="79"/>
        <v>325</v>
      </c>
      <c r="J381" s="23">
        <f t="shared" si="67"/>
        <v>35.354700000000001</v>
      </c>
      <c r="K381" s="23">
        <f t="shared" si="68"/>
        <v>59.066299999999998</v>
      </c>
      <c r="L381" s="23">
        <f t="shared" si="69"/>
        <v>35.354700000000001</v>
      </c>
      <c r="M381" s="23">
        <f t="shared" si="70"/>
        <v>21.930099999999999</v>
      </c>
      <c r="N381" s="23">
        <f t="shared" si="71"/>
        <v>129.7757</v>
      </c>
      <c r="O381" s="23">
        <f t="shared" si="72"/>
        <v>151.70580000000001</v>
      </c>
      <c r="P381">
        <v>1</v>
      </c>
      <c r="Q381">
        <f t="shared" si="73"/>
        <v>3</v>
      </c>
      <c r="R381">
        <f t="shared" si="74"/>
        <v>3</v>
      </c>
      <c r="S381">
        <f t="shared" si="75"/>
        <v>0</v>
      </c>
      <c r="V381" t="s">
        <v>327</v>
      </c>
      <c r="X381" t="s">
        <v>974</v>
      </c>
    </row>
    <row r="382" spans="1:24">
      <c r="A382">
        <v>381</v>
      </c>
      <c r="B382" s="12" t="s">
        <v>975</v>
      </c>
      <c r="C382" s="79">
        <v>75</v>
      </c>
      <c r="D382" s="79">
        <v>85</v>
      </c>
      <c r="E382" s="79">
        <v>70</v>
      </c>
      <c r="F382" s="79">
        <v>60</v>
      </c>
      <c r="G382" s="23">
        <f t="shared" si="78"/>
        <v>230</v>
      </c>
      <c r="H382" s="23">
        <f t="shared" si="66"/>
        <v>76.666666666666671</v>
      </c>
      <c r="I382" s="23">
        <f t="shared" si="79"/>
        <v>290</v>
      </c>
      <c r="J382" s="23">
        <f t="shared" si="67"/>
        <v>30.477599999999999</v>
      </c>
      <c r="K382" s="23">
        <f t="shared" si="68"/>
        <v>40.6447</v>
      </c>
      <c r="L382" s="23">
        <f t="shared" si="69"/>
        <v>26.005500000000001</v>
      </c>
      <c r="M382" s="23">
        <f t="shared" si="70"/>
        <v>18.242699999999999</v>
      </c>
      <c r="N382" s="23">
        <f t="shared" si="71"/>
        <v>97.127799999999993</v>
      </c>
      <c r="O382" s="23">
        <f t="shared" si="72"/>
        <v>115.37049999999999</v>
      </c>
      <c r="P382">
        <v>1</v>
      </c>
      <c r="Q382">
        <f t="shared" si="73"/>
        <v>3</v>
      </c>
      <c r="R382">
        <f t="shared" si="74"/>
        <v>2</v>
      </c>
      <c r="S382">
        <f t="shared" si="75"/>
        <v>-1</v>
      </c>
      <c r="V382" t="s">
        <v>327</v>
      </c>
      <c r="X382" t="s">
        <v>976</v>
      </c>
    </row>
    <row r="383" spans="1:24">
      <c r="A383">
        <v>382</v>
      </c>
      <c r="B383" s="12" t="s">
        <v>978</v>
      </c>
      <c r="C383" s="79">
        <v>90</v>
      </c>
      <c r="D383" s="79">
        <v>75</v>
      </c>
      <c r="E383" s="79">
        <v>110</v>
      </c>
      <c r="F383" s="79">
        <v>70</v>
      </c>
      <c r="G383" s="23">
        <f t="shared" si="78"/>
        <v>275</v>
      </c>
      <c r="H383" s="23">
        <f t="shared" si="66"/>
        <v>91.666666666666671</v>
      </c>
      <c r="I383" s="23">
        <f t="shared" si="79"/>
        <v>345</v>
      </c>
      <c r="J383" s="23">
        <f t="shared" si="67"/>
        <v>46.3551</v>
      </c>
      <c r="K383" s="23">
        <f t="shared" si="68"/>
        <v>30.477599999999999</v>
      </c>
      <c r="L383" s="23">
        <f t="shared" si="69"/>
        <v>73.543300000000002</v>
      </c>
      <c r="M383" s="23">
        <f t="shared" si="70"/>
        <v>26.005500000000001</v>
      </c>
      <c r="N383" s="23">
        <f t="shared" si="71"/>
        <v>150.376</v>
      </c>
      <c r="O383" s="23">
        <f t="shared" si="72"/>
        <v>176.38150000000002</v>
      </c>
      <c r="P383">
        <v>1</v>
      </c>
      <c r="Q383">
        <f t="shared" si="73"/>
        <v>4</v>
      </c>
      <c r="R383">
        <f t="shared" si="74"/>
        <v>3</v>
      </c>
      <c r="S383">
        <f t="shared" si="75"/>
        <v>-1</v>
      </c>
      <c r="V383" t="s">
        <v>327</v>
      </c>
      <c r="X383" t="s">
        <v>979</v>
      </c>
    </row>
    <row r="384" spans="1:24">
      <c r="A384">
        <v>383</v>
      </c>
      <c r="B384" s="12" t="s">
        <v>981</v>
      </c>
      <c r="C384" s="79">
        <v>85</v>
      </c>
      <c r="D384" s="79">
        <v>70</v>
      </c>
      <c r="E384" s="79">
        <v>90</v>
      </c>
      <c r="F384" s="79">
        <v>70</v>
      </c>
      <c r="G384" s="23">
        <f t="shared" si="78"/>
        <v>245</v>
      </c>
      <c r="H384" s="23">
        <f t="shared" si="66"/>
        <v>81.666666666666671</v>
      </c>
      <c r="I384" s="23">
        <f t="shared" si="79"/>
        <v>315</v>
      </c>
      <c r="J384" s="23">
        <f t="shared" si="67"/>
        <v>40.6447</v>
      </c>
      <c r="K384" s="23">
        <f t="shared" si="68"/>
        <v>26.005500000000001</v>
      </c>
      <c r="L384" s="23">
        <f t="shared" si="69"/>
        <v>46.3551</v>
      </c>
      <c r="M384" s="23">
        <f t="shared" si="70"/>
        <v>26.005500000000001</v>
      </c>
      <c r="N384" s="23">
        <f t="shared" si="71"/>
        <v>113.00530000000001</v>
      </c>
      <c r="O384" s="23">
        <f t="shared" si="72"/>
        <v>139.01080000000002</v>
      </c>
      <c r="P384">
        <v>1</v>
      </c>
      <c r="Q384">
        <f t="shared" si="73"/>
        <v>3</v>
      </c>
      <c r="R384">
        <f t="shared" si="74"/>
        <v>3</v>
      </c>
      <c r="S384">
        <f t="shared" si="75"/>
        <v>0</v>
      </c>
      <c r="V384" t="s">
        <v>327</v>
      </c>
      <c r="X384" t="s">
        <v>982</v>
      </c>
    </row>
    <row r="385" spans="1:24">
      <c r="A385">
        <v>384</v>
      </c>
      <c r="B385" s="12" t="s">
        <v>969</v>
      </c>
      <c r="C385" s="79">
        <v>100</v>
      </c>
      <c r="D385" s="79">
        <v>85</v>
      </c>
      <c r="E385" s="79">
        <v>115</v>
      </c>
      <c r="F385" s="79">
        <v>75</v>
      </c>
      <c r="G385" s="23">
        <f t="shared" si="78"/>
        <v>300</v>
      </c>
      <c r="H385" s="23">
        <f t="shared" si="66"/>
        <v>100</v>
      </c>
      <c r="I385" s="23">
        <f t="shared" si="79"/>
        <v>375</v>
      </c>
      <c r="J385" s="23">
        <f t="shared" si="67"/>
        <v>59.066299999999998</v>
      </c>
      <c r="K385" s="23">
        <f t="shared" si="68"/>
        <v>40.6447</v>
      </c>
      <c r="L385" s="23">
        <f t="shared" si="69"/>
        <v>81.460099999999997</v>
      </c>
      <c r="M385" s="23">
        <f t="shared" si="70"/>
        <v>30.477599999999999</v>
      </c>
      <c r="N385" s="23">
        <f t="shared" si="71"/>
        <v>181.1711</v>
      </c>
      <c r="O385" s="23">
        <f t="shared" si="72"/>
        <v>211.64869999999999</v>
      </c>
      <c r="P385">
        <v>1</v>
      </c>
      <c r="Q385">
        <f t="shared" si="73"/>
        <v>5</v>
      </c>
      <c r="R385">
        <f t="shared" si="74"/>
        <v>4</v>
      </c>
      <c r="S385">
        <f t="shared" si="75"/>
        <v>-1</v>
      </c>
      <c r="V385" t="s">
        <v>327</v>
      </c>
      <c r="X385" t="s">
        <v>983</v>
      </c>
    </row>
    <row r="386" spans="1:24">
      <c r="A386">
        <v>385</v>
      </c>
      <c r="B386" s="12" t="s">
        <v>984</v>
      </c>
      <c r="C386" s="79">
        <v>90</v>
      </c>
      <c r="D386" s="79">
        <v>100</v>
      </c>
      <c r="E386" s="79">
        <v>65</v>
      </c>
      <c r="F386" s="79">
        <v>65</v>
      </c>
      <c r="G386" s="23">
        <f t="shared" si="78"/>
        <v>255</v>
      </c>
      <c r="H386" s="23">
        <f t="shared" ref="H386:H410" si="80">G386/COUNT(C386:E386)</f>
        <v>85</v>
      </c>
      <c r="I386" s="23">
        <f t="shared" si="79"/>
        <v>320</v>
      </c>
      <c r="J386" s="23">
        <f t="shared" ref="J386:J410" si="81">ROUND(POWER(C386,2.3)/674,4)</f>
        <v>46.3551</v>
      </c>
      <c r="K386" s="23">
        <f t="shared" ref="K386:K410" si="82">ROUND(POWER(D386,2.3)/674,4)</f>
        <v>59.066299999999998</v>
      </c>
      <c r="L386" s="23">
        <f t="shared" ref="L386:L410" si="83">ROUND(POWER(E386,2.3)/674,4)</f>
        <v>21.930099999999999</v>
      </c>
      <c r="M386" s="23">
        <f t="shared" ref="M386:M410" si="84">ROUND(POWER(F386,2.3)/674,4)</f>
        <v>21.930099999999999</v>
      </c>
      <c r="N386" s="23">
        <f t="shared" ref="N386:N410" si="85">SUM(J386:L386)</f>
        <v>127.3515</v>
      </c>
      <c r="O386" s="23">
        <f t="shared" ref="O386:O391" si="86">SUM(J386:M386)</f>
        <v>149.2816</v>
      </c>
      <c r="P386">
        <v>1</v>
      </c>
      <c r="Q386">
        <f t="shared" si="73"/>
        <v>3</v>
      </c>
      <c r="R386">
        <f t="shared" si="74"/>
        <v>3</v>
      </c>
      <c r="S386">
        <f t="shared" si="75"/>
        <v>0</v>
      </c>
      <c r="V386" t="s">
        <v>327</v>
      </c>
      <c r="X386" t="s">
        <v>985</v>
      </c>
    </row>
    <row r="387" spans="1:24">
      <c r="A387">
        <v>386</v>
      </c>
      <c r="B387" s="12" t="s">
        <v>986</v>
      </c>
      <c r="C387" s="79">
        <v>90</v>
      </c>
      <c r="D387" s="79">
        <v>85</v>
      </c>
      <c r="E387" s="79">
        <v>75</v>
      </c>
      <c r="F387" s="79">
        <v>50</v>
      </c>
      <c r="G387" s="23">
        <f t="shared" si="78"/>
        <v>250</v>
      </c>
      <c r="H387" s="23">
        <f t="shared" si="80"/>
        <v>83.333333333333329</v>
      </c>
      <c r="I387" s="23">
        <f t="shared" si="79"/>
        <v>300</v>
      </c>
      <c r="J387" s="23">
        <f t="shared" si="81"/>
        <v>46.3551</v>
      </c>
      <c r="K387" s="23">
        <f t="shared" si="82"/>
        <v>40.6447</v>
      </c>
      <c r="L387" s="23">
        <f t="shared" si="83"/>
        <v>30.477599999999999</v>
      </c>
      <c r="M387" s="23">
        <f t="shared" si="84"/>
        <v>11.994199999999999</v>
      </c>
      <c r="N387" s="23">
        <f t="shared" si="85"/>
        <v>117.47739999999999</v>
      </c>
      <c r="O387" s="23">
        <f t="shared" si="86"/>
        <v>129.4716</v>
      </c>
      <c r="P387">
        <v>1</v>
      </c>
      <c r="Q387">
        <f t="shared" ref="Q387:Q410" si="87">commanderStars(N387,P387,FALSE)</f>
        <v>3</v>
      </c>
      <c r="R387">
        <f t="shared" ref="R387:R410" si="88">commanderStars(O387,P387,TRUE)</f>
        <v>3</v>
      </c>
      <c r="S387">
        <f t="shared" ref="S387:S410" si="89">R387-Q387</f>
        <v>0</v>
      </c>
      <c r="V387" t="s">
        <v>327</v>
      </c>
      <c r="X387" t="s">
        <v>987</v>
      </c>
    </row>
    <row r="388" spans="1:24">
      <c r="A388">
        <v>387</v>
      </c>
      <c r="B388" s="12" t="s">
        <v>988</v>
      </c>
      <c r="C388" s="79">
        <v>90</v>
      </c>
      <c r="D388" s="79">
        <v>65</v>
      </c>
      <c r="E388" s="79">
        <v>70</v>
      </c>
      <c r="F388" s="79">
        <v>80</v>
      </c>
      <c r="G388" s="23">
        <f t="shared" si="78"/>
        <v>225</v>
      </c>
      <c r="H388" s="23">
        <f t="shared" si="80"/>
        <v>75</v>
      </c>
      <c r="I388" s="23">
        <f t="shared" si="79"/>
        <v>305</v>
      </c>
      <c r="J388" s="23">
        <f t="shared" si="81"/>
        <v>46.3551</v>
      </c>
      <c r="K388" s="23">
        <f t="shared" si="82"/>
        <v>21.930099999999999</v>
      </c>
      <c r="L388" s="23">
        <f t="shared" si="83"/>
        <v>26.005500000000001</v>
      </c>
      <c r="M388" s="23">
        <f t="shared" si="84"/>
        <v>35.354700000000001</v>
      </c>
      <c r="N388" s="23">
        <f t="shared" si="85"/>
        <v>94.290700000000001</v>
      </c>
      <c r="O388" s="23">
        <f t="shared" si="86"/>
        <v>129.6454</v>
      </c>
      <c r="P388">
        <v>1</v>
      </c>
      <c r="Q388">
        <f t="shared" si="87"/>
        <v>3</v>
      </c>
      <c r="R388">
        <f t="shared" si="88"/>
        <v>3</v>
      </c>
      <c r="S388">
        <f t="shared" si="89"/>
        <v>0</v>
      </c>
      <c r="V388" t="s">
        <v>327</v>
      </c>
      <c r="X388" t="s">
        <v>989</v>
      </c>
    </row>
    <row r="389" spans="1:24">
      <c r="A389">
        <v>388</v>
      </c>
      <c r="B389" s="12" t="s">
        <v>990</v>
      </c>
      <c r="C389" s="79">
        <v>75</v>
      </c>
      <c r="D389" s="79">
        <v>95</v>
      </c>
      <c r="E389" s="79">
        <v>60</v>
      </c>
      <c r="F389" s="79">
        <v>60</v>
      </c>
      <c r="G389" s="23">
        <f t="shared" si="78"/>
        <v>230</v>
      </c>
      <c r="H389" s="23">
        <f t="shared" si="80"/>
        <v>76.666666666666671</v>
      </c>
      <c r="I389" s="23">
        <f t="shared" si="79"/>
        <v>290</v>
      </c>
      <c r="J389" s="23">
        <f t="shared" si="81"/>
        <v>30.477599999999999</v>
      </c>
      <c r="K389" s="23">
        <f t="shared" si="82"/>
        <v>52.493400000000001</v>
      </c>
      <c r="L389" s="23">
        <f t="shared" si="83"/>
        <v>18.242699999999999</v>
      </c>
      <c r="M389" s="23">
        <f t="shared" si="84"/>
        <v>18.242699999999999</v>
      </c>
      <c r="N389" s="23">
        <f t="shared" si="85"/>
        <v>101.2137</v>
      </c>
      <c r="O389" s="23">
        <f t="shared" si="86"/>
        <v>119.4564</v>
      </c>
      <c r="P389">
        <v>1</v>
      </c>
      <c r="Q389">
        <f t="shared" si="87"/>
        <v>3</v>
      </c>
      <c r="R389">
        <f t="shared" si="88"/>
        <v>2</v>
      </c>
      <c r="S389">
        <f t="shared" si="89"/>
        <v>-1</v>
      </c>
      <c r="V389" t="s">
        <v>327</v>
      </c>
      <c r="X389" t="s">
        <v>991</v>
      </c>
    </row>
    <row r="390" spans="1:24">
      <c r="A390">
        <v>389</v>
      </c>
      <c r="B390" s="12" t="s">
        <v>992</v>
      </c>
      <c r="C390" s="79">
        <v>75</v>
      </c>
      <c r="D390" s="79">
        <v>90</v>
      </c>
      <c r="E390" s="79">
        <v>60</v>
      </c>
      <c r="F390" s="79">
        <v>80</v>
      </c>
      <c r="G390" s="23">
        <f t="shared" si="78"/>
        <v>225</v>
      </c>
      <c r="H390" s="23">
        <f t="shared" si="80"/>
        <v>75</v>
      </c>
      <c r="I390" s="23">
        <f t="shared" si="79"/>
        <v>305</v>
      </c>
      <c r="J390" s="23">
        <f t="shared" si="81"/>
        <v>30.477599999999999</v>
      </c>
      <c r="K390" s="23">
        <f t="shared" si="82"/>
        <v>46.3551</v>
      </c>
      <c r="L390" s="23">
        <f t="shared" si="83"/>
        <v>18.242699999999999</v>
      </c>
      <c r="M390" s="23">
        <f t="shared" si="84"/>
        <v>35.354700000000001</v>
      </c>
      <c r="N390" s="23">
        <f t="shared" si="85"/>
        <v>95.075400000000002</v>
      </c>
      <c r="O390" s="23">
        <f t="shared" si="86"/>
        <v>130.43010000000001</v>
      </c>
      <c r="P390">
        <v>1</v>
      </c>
      <c r="Q390">
        <f t="shared" si="87"/>
        <v>3</v>
      </c>
      <c r="R390">
        <f t="shared" si="88"/>
        <v>3</v>
      </c>
      <c r="S390">
        <f t="shared" si="89"/>
        <v>0</v>
      </c>
      <c r="V390" t="s">
        <v>327</v>
      </c>
      <c r="X390" t="s">
        <v>993</v>
      </c>
    </row>
    <row r="391" spans="1:24">
      <c r="A391">
        <v>390</v>
      </c>
      <c r="B391" s="12" t="s">
        <v>994</v>
      </c>
      <c r="C391" s="79">
        <v>95</v>
      </c>
      <c r="D391" s="79">
        <v>70</v>
      </c>
      <c r="E391" s="79">
        <v>65</v>
      </c>
      <c r="F391" s="79">
        <v>85</v>
      </c>
      <c r="G391" s="23">
        <f t="shared" si="78"/>
        <v>230</v>
      </c>
      <c r="H391" s="23">
        <f t="shared" si="80"/>
        <v>76.666666666666671</v>
      </c>
      <c r="I391" s="23">
        <f t="shared" si="79"/>
        <v>315</v>
      </c>
      <c r="J391" s="23">
        <f t="shared" si="81"/>
        <v>52.493400000000001</v>
      </c>
      <c r="K391" s="23">
        <f t="shared" si="82"/>
        <v>26.005500000000001</v>
      </c>
      <c r="L391" s="23">
        <f t="shared" si="83"/>
        <v>21.930099999999999</v>
      </c>
      <c r="M391" s="23">
        <f t="shared" si="84"/>
        <v>40.6447</v>
      </c>
      <c r="N391" s="23">
        <f t="shared" si="85"/>
        <v>100.429</v>
      </c>
      <c r="O391" s="23">
        <f t="shared" si="86"/>
        <v>141.0737</v>
      </c>
      <c r="P391">
        <v>1</v>
      </c>
      <c r="Q391">
        <f t="shared" si="87"/>
        <v>3</v>
      </c>
      <c r="R391">
        <f t="shared" si="88"/>
        <v>3</v>
      </c>
      <c r="S391">
        <f t="shared" si="89"/>
        <v>0</v>
      </c>
      <c r="V391" t="s">
        <v>327</v>
      </c>
      <c r="X391" t="s">
        <v>995</v>
      </c>
    </row>
    <row r="392" spans="1:24">
      <c r="A392">
        <v>391</v>
      </c>
      <c r="B392" s="12" t="s">
        <v>963</v>
      </c>
      <c r="C392" s="79">
        <v>85</v>
      </c>
      <c r="D392" s="79">
        <v>60</v>
      </c>
      <c r="E392" s="79">
        <v>80</v>
      </c>
      <c r="F392" s="79">
        <v>85</v>
      </c>
      <c r="G392" s="23">
        <f t="shared" ref="G392:G410" si="90">SUM(C392:E392)</f>
        <v>225</v>
      </c>
      <c r="H392" s="23">
        <f t="shared" si="80"/>
        <v>75</v>
      </c>
      <c r="I392" s="23">
        <f t="shared" ref="I392:I410" si="91">SUM(C392:F392)</f>
        <v>310</v>
      </c>
      <c r="J392" s="23">
        <f t="shared" si="81"/>
        <v>40.6447</v>
      </c>
      <c r="K392" s="23">
        <f t="shared" si="82"/>
        <v>18.242699999999999</v>
      </c>
      <c r="L392" s="23">
        <f t="shared" si="83"/>
        <v>35.354700000000001</v>
      </c>
      <c r="M392" s="23">
        <f t="shared" si="84"/>
        <v>40.6447</v>
      </c>
      <c r="N392" s="23">
        <f t="shared" si="85"/>
        <v>94.242099999999994</v>
      </c>
      <c r="O392" s="23">
        <f t="shared" ref="O392:O410" si="92">SUM(J392:M392)</f>
        <v>134.88679999999999</v>
      </c>
      <c r="P392">
        <v>1</v>
      </c>
      <c r="Q392">
        <f t="shared" si="87"/>
        <v>3</v>
      </c>
      <c r="R392">
        <f t="shared" si="88"/>
        <v>3</v>
      </c>
      <c r="S392">
        <f t="shared" si="89"/>
        <v>0</v>
      </c>
      <c r="V392" t="s">
        <v>329</v>
      </c>
      <c r="X392" t="s">
        <v>1008</v>
      </c>
    </row>
    <row r="393" spans="1:24">
      <c r="A393">
        <v>392</v>
      </c>
      <c r="B393" s="12" t="s">
        <v>964</v>
      </c>
      <c r="C393" s="79">
        <v>80</v>
      </c>
      <c r="D393" s="79">
        <v>95</v>
      </c>
      <c r="E393" s="79">
        <v>65</v>
      </c>
      <c r="F393" s="79">
        <v>70</v>
      </c>
      <c r="G393" s="23">
        <f t="shared" si="90"/>
        <v>240</v>
      </c>
      <c r="H393" s="23">
        <f t="shared" si="80"/>
        <v>80</v>
      </c>
      <c r="I393" s="23">
        <f t="shared" si="91"/>
        <v>310</v>
      </c>
      <c r="J393" s="23">
        <f t="shared" si="81"/>
        <v>35.354700000000001</v>
      </c>
      <c r="K393" s="23">
        <f t="shared" si="82"/>
        <v>52.493400000000001</v>
      </c>
      <c r="L393" s="23">
        <f t="shared" si="83"/>
        <v>21.930099999999999</v>
      </c>
      <c r="M393" s="23">
        <f t="shared" si="84"/>
        <v>26.005500000000001</v>
      </c>
      <c r="N393" s="23">
        <f t="shared" si="85"/>
        <v>109.7782</v>
      </c>
      <c r="O393" s="23">
        <f t="shared" si="92"/>
        <v>135.78370000000001</v>
      </c>
      <c r="P393">
        <v>1</v>
      </c>
      <c r="Q393">
        <f t="shared" si="87"/>
        <v>3</v>
      </c>
      <c r="R393">
        <f t="shared" si="88"/>
        <v>3</v>
      </c>
      <c r="S393">
        <f t="shared" si="89"/>
        <v>0</v>
      </c>
      <c r="V393" t="s">
        <v>329</v>
      </c>
      <c r="X393" t="s">
        <v>1021</v>
      </c>
    </row>
    <row r="394" spans="1:24">
      <c r="A394">
        <v>393</v>
      </c>
      <c r="B394" s="12" t="s">
        <v>965</v>
      </c>
      <c r="C394" s="79">
        <v>95</v>
      </c>
      <c r="D394" s="79">
        <v>90</v>
      </c>
      <c r="E394" s="79">
        <v>95</v>
      </c>
      <c r="F394" s="79">
        <v>85</v>
      </c>
      <c r="G394" s="23">
        <f t="shared" si="90"/>
        <v>280</v>
      </c>
      <c r="H394" s="23">
        <f t="shared" si="80"/>
        <v>93.333333333333329</v>
      </c>
      <c r="I394" s="23">
        <f t="shared" si="91"/>
        <v>365</v>
      </c>
      <c r="J394" s="23">
        <f t="shared" si="81"/>
        <v>52.493400000000001</v>
      </c>
      <c r="K394" s="23">
        <f t="shared" si="82"/>
        <v>46.3551</v>
      </c>
      <c r="L394" s="23">
        <f t="shared" si="83"/>
        <v>52.493400000000001</v>
      </c>
      <c r="M394" s="23">
        <f t="shared" si="84"/>
        <v>40.6447</v>
      </c>
      <c r="N394" s="23">
        <f t="shared" si="85"/>
        <v>151.34190000000001</v>
      </c>
      <c r="O394" s="23">
        <f t="shared" si="92"/>
        <v>191.98660000000001</v>
      </c>
      <c r="P394">
        <v>1</v>
      </c>
      <c r="Q394">
        <f t="shared" si="87"/>
        <v>4</v>
      </c>
      <c r="R394">
        <f t="shared" si="88"/>
        <v>4</v>
      </c>
      <c r="S394">
        <f t="shared" si="89"/>
        <v>0</v>
      </c>
      <c r="V394" t="s">
        <v>329</v>
      </c>
      <c r="X394" t="s">
        <v>1007</v>
      </c>
    </row>
    <row r="395" spans="1:24">
      <c r="A395">
        <v>394</v>
      </c>
      <c r="B395" s="12" t="s">
        <v>1001</v>
      </c>
      <c r="C395" s="79">
        <v>85</v>
      </c>
      <c r="D395" s="79">
        <v>80</v>
      </c>
      <c r="E395" s="79">
        <v>75</v>
      </c>
      <c r="F395" s="79">
        <v>70</v>
      </c>
      <c r="G395" s="23">
        <f t="shared" si="90"/>
        <v>240</v>
      </c>
      <c r="H395" s="23">
        <f t="shared" si="80"/>
        <v>80</v>
      </c>
      <c r="I395" s="23">
        <f t="shared" si="91"/>
        <v>310</v>
      </c>
      <c r="J395" s="23">
        <f t="shared" si="81"/>
        <v>40.6447</v>
      </c>
      <c r="K395" s="23">
        <f t="shared" si="82"/>
        <v>35.354700000000001</v>
      </c>
      <c r="L395" s="23">
        <f t="shared" si="83"/>
        <v>30.477599999999999</v>
      </c>
      <c r="M395" s="23">
        <f t="shared" si="84"/>
        <v>26.005500000000001</v>
      </c>
      <c r="N395" s="23">
        <f t="shared" si="85"/>
        <v>106.477</v>
      </c>
      <c r="O395" s="23">
        <f t="shared" si="92"/>
        <v>132.48250000000002</v>
      </c>
      <c r="P395">
        <v>1</v>
      </c>
      <c r="Q395">
        <f t="shared" si="87"/>
        <v>3</v>
      </c>
      <c r="R395">
        <f t="shared" si="88"/>
        <v>3</v>
      </c>
      <c r="S395">
        <f t="shared" si="89"/>
        <v>0</v>
      </c>
      <c r="V395" t="s">
        <v>329</v>
      </c>
      <c r="X395" t="s">
        <v>1002</v>
      </c>
    </row>
    <row r="396" spans="1:24">
      <c r="A396">
        <v>395</v>
      </c>
      <c r="B396" s="12" t="s">
        <v>1004</v>
      </c>
      <c r="C396" s="79">
        <v>90</v>
      </c>
      <c r="D396" s="79">
        <v>70</v>
      </c>
      <c r="E396" s="79">
        <v>90</v>
      </c>
      <c r="F396" s="79">
        <v>65</v>
      </c>
      <c r="G396" s="23">
        <f t="shared" si="90"/>
        <v>250</v>
      </c>
      <c r="H396" s="23">
        <f t="shared" si="80"/>
        <v>83.333333333333329</v>
      </c>
      <c r="I396" s="23">
        <f t="shared" si="91"/>
        <v>315</v>
      </c>
      <c r="J396" s="23">
        <f t="shared" si="81"/>
        <v>46.3551</v>
      </c>
      <c r="K396" s="23">
        <f t="shared" si="82"/>
        <v>26.005500000000001</v>
      </c>
      <c r="L396" s="23">
        <f t="shared" si="83"/>
        <v>46.3551</v>
      </c>
      <c r="M396" s="23">
        <f t="shared" si="84"/>
        <v>21.930099999999999</v>
      </c>
      <c r="N396" s="23">
        <f t="shared" si="85"/>
        <v>118.7157</v>
      </c>
      <c r="O396" s="23">
        <f t="shared" si="92"/>
        <v>140.64580000000001</v>
      </c>
      <c r="P396">
        <v>1</v>
      </c>
      <c r="Q396">
        <f t="shared" si="87"/>
        <v>3</v>
      </c>
      <c r="R396">
        <f t="shared" si="88"/>
        <v>3</v>
      </c>
      <c r="S396">
        <f t="shared" si="89"/>
        <v>0</v>
      </c>
      <c r="V396" t="s">
        <v>329</v>
      </c>
      <c r="X396" t="s">
        <v>1003</v>
      </c>
    </row>
    <row r="397" spans="1:24">
      <c r="A397">
        <v>396</v>
      </c>
      <c r="B397" s="12" t="s">
        <v>1005</v>
      </c>
      <c r="C397" s="79">
        <v>95</v>
      </c>
      <c r="D397" s="79">
        <v>85</v>
      </c>
      <c r="E397" s="79">
        <v>115</v>
      </c>
      <c r="F397" s="79">
        <v>75</v>
      </c>
      <c r="G397" s="23">
        <f t="shared" si="90"/>
        <v>295</v>
      </c>
      <c r="H397" s="23">
        <f t="shared" si="80"/>
        <v>98.333333333333329</v>
      </c>
      <c r="I397" s="23">
        <f t="shared" si="91"/>
        <v>370</v>
      </c>
      <c r="J397" s="23">
        <f t="shared" si="81"/>
        <v>52.493400000000001</v>
      </c>
      <c r="K397" s="23">
        <f t="shared" si="82"/>
        <v>40.6447</v>
      </c>
      <c r="L397" s="23">
        <f t="shared" si="83"/>
        <v>81.460099999999997</v>
      </c>
      <c r="M397" s="23">
        <f t="shared" si="84"/>
        <v>30.477599999999999</v>
      </c>
      <c r="N397" s="23">
        <f t="shared" si="85"/>
        <v>174.59820000000002</v>
      </c>
      <c r="O397" s="23">
        <f t="shared" si="92"/>
        <v>205.07580000000002</v>
      </c>
      <c r="P397">
        <v>1</v>
      </c>
      <c r="Q397">
        <f t="shared" si="87"/>
        <v>4</v>
      </c>
      <c r="R397">
        <f t="shared" si="88"/>
        <v>4</v>
      </c>
      <c r="S397">
        <f t="shared" si="89"/>
        <v>0</v>
      </c>
      <c r="V397" t="s">
        <v>329</v>
      </c>
      <c r="X397" t="s">
        <v>1006</v>
      </c>
    </row>
    <row r="398" spans="1:24">
      <c r="A398">
        <v>397</v>
      </c>
      <c r="B398" s="12" t="s">
        <v>1009</v>
      </c>
      <c r="C398" s="79">
        <v>90</v>
      </c>
      <c r="D398" s="79">
        <v>90</v>
      </c>
      <c r="E398" s="79">
        <v>75</v>
      </c>
      <c r="F398" s="79">
        <v>70</v>
      </c>
      <c r="G398" s="23">
        <f t="shared" si="90"/>
        <v>255</v>
      </c>
      <c r="H398" s="23">
        <f t="shared" si="80"/>
        <v>85</v>
      </c>
      <c r="I398" s="23">
        <f t="shared" si="91"/>
        <v>325</v>
      </c>
      <c r="J398" s="23">
        <f t="shared" si="81"/>
        <v>46.3551</v>
      </c>
      <c r="K398" s="23">
        <f t="shared" si="82"/>
        <v>46.3551</v>
      </c>
      <c r="L398" s="23">
        <f t="shared" si="83"/>
        <v>30.477599999999999</v>
      </c>
      <c r="M398" s="23">
        <f t="shared" si="84"/>
        <v>26.005500000000001</v>
      </c>
      <c r="N398" s="23">
        <f t="shared" si="85"/>
        <v>123.1878</v>
      </c>
      <c r="O398" s="23">
        <f t="shared" si="92"/>
        <v>149.19329999999999</v>
      </c>
      <c r="P398">
        <v>1</v>
      </c>
      <c r="Q398">
        <f t="shared" si="87"/>
        <v>3</v>
      </c>
      <c r="R398">
        <f t="shared" si="88"/>
        <v>3</v>
      </c>
      <c r="S398">
        <f t="shared" si="89"/>
        <v>0</v>
      </c>
      <c r="V398" t="s">
        <v>329</v>
      </c>
      <c r="X398" t="s">
        <v>1010</v>
      </c>
    </row>
    <row r="399" spans="1:24">
      <c r="A399">
        <v>398</v>
      </c>
      <c r="B399" s="12" t="s">
        <v>1011</v>
      </c>
      <c r="C399" s="79">
        <v>90</v>
      </c>
      <c r="D399" s="79">
        <v>80</v>
      </c>
      <c r="E399" s="79">
        <v>70</v>
      </c>
      <c r="F399" s="79">
        <v>60</v>
      </c>
      <c r="G399" s="23">
        <f t="shared" si="90"/>
        <v>240</v>
      </c>
      <c r="H399" s="23">
        <f t="shared" si="80"/>
        <v>80</v>
      </c>
      <c r="I399" s="23">
        <f t="shared" si="91"/>
        <v>300</v>
      </c>
      <c r="J399" s="23">
        <f t="shared" si="81"/>
        <v>46.3551</v>
      </c>
      <c r="K399" s="23">
        <f t="shared" si="82"/>
        <v>35.354700000000001</v>
      </c>
      <c r="L399" s="23">
        <f t="shared" si="83"/>
        <v>26.005500000000001</v>
      </c>
      <c r="M399" s="23">
        <f t="shared" si="84"/>
        <v>18.242699999999999</v>
      </c>
      <c r="N399" s="23">
        <f t="shared" si="85"/>
        <v>107.7153</v>
      </c>
      <c r="O399" s="23">
        <f t="shared" si="92"/>
        <v>125.958</v>
      </c>
      <c r="P399">
        <v>1</v>
      </c>
      <c r="Q399">
        <f t="shared" si="87"/>
        <v>3</v>
      </c>
      <c r="R399">
        <f t="shared" si="88"/>
        <v>3</v>
      </c>
      <c r="S399">
        <f t="shared" si="89"/>
        <v>0</v>
      </c>
      <c r="V399" t="s">
        <v>329</v>
      </c>
      <c r="X399" t="s">
        <v>1012</v>
      </c>
    </row>
    <row r="400" spans="1:24">
      <c r="A400">
        <v>399</v>
      </c>
      <c r="B400" s="12" t="s">
        <v>1013</v>
      </c>
      <c r="C400" s="79">
        <v>90</v>
      </c>
      <c r="D400" s="79">
        <v>90</v>
      </c>
      <c r="E400" s="79">
        <v>70</v>
      </c>
      <c r="F400" s="79">
        <v>65</v>
      </c>
      <c r="G400" s="23">
        <f t="shared" si="90"/>
        <v>250</v>
      </c>
      <c r="H400" s="23">
        <f t="shared" si="80"/>
        <v>83.333333333333329</v>
      </c>
      <c r="I400" s="23">
        <f t="shared" si="91"/>
        <v>315</v>
      </c>
      <c r="J400" s="23">
        <f t="shared" si="81"/>
        <v>46.3551</v>
      </c>
      <c r="K400" s="23">
        <f t="shared" si="82"/>
        <v>46.3551</v>
      </c>
      <c r="L400" s="23">
        <f t="shared" si="83"/>
        <v>26.005500000000001</v>
      </c>
      <c r="M400" s="23">
        <f t="shared" si="84"/>
        <v>21.930099999999999</v>
      </c>
      <c r="N400" s="23">
        <f t="shared" si="85"/>
        <v>118.7157</v>
      </c>
      <c r="O400" s="23">
        <f t="shared" si="92"/>
        <v>140.64580000000001</v>
      </c>
      <c r="P400">
        <v>1</v>
      </c>
      <c r="Q400">
        <f t="shared" si="87"/>
        <v>3</v>
      </c>
      <c r="R400">
        <f t="shared" si="88"/>
        <v>3</v>
      </c>
      <c r="S400">
        <f t="shared" si="89"/>
        <v>0</v>
      </c>
      <c r="V400" t="s">
        <v>329</v>
      </c>
      <c r="X400" t="s">
        <v>1014</v>
      </c>
    </row>
    <row r="401" spans="1:24">
      <c r="A401">
        <v>400</v>
      </c>
      <c r="B401" s="12" t="s">
        <v>1015</v>
      </c>
      <c r="C401" s="79">
        <v>80</v>
      </c>
      <c r="D401" s="79">
        <v>75</v>
      </c>
      <c r="E401" s="79">
        <v>75</v>
      </c>
      <c r="F401" s="79">
        <v>60</v>
      </c>
      <c r="G401" s="23">
        <f t="shared" si="90"/>
        <v>230</v>
      </c>
      <c r="H401" s="23">
        <f t="shared" si="80"/>
        <v>76.666666666666671</v>
      </c>
      <c r="I401" s="23">
        <f t="shared" si="91"/>
        <v>290</v>
      </c>
      <c r="J401" s="23">
        <f t="shared" si="81"/>
        <v>35.354700000000001</v>
      </c>
      <c r="K401" s="23">
        <f t="shared" si="82"/>
        <v>30.477599999999999</v>
      </c>
      <c r="L401" s="23">
        <f t="shared" si="83"/>
        <v>30.477599999999999</v>
      </c>
      <c r="M401" s="23">
        <f t="shared" si="84"/>
        <v>18.242699999999999</v>
      </c>
      <c r="N401" s="23">
        <f t="shared" si="85"/>
        <v>96.309899999999999</v>
      </c>
      <c r="O401" s="23">
        <f t="shared" si="92"/>
        <v>114.5526</v>
      </c>
      <c r="P401">
        <v>1</v>
      </c>
      <c r="Q401">
        <f t="shared" si="87"/>
        <v>3</v>
      </c>
      <c r="R401">
        <f t="shared" si="88"/>
        <v>2</v>
      </c>
      <c r="S401">
        <f t="shared" si="89"/>
        <v>-1</v>
      </c>
      <c r="V401" t="s">
        <v>329</v>
      </c>
      <c r="X401" t="s">
        <v>1016</v>
      </c>
    </row>
    <row r="402" spans="1:24">
      <c r="A402">
        <v>401</v>
      </c>
      <c r="B402" s="12" t="s">
        <v>1017</v>
      </c>
      <c r="C402" s="79">
        <v>90</v>
      </c>
      <c r="D402" s="79">
        <v>75</v>
      </c>
      <c r="E402" s="79">
        <v>80</v>
      </c>
      <c r="F402" s="79">
        <v>80</v>
      </c>
      <c r="G402" s="23">
        <f t="shared" si="90"/>
        <v>245</v>
      </c>
      <c r="H402" s="23">
        <f t="shared" si="80"/>
        <v>81.666666666666671</v>
      </c>
      <c r="I402" s="23">
        <f t="shared" si="91"/>
        <v>325</v>
      </c>
      <c r="J402" s="23">
        <f t="shared" si="81"/>
        <v>46.3551</v>
      </c>
      <c r="K402" s="23">
        <f t="shared" si="82"/>
        <v>30.477599999999999</v>
      </c>
      <c r="L402" s="23">
        <f t="shared" si="83"/>
        <v>35.354700000000001</v>
      </c>
      <c r="M402" s="23">
        <f t="shared" si="84"/>
        <v>35.354700000000001</v>
      </c>
      <c r="N402" s="23">
        <f t="shared" si="85"/>
        <v>112.1874</v>
      </c>
      <c r="O402" s="23">
        <f t="shared" si="92"/>
        <v>147.5421</v>
      </c>
      <c r="P402">
        <v>1</v>
      </c>
      <c r="Q402">
        <f t="shared" si="87"/>
        <v>3</v>
      </c>
      <c r="R402">
        <f t="shared" si="88"/>
        <v>3</v>
      </c>
      <c r="S402">
        <f t="shared" si="89"/>
        <v>0</v>
      </c>
      <c r="V402" t="s">
        <v>329</v>
      </c>
      <c r="X402" t="s">
        <v>1018</v>
      </c>
    </row>
    <row r="403" spans="1:24">
      <c r="A403">
        <v>402</v>
      </c>
      <c r="B403" s="12" t="s">
        <v>1019</v>
      </c>
      <c r="C403" s="79">
        <v>70</v>
      </c>
      <c r="D403" s="79">
        <v>45</v>
      </c>
      <c r="E403" s="79">
        <v>95</v>
      </c>
      <c r="F403" s="79">
        <v>100</v>
      </c>
      <c r="G403" s="23">
        <f t="shared" si="90"/>
        <v>210</v>
      </c>
      <c r="H403" s="23">
        <f t="shared" si="80"/>
        <v>70</v>
      </c>
      <c r="I403" s="23">
        <f t="shared" si="91"/>
        <v>310</v>
      </c>
      <c r="J403" s="23">
        <f t="shared" si="81"/>
        <v>26.005500000000001</v>
      </c>
      <c r="K403" s="23">
        <f t="shared" si="82"/>
        <v>9.4130000000000003</v>
      </c>
      <c r="L403" s="23">
        <f t="shared" si="83"/>
        <v>52.493400000000001</v>
      </c>
      <c r="M403" s="23">
        <f t="shared" si="84"/>
        <v>59.066299999999998</v>
      </c>
      <c r="N403" s="23">
        <f t="shared" si="85"/>
        <v>87.911900000000003</v>
      </c>
      <c r="O403" s="23">
        <f t="shared" si="92"/>
        <v>146.97820000000002</v>
      </c>
      <c r="P403">
        <v>1</v>
      </c>
      <c r="Q403">
        <f t="shared" si="87"/>
        <v>2</v>
      </c>
      <c r="R403">
        <f t="shared" si="88"/>
        <v>3</v>
      </c>
      <c r="S403">
        <f t="shared" si="89"/>
        <v>1</v>
      </c>
      <c r="V403" t="s">
        <v>329</v>
      </c>
      <c r="X403" t="s">
        <v>1020</v>
      </c>
    </row>
    <row r="404" spans="1:24">
      <c r="A404">
        <v>403</v>
      </c>
      <c r="B404" s="12" t="s">
        <v>1022</v>
      </c>
      <c r="C404" s="79">
        <v>75</v>
      </c>
      <c r="D404" s="79">
        <v>80</v>
      </c>
      <c r="E404" s="79">
        <v>75</v>
      </c>
      <c r="F404" s="79">
        <v>65</v>
      </c>
      <c r="G404" s="23">
        <f t="shared" si="90"/>
        <v>230</v>
      </c>
      <c r="H404" s="23">
        <f t="shared" si="80"/>
        <v>76.666666666666671</v>
      </c>
      <c r="I404" s="23">
        <f t="shared" si="91"/>
        <v>295</v>
      </c>
      <c r="J404" s="23">
        <f t="shared" si="81"/>
        <v>30.477599999999999</v>
      </c>
      <c r="K404" s="23">
        <f t="shared" si="82"/>
        <v>35.354700000000001</v>
      </c>
      <c r="L404" s="23">
        <f t="shared" si="83"/>
        <v>30.477599999999999</v>
      </c>
      <c r="M404" s="23">
        <f t="shared" si="84"/>
        <v>21.930099999999999</v>
      </c>
      <c r="N404" s="23">
        <f t="shared" si="85"/>
        <v>96.309899999999999</v>
      </c>
      <c r="O404" s="23">
        <f t="shared" si="92"/>
        <v>118.24</v>
      </c>
      <c r="P404">
        <v>1</v>
      </c>
      <c r="Q404">
        <f t="shared" si="87"/>
        <v>3</v>
      </c>
      <c r="R404">
        <f t="shared" si="88"/>
        <v>2</v>
      </c>
      <c r="S404">
        <f t="shared" si="89"/>
        <v>-1</v>
      </c>
      <c r="V404" t="s">
        <v>329</v>
      </c>
      <c r="X404" t="s">
        <v>1023</v>
      </c>
    </row>
    <row r="405" spans="1:24">
      <c r="A405">
        <v>404</v>
      </c>
      <c r="B405" s="12" t="s">
        <v>1024</v>
      </c>
      <c r="C405" s="79">
        <v>70</v>
      </c>
      <c r="D405" s="79">
        <v>70</v>
      </c>
      <c r="E405" s="79">
        <v>75</v>
      </c>
      <c r="F405" s="79">
        <v>60</v>
      </c>
      <c r="G405" s="23">
        <f t="shared" si="90"/>
        <v>215</v>
      </c>
      <c r="H405" s="23">
        <f t="shared" si="80"/>
        <v>71.666666666666671</v>
      </c>
      <c r="I405" s="23">
        <f t="shared" si="91"/>
        <v>275</v>
      </c>
      <c r="J405" s="23">
        <f t="shared" si="81"/>
        <v>26.005500000000001</v>
      </c>
      <c r="K405" s="23">
        <f t="shared" si="82"/>
        <v>26.005500000000001</v>
      </c>
      <c r="L405" s="23">
        <f t="shared" si="83"/>
        <v>30.477599999999999</v>
      </c>
      <c r="M405" s="23">
        <f t="shared" si="84"/>
        <v>18.242699999999999</v>
      </c>
      <c r="N405" s="23">
        <f t="shared" si="85"/>
        <v>82.488600000000005</v>
      </c>
      <c r="O405" s="23">
        <f t="shared" si="92"/>
        <v>100.7313</v>
      </c>
      <c r="P405">
        <v>1</v>
      </c>
      <c r="Q405">
        <f t="shared" si="87"/>
        <v>2</v>
      </c>
      <c r="R405">
        <f t="shared" si="88"/>
        <v>2</v>
      </c>
      <c r="S405">
        <f t="shared" si="89"/>
        <v>0</v>
      </c>
      <c r="V405" t="s">
        <v>329</v>
      </c>
      <c r="X405" t="s">
        <v>1025</v>
      </c>
    </row>
    <row r="406" spans="1:24">
      <c r="A406">
        <v>405</v>
      </c>
      <c r="B406" s="12" t="s">
        <v>1026</v>
      </c>
      <c r="C406" s="79">
        <v>80</v>
      </c>
      <c r="D406" s="79">
        <v>75</v>
      </c>
      <c r="E406" s="79">
        <v>70</v>
      </c>
      <c r="F406" s="79">
        <v>80</v>
      </c>
      <c r="G406" s="23">
        <f t="shared" si="90"/>
        <v>225</v>
      </c>
      <c r="H406" s="23">
        <f t="shared" si="80"/>
        <v>75</v>
      </c>
      <c r="I406" s="23">
        <f t="shared" si="91"/>
        <v>305</v>
      </c>
      <c r="J406" s="23">
        <f t="shared" si="81"/>
        <v>35.354700000000001</v>
      </c>
      <c r="K406" s="23">
        <f t="shared" si="82"/>
        <v>30.477599999999999</v>
      </c>
      <c r="L406" s="23">
        <f t="shared" si="83"/>
        <v>26.005500000000001</v>
      </c>
      <c r="M406" s="23">
        <f t="shared" si="84"/>
        <v>35.354700000000001</v>
      </c>
      <c r="N406" s="23">
        <f t="shared" si="85"/>
        <v>91.837800000000001</v>
      </c>
      <c r="O406" s="23">
        <f t="shared" si="92"/>
        <v>127.1925</v>
      </c>
      <c r="P406">
        <v>1</v>
      </c>
      <c r="Q406">
        <f t="shared" si="87"/>
        <v>3</v>
      </c>
      <c r="R406">
        <f t="shared" si="88"/>
        <v>3</v>
      </c>
      <c r="S406">
        <f t="shared" si="89"/>
        <v>0</v>
      </c>
      <c r="V406" t="s">
        <v>329</v>
      </c>
      <c r="X406" t="s">
        <v>1027</v>
      </c>
    </row>
    <row r="407" spans="1:24">
      <c r="A407">
        <v>406</v>
      </c>
      <c r="B407" s="12" t="s">
        <v>1029</v>
      </c>
      <c r="C407" s="79">
        <v>70</v>
      </c>
      <c r="D407" s="79">
        <v>85</v>
      </c>
      <c r="E407" s="79">
        <v>75</v>
      </c>
      <c r="F407" s="79">
        <v>60</v>
      </c>
      <c r="G407" s="23">
        <f t="shared" si="90"/>
        <v>230</v>
      </c>
      <c r="H407" s="23">
        <f t="shared" si="80"/>
        <v>76.666666666666671</v>
      </c>
      <c r="I407" s="23">
        <f t="shared" si="91"/>
        <v>290</v>
      </c>
      <c r="J407" s="23">
        <f t="shared" si="81"/>
        <v>26.005500000000001</v>
      </c>
      <c r="K407" s="23">
        <f t="shared" si="82"/>
        <v>40.6447</v>
      </c>
      <c r="L407" s="23">
        <f t="shared" si="83"/>
        <v>30.477599999999999</v>
      </c>
      <c r="M407" s="23">
        <f t="shared" si="84"/>
        <v>18.242699999999999</v>
      </c>
      <c r="N407" s="23">
        <f t="shared" si="85"/>
        <v>97.127799999999993</v>
      </c>
      <c r="O407" s="23">
        <f t="shared" si="92"/>
        <v>115.37049999999999</v>
      </c>
      <c r="P407">
        <v>1</v>
      </c>
      <c r="Q407">
        <f t="shared" si="87"/>
        <v>3</v>
      </c>
      <c r="R407">
        <f t="shared" si="88"/>
        <v>2</v>
      </c>
      <c r="S407">
        <f t="shared" si="89"/>
        <v>-1</v>
      </c>
      <c r="V407" t="s">
        <v>329</v>
      </c>
      <c r="X407" t="s">
        <v>1028</v>
      </c>
    </row>
    <row r="408" spans="1:24">
      <c r="A408">
        <v>407</v>
      </c>
      <c r="B408" s="12" t="s">
        <v>1030</v>
      </c>
      <c r="C408" s="79">
        <v>90</v>
      </c>
      <c r="D408" s="79">
        <v>95</v>
      </c>
      <c r="E408" s="79">
        <v>70</v>
      </c>
      <c r="F408" s="79">
        <v>70</v>
      </c>
      <c r="G408" s="23">
        <f t="shared" si="90"/>
        <v>255</v>
      </c>
      <c r="H408" s="23">
        <f t="shared" si="80"/>
        <v>85</v>
      </c>
      <c r="I408" s="23">
        <f t="shared" si="91"/>
        <v>325</v>
      </c>
      <c r="J408" s="23">
        <f t="shared" si="81"/>
        <v>46.3551</v>
      </c>
      <c r="K408" s="23">
        <f t="shared" si="82"/>
        <v>52.493400000000001</v>
      </c>
      <c r="L408" s="23">
        <f t="shared" si="83"/>
        <v>26.005500000000001</v>
      </c>
      <c r="M408" s="23">
        <f t="shared" si="84"/>
        <v>26.005500000000001</v>
      </c>
      <c r="N408" s="23">
        <f t="shared" si="85"/>
        <v>124.854</v>
      </c>
      <c r="O408" s="23">
        <f t="shared" si="92"/>
        <v>150.8595</v>
      </c>
      <c r="P408">
        <v>1</v>
      </c>
      <c r="Q408">
        <f t="shared" si="87"/>
        <v>3</v>
      </c>
      <c r="R408">
        <f t="shared" si="88"/>
        <v>3</v>
      </c>
      <c r="S408">
        <f t="shared" si="89"/>
        <v>0</v>
      </c>
      <c r="V408" t="s">
        <v>329</v>
      </c>
      <c r="X408" t="s">
        <v>1031</v>
      </c>
    </row>
    <row r="409" spans="1:24">
      <c r="A409">
        <v>408</v>
      </c>
      <c r="B409" s="12" t="s">
        <v>1033</v>
      </c>
      <c r="C409" s="79">
        <v>90</v>
      </c>
      <c r="D409" s="79">
        <v>80</v>
      </c>
      <c r="E409" s="79">
        <v>85</v>
      </c>
      <c r="F409" s="79">
        <v>65</v>
      </c>
      <c r="G409" s="23">
        <f t="shared" si="90"/>
        <v>255</v>
      </c>
      <c r="H409" s="23">
        <f t="shared" si="80"/>
        <v>85</v>
      </c>
      <c r="I409" s="23">
        <f t="shared" si="91"/>
        <v>320</v>
      </c>
      <c r="J409" s="23">
        <f t="shared" si="81"/>
        <v>46.3551</v>
      </c>
      <c r="K409" s="23">
        <f t="shared" si="82"/>
        <v>35.354700000000001</v>
      </c>
      <c r="L409" s="23">
        <f t="shared" si="83"/>
        <v>40.6447</v>
      </c>
      <c r="M409" s="23">
        <f t="shared" si="84"/>
        <v>21.930099999999999</v>
      </c>
      <c r="N409" s="23">
        <f t="shared" si="85"/>
        <v>122.3545</v>
      </c>
      <c r="O409" s="23">
        <f t="shared" si="92"/>
        <v>144.28460000000001</v>
      </c>
      <c r="P409">
        <v>1</v>
      </c>
      <c r="Q409">
        <f t="shared" si="87"/>
        <v>3</v>
      </c>
      <c r="R409">
        <f t="shared" si="88"/>
        <v>3</v>
      </c>
      <c r="S409">
        <f t="shared" si="89"/>
        <v>0</v>
      </c>
      <c r="V409" t="s">
        <v>329</v>
      </c>
      <c r="X409" t="s">
        <v>1032</v>
      </c>
    </row>
    <row r="410" spans="1:24">
      <c r="A410">
        <v>409</v>
      </c>
      <c r="B410" s="12" t="s">
        <v>1034</v>
      </c>
      <c r="C410" s="79">
        <v>80</v>
      </c>
      <c r="D410" s="79">
        <v>90</v>
      </c>
      <c r="E410" s="79">
        <v>65</v>
      </c>
      <c r="F410" s="79">
        <v>75</v>
      </c>
      <c r="G410" s="23">
        <f t="shared" si="90"/>
        <v>235</v>
      </c>
      <c r="H410" s="23">
        <f t="shared" si="80"/>
        <v>78.333333333333329</v>
      </c>
      <c r="I410" s="23">
        <f t="shared" si="91"/>
        <v>310</v>
      </c>
      <c r="J410" s="23">
        <f t="shared" si="81"/>
        <v>35.354700000000001</v>
      </c>
      <c r="K410" s="23">
        <f t="shared" si="82"/>
        <v>46.3551</v>
      </c>
      <c r="L410" s="23">
        <f t="shared" si="83"/>
        <v>21.930099999999999</v>
      </c>
      <c r="M410" s="23">
        <f t="shared" si="84"/>
        <v>30.477599999999999</v>
      </c>
      <c r="N410" s="23">
        <f t="shared" si="85"/>
        <v>103.6399</v>
      </c>
      <c r="O410" s="23">
        <f t="shared" si="92"/>
        <v>134.11750000000001</v>
      </c>
      <c r="P410">
        <v>1</v>
      </c>
      <c r="Q410">
        <f t="shared" si="87"/>
        <v>3</v>
      </c>
      <c r="R410">
        <f t="shared" si="88"/>
        <v>3</v>
      </c>
      <c r="S410">
        <f t="shared" si="89"/>
        <v>0</v>
      </c>
      <c r="V410" t="s">
        <v>329</v>
      </c>
      <c r="X410" t="s">
        <v>1035</v>
      </c>
    </row>
  </sheetData>
  <autoFilter ref="A1:Y410"/>
  <sortState ref="B122:P280">
    <sortCondition ref="B122"/>
  </sortState>
  <phoneticPr fontId="8" type="noConversion"/>
  <pageMargins left="0.69930555555555596" right="0.69930555555555596" top="0.75" bottom="0.75" header="0.3" footer="0.3"/>
  <pageSetup paperSize="9" orientation="portrait" horizontalDpi="1200" verticalDpi="1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W80"/>
  <sheetViews>
    <sheetView workbookViewId="0">
      <pane xSplit="1" ySplit="1" topLeftCell="F20" activePane="bottomRight" state="frozen"/>
      <selection pane="topRight" activeCell="B1" sqref="B1"/>
      <selection pane="bottomLeft" activeCell="A2" sqref="A2"/>
      <selection pane="bottomRight" activeCell="L76" sqref="L76"/>
    </sheetView>
  </sheetViews>
  <sheetFormatPr defaultRowHeight="13.5"/>
  <cols>
    <col min="2" max="2" width="11.625" style="10" bestFit="1" customWidth="1"/>
    <col min="3" max="3" width="9.5" style="10" bestFit="1" customWidth="1"/>
    <col min="5" max="5" width="11" customWidth="1"/>
    <col min="9" max="9" width="9" style="91"/>
    <col min="12" max="14" width="9" style="23"/>
    <col min="15" max="15" width="10.5" style="66" bestFit="1" customWidth="1"/>
    <col min="18" max="18" width="12.875" customWidth="1"/>
    <col min="19" max="19" width="12.25" customWidth="1"/>
    <col min="22" max="23" width="9" style="5"/>
  </cols>
  <sheetData>
    <row r="1" spans="1:23" s="1" customFormat="1" ht="27">
      <c r="A1" s="1" t="s">
        <v>1058</v>
      </c>
      <c r="B1" s="20" t="s">
        <v>1159</v>
      </c>
      <c r="C1" s="20" t="s">
        <v>1158</v>
      </c>
      <c r="D1" s="1" t="s">
        <v>1059</v>
      </c>
      <c r="E1" s="1" t="s">
        <v>1168</v>
      </c>
      <c r="H1" s="1" t="s">
        <v>1085</v>
      </c>
      <c r="I1" s="90" t="s">
        <v>1155</v>
      </c>
      <c r="J1" s="1" t="s">
        <v>1124</v>
      </c>
      <c r="K1" s="1" t="s">
        <v>1125</v>
      </c>
      <c r="L1" s="89" t="s">
        <v>1153</v>
      </c>
      <c r="M1" s="89" t="s">
        <v>1154</v>
      </c>
      <c r="N1" s="89" t="s">
        <v>1152</v>
      </c>
      <c r="O1" s="92" t="s">
        <v>1168</v>
      </c>
      <c r="P1" s="1" t="s">
        <v>1089</v>
      </c>
      <c r="Q1" s="1" t="s">
        <v>1090</v>
      </c>
      <c r="R1" s="1" t="s">
        <v>1122</v>
      </c>
      <c r="S1" s="1" t="s">
        <v>1123</v>
      </c>
      <c r="T1" s="1" t="s">
        <v>1093</v>
      </c>
      <c r="U1" s="1" t="s">
        <v>1094</v>
      </c>
      <c r="V1" s="21" t="s">
        <v>1087</v>
      </c>
      <c r="W1" s="21" t="s">
        <v>1088</v>
      </c>
    </row>
    <row r="2" spans="1:23">
      <c r="A2">
        <v>1</v>
      </c>
      <c r="B2" s="82">
        <f>calTotalExp(A2)</f>
        <v>2300</v>
      </c>
      <c r="C2" s="10">
        <f>ROUND(D2*I2,-2)</f>
        <v>2300</v>
      </c>
      <c r="D2">
        <v>1</v>
      </c>
      <c r="E2" s="10">
        <f>O2*D2</f>
        <v>2</v>
      </c>
      <c r="H2">
        <v>1</v>
      </c>
      <c r="I2" s="91">
        <f>AVERAGE(J2:K2)</f>
        <v>2321.5</v>
      </c>
      <c r="J2">
        <f>ROUND(L2*N2,0)</f>
        <v>2191</v>
      </c>
      <c r="K2">
        <f>ROUND(M2*N2,0)</f>
        <v>2452</v>
      </c>
      <c r="L2" s="23">
        <f>(V2+(1-W2))/2*(POWER(U2/T2,基本公式!$B$207)+POWER(S2/R2,基本公式!$B$208))/2*基本公式!$B$206</f>
        <v>236.65730337078651</v>
      </c>
      <c r="M2" s="23">
        <f>(W2+(1-V2))/2*(POWER(T2/U2,基本公式!$B$207)+POWER(R2/S2,基本公式!$B$208))/2*基本公式!$B$206</f>
        <v>264.93710691823901</v>
      </c>
      <c r="N2" s="23">
        <f>POWER(P2+Q2+基本公式!$B$209,基本公式!$B$210)/基本公式!$B$211</f>
        <v>9.2562845725441729</v>
      </c>
      <c r="O2" s="66">
        <f>ROUND(POWER(P2,基本公式!$B$201)/兵消耗!$J$21*基本公式!$B$202,0)</f>
        <v>2</v>
      </c>
      <c r="P2">
        <f>calSolderNum(H2,基本公式!$B$189,基本公式!$B$7)</f>
        <v>79</v>
      </c>
      <c r="Q2">
        <f t="shared" ref="Q2:Q31" si="0">P2</f>
        <v>79</v>
      </c>
      <c r="R2">
        <v>140</v>
      </c>
      <c r="S2">
        <v>140</v>
      </c>
      <c r="T2">
        <f>ROUND(P2*基本公式!$B$212,0)</f>
        <v>1246</v>
      </c>
      <c r="U2">
        <f>ROUND(Q2*基本公式!$B$213,0)</f>
        <v>1113</v>
      </c>
      <c r="V2" s="5">
        <v>1</v>
      </c>
      <c r="W2" s="5">
        <v>1</v>
      </c>
    </row>
    <row r="3" spans="1:23">
      <c r="A3">
        <v>2</v>
      </c>
      <c r="B3" s="82">
        <f>calTotalExp(A3)</f>
        <v>7000</v>
      </c>
      <c r="C3" s="10">
        <f t="shared" ref="C3:C31" si="1">ROUND(D3*I3,-2)</f>
        <v>4700</v>
      </c>
      <c r="D3">
        <f>D2+1</f>
        <v>2</v>
      </c>
      <c r="E3" s="10">
        <f t="shared" ref="E3:E31" si="2">O3*D3</f>
        <v>8</v>
      </c>
      <c r="H3">
        <v>2</v>
      </c>
      <c r="I3" s="91">
        <f t="shared" ref="I3:I31" si="3">AVERAGE(J3:K3)</f>
        <v>2335.5</v>
      </c>
      <c r="J3">
        <f t="shared" ref="J3:J31" si="4">ROUND(L3*N3,0)</f>
        <v>2203</v>
      </c>
      <c r="K3">
        <f t="shared" ref="K3:K31" si="5">ROUND(M3*N3,0)</f>
        <v>2468</v>
      </c>
      <c r="L3" s="23">
        <f>(V3+(1-W3))/2*(POWER(U3/T3,基本公式!$B$207)+POWER(S3/R3,基本公式!$B$208))/2*基本公式!$B$206</f>
        <v>236.59081674116212</v>
      </c>
      <c r="M3" s="23">
        <f>(W3+(1-V3))/2*(POWER(T3/U3,基本公式!$B$207)+POWER(R3/S3,基本公式!$B$208))/2*基本公式!$B$206</f>
        <v>265.02048247610378</v>
      </c>
      <c r="N3" s="23">
        <f>POWER(P3+Q3+基本公式!$B$209,基本公式!$B$210)/基本公式!$B$211</f>
        <v>9.3128132809890456</v>
      </c>
      <c r="O3" s="66">
        <f>ROUND(POWER(P3,基本公式!$B$201)/兵消耗!$J$21*基本公式!$B$202,0)</f>
        <v>4</v>
      </c>
      <c r="P3">
        <f>calSolderNum(H3,基本公式!$B$189,基本公式!$B$7)</f>
        <v>156</v>
      </c>
      <c r="Q3">
        <f t="shared" si="0"/>
        <v>156</v>
      </c>
      <c r="R3">
        <v>140</v>
      </c>
      <c r="S3">
        <v>140</v>
      </c>
      <c r="T3">
        <f>ROUND(P3*基本公式!$B$212,0)</f>
        <v>2461</v>
      </c>
      <c r="U3">
        <f>ROUND(Q3*基本公式!$B$213,0)</f>
        <v>2197</v>
      </c>
      <c r="V3" s="5">
        <v>1</v>
      </c>
      <c r="W3" s="5">
        <v>1</v>
      </c>
    </row>
    <row r="4" spans="1:23">
      <c r="A4">
        <v>3</v>
      </c>
      <c r="B4" s="82">
        <f t="shared" ref="B4:B31" si="6">calTotalExp(A4)</f>
        <v>14100</v>
      </c>
      <c r="C4" s="10">
        <f t="shared" si="1"/>
        <v>7000</v>
      </c>
      <c r="D4">
        <f t="shared" ref="D4:D16" si="7">D3+1</f>
        <v>3</v>
      </c>
      <c r="E4" s="10">
        <f t="shared" si="2"/>
        <v>24</v>
      </c>
      <c r="H4">
        <v>3</v>
      </c>
      <c r="I4" s="91">
        <f t="shared" si="3"/>
        <v>2349.5</v>
      </c>
      <c r="J4">
        <f t="shared" si="4"/>
        <v>2216</v>
      </c>
      <c r="K4">
        <f t="shared" si="5"/>
        <v>2483</v>
      </c>
      <c r="L4" s="23">
        <f>(V4+(1-W4))/2*(POWER(U4/T4,基本公式!$B$207)+POWER(S4/R4,基本公式!$B$208))/2*基本公式!$B$206</f>
        <v>236.55692729766804</v>
      </c>
      <c r="M4" s="23">
        <f>(W4+(1-V4))/2*(POWER(T4/U4,基本公式!$B$207)+POWER(R4/S4,基本公式!$B$208))/2*基本公式!$B$206</f>
        <v>265.06301875192128</v>
      </c>
      <c r="N4" s="23">
        <f>POWER(P4+Q4+基本公式!$B$209,基本公式!$B$210)/基本公式!$B$211</f>
        <v>9.3677913600962306</v>
      </c>
      <c r="O4" s="66">
        <f>ROUND(POWER(P4,基本公式!$B$201)/兵消耗!$J$21*基本公式!$B$202,0)</f>
        <v>8</v>
      </c>
      <c r="P4">
        <f>calSolderNum(H4,基本公式!$B$189,基本公式!$B$7)</f>
        <v>231</v>
      </c>
      <c r="Q4">
        <f t="shared" si="0"/>
        <v>231</v>
      </c>
      <c r="R4">
        <v>140</v>
      </c>
      <c r="S4">
        <v>140</v>
      </c>
      <c r="T4">
        <f>ROUND(P4*基本公式!$B$212,0)</f>
        <v>3645</v>
      </c>
      <c r="U4">
        <f>ROUND(Q4*基本公式!$B$213,0)</f>
        <v>3253</v>
      </c>
      <c r="V4" s="5">
        <v>1</v>
      </c>
      <c r="W4" s="5">
        <v>1</v>
      </c>
    </row>
    <row r="5" spans="1:23">
      <c r="A5">
        <v>4</v>
      </c>
      <c r="B5" s="82">
        <f t="shared" si="6"/>
        <v>23700</v>
      </c>
      <c r="C5" s="10">
        <f t="shared" si="1"/>
        <v>9500</v>
      </c>
      <c r="D5">
        <f t="shared" si="7"/>
        <v>4</v>
      </c>
      <c r="E5" s="10">
        <f t="shared" si="2"/>
        <v>48</v>
      </c>
      <c r="H5">
        <v>4</v>
      </c>
      <c r="I5" s="91">
        <f t="shared" si="3"/>
        <v>2363</v>
      </c>
      <c r="J5">
        <f t="shared" si="4"/>
        <v>2229</v>
      </c>
      <c r="K5">
        <f t="shared" si="5"/>
        <v>2497</v>
      </c>
      <c r="L5" s="23">
        <f>(V5+(1-W5))/2*(POWER(U5/T5,基本公式!$B$207)+POWER(S5/R5,基本公式!$B$208))/2*基本公式!$B$206</f>
        <v>236.5886495443248</v>
      </c>
      <c r="M5" s="23">
        <f>(W5+(1-V5))/2*(POWER(T5/U5,基本公式!$B$207)+POWER(R5/S5,基本公式!$B$208))/2*基本公式!$B$206</f>
        <v>265.02320185614849</v>
      </c>
      <c r="N5" s="23">
        <f>POWER(P5+Q5+基本公式!$B$209,基本公式!$B$210)/基本公式!$B$211</f>
        <v>9.4226888923305516</v>
      </c>
      <c r="O5" s="66">
        <f>ROUND(POWER(P5,基本公式!$B$201)/兵消耗!$J$21*基本公式!$B$202,0)</f>
        <v>12</v>
      </c>
      <c r="P5">
        <f>calSolderNum(H5,基本公式!$B$189,基本公式!$B$7)</f>
        <v>306</v>
      </c>
      <c r="Q5">
        <f t="shared" si="0"/>
        <v>306</v>
      </c>
      <c r="R5">
        <v>140</v>
      </c>
      <c r="S5">
        <v>140</v>
      </c>
      <c r="T5">
        <f>ROUND(P5*基本公式!$B$212,0)</f>
        <v>4828</v>
      </c>
      <c r="U5">
        <f>ROUND(Q5*基本公式!$B$213,0)</f>
        <v>4310</v>
      </c>
      <c r="V5" s="5">
        <v>1</v>
      </c>
      <c r="W5" s="5">
        <v>1</v>
      </c>
    </row>
    <row r="6" spans="1:23">
      <c r="A6">
        <v>5</v>
      </c>
      <c r="B6" s="82">
        <f t="shared" si="6"/>
        <v>35800</v>
      </c>
      <c r="C6" s="10">
        <f t="shared" si="1"/>
        <v>11900</v>
      </c>
      <c r="D6">
        <f t="shared" si="7"/>
        <v>5</v>
      </c>
      <c r="E6" s="10">
        <f t="shared" si="2"/>
        <v>95</v>
      </c>
      <c r="H6">
        <v>5</v>
      </c>
      <c r="I6" s="91">
        <f t="shared" si="3"/>
        <v>2384</v>
      </c>
      <c r="J6">
        <f t="shared" si="4"/>
        <v>2249</v>
      </c>
      <c r="K6">
        <f t="shared" si="5"/>
        <v>2519</v>
      </c>
      <c r="L6" s="23">
        <f>(V6+(1-W6))/2*(POWER(U6/T6,基本公式!$B$207)+POWER(S6/R6,基本公式!$B$208))/2*基本公式!$B$206</f>
        <v>236.58074298711145</v>
      </c>
      <c r="M6" s="23">
        <f>(W6+(1-V6))/2*(POWER(T6/U6,基本公式!$B$207)+POWER(R6/S6,基本公式!$B$208))/2*基本公式!$B$206</f>
        <v>265.03312383217258</v>
      </c>
      <c r="N6" s="23">
        <f>POWER(P6+Q6+基本公式!$B$209,基本公式!$B$210)/基本公式!$B$211</f>
        <v>9.5045207746907234</v>
      </c>
      <c r="O6" s="66">
        <f>ROUND(POWER(P6,基本公式!$B$201)/兵消耗!$J$21*基本公式!$B$202,0)</f>
        <v>19</v>
      </c>
      <c r="P6">
        <f>calSolderNum(H6,基本公式!$B$189,基本公式!$B$7)</f>
        <v>418</v>
      </c>
      <c r="Q6">
        <f t="shared" si="0"/>
        <v>418</v>
      </c>
      <c r="R6">
        <v>140</v>
      </c>
      <c r="S6">
        <v>140</v>
      </c>
      <c r="T6">
        <f>ROUND(P6*基本公式!$B$212,0)</f>
        <v>6595</v>
      </c>
      <c r="U6">
        <f>ROUND(Q6*基本公式!$B$213,0)</f>
        <v>5887</v>
      </c>
      <c r="V6" s="5">
        <v>1</v>
      </c>
      <c r="W6" s="5">
        <v>1</v>
      </c>
    </row>
    <row r="7" spans="1:23">
      <c r="A7">
        <v>6</v>
      </c>
      <c r="B7" s="82">
        <f t="shared" si="6"/>
        <v>50400</v>
      </c>
      <c r="C7" s="10">
        <f t="shared" si="1"/>
        <v>14500</v>
      </c>
      <c r="D7">
        <f t="shared" si="7"/>
        <v>6</v>
      </c>
      <c r="E7" s="10">
        <f t="shared" si="2"/>
        <v>180</v>
      </c>
      <c r="H7">
        <v>6</v>
      </c>
      <c r="I7" s="91">
        <f t="shared" si="3"/>
        <v>2411</v>
      </c>
      <c r="J7">
        <f t="shared" si="4"/>
        <v>2274</v>
      </c>
      <c r="K7">
        <f t="shared" si="5"/>
        <v>2548</v>
      </c>
      <c r="L7" s="23">
        <f>(V7+(1-W7))/2*(POWER(U7/T7,基本公式!$B$207)+POWER(S7/R7,基本公式!$B$208))/2*基本公式!$B$206</f>
        <v>236.56828832849811</v>
      </c>
      <c r="M7" s="23">
        <f>(W7+(1-V7))/2*(POWER(T7/U7,基本公式!$B$207)+POWER(R7/S7,基本公式!$B$208))/2*基本公式!$B$206</f>
        <v>265.04875609451182</v>
      </c>
      <c r="N7" s="23">
        <f>POWER(P7+Q7+基本公式!$B$209,基本公式!$B$210)/基本公式!$B$211</f>
        <v>9.61384211328288</v>
      </c>
      <c r="O7" s="66">
        <f>ROUND(POWER(P7,基本公式!$B$201)/兵消耗!$J$21*基本公式!$B$202,0)</f>
        <v>30</v>
      </c>
      <c r="P7">
        <f>calSolderNum(H7,基本公式!$B$189,基本公式!$B$7)</f>
        <v>568</v>
      </c>
      <c r="Q7">
        <f t="shared" si="0"/>
        <v>568</v>
      </c>
      <c r="R7">
        <v>140</v>
      </c>
      <c r="S7">
        <v>140</v>
      </c>
      <c r="T7">
        <f>ROUND(P7*基本公式!$B$212,0)</f>
        <v>8962</v>
      </c>
      <c r="U7">
        <f>ROUND(Q7*基本公式!$B$213,0)</f>
        <v>7999</v>
      </c>
      <c r="V7" s="5">
        <v>1</v>
      </c>
      <c r="W7" s="5">
        <v>1</v>
      </c>
    </row>
    <row r="8" spans="1:23">
      <c r="A8">
        <v>7</v>
      </c>
      <c r="B8" s="82">
        <f t="shared" si="6"/>
        <v>67800</v>
      </c>
      <c r="C8" s="10">
        <f t="shared" si="1"/>
        <v>17200</v>
      </c>
      <c r="D8">
        <f t="shared" si="7"/>
        <v>7</v>
      </c>
      <c r="E8" s="10">
        <f t="shared" si="2"/>
        <v>350</v>
      </c>
      <c r="H8">
        <v>7</v>
      </c>
      <c r="I8" s="91">
        <f t="shared" si="3"/>
        <v>2452</v>
      </c>
      <c r="J8">
        <f t="shared" si="4"/>
        <v>2313</v>
      </c>
      <c r="K8">
        <f t="shared" si="5"/>
        <v>2591</v>
      </c>
      <c r="L8" s="23">
        <f>(V8+(1-W8))/2*(POWER(U8/T8,基本公式!$B$207)+POWER(S8/R8,基本公式!$B$208))/2*基本公式!$B$206</f>
        <v>236.57289002557548</v>
      </c>
      <c r="M8" s="23">
        <f>(W8+(1-V8))/2*(POWER(T8/U8,基本公式!$B$207)+POWER(R8/S8,基本公式!$B$208))/2*基本公式!$B$206</f>
        <v>265.04297994269342</v>
      </c>
      <c r="N8" s="23">
        <f>POWER(P8+Q8+基本公式!$B$209,基本公式!$B$210)/基本公式!$B$211</f>
        <v>9.7772446737428034</v>
      </c>
      <c r="O8" s="66">
        <f>ROUND(POWER(P8,基本公式!$B$201)/兵消耗!$J$21*基本公式!$B$202,0)</f>
        <v>50</v>
      </c>
      <c r="P8">
        <f>calSolderNum(H8,基本公式!$B$189,基本公式!$B$7)</f>
        <v>793</v>
      </c>
      <c r="Q8">
        <f t="shared" si="0"/>
        <v>793</v>
      </c>
      <c r="R8">
        <v>140</v>
      </c>
      <c r="S8">
        <v>140</v>
      </c>
      <c r="T8">
        <f>ROUND(P8*基本公式!$B$212,0)</f>
        <v>12512</v>
      </c>
      <c r="U8">
        <f>ROUND(Q8*基本公式!$B$213,0)</f>
        <v>11168</v>
      </c>
      <c r="V8" s="5">
        <v>1</v>
      </c>
      <c r="W8" s="5">
        <v>1</v>
      </c>
    </row>
    <row r="9" spans="1:23">
      <c r="A9">
        <v>8</v>
      </c>
      <c r="B9" s="82">
        <f t="shared" si="6"/>
        <v>88100</v>
      </c>
      <c r="C9" s="10">
        <f t="shared" si="1"/>
        <v>20100</v>
      </c>
      <c r="D9">
        <f t="shared" si="7"/>
        <v>8</v>
      </c>
      <c r="E9" s="10">
        <f t="shared" si="2"/>
        <v>640</v>
      </c>
      <c r="H9">
        <v>8</v>
      </c>
      <c r="I9" s="91">
        <f t="shared" si="3"/>
        <v>2506.5</v>
      </c>
      <c r="J9">
        <f t="shared" si="4"/>
        <v>2364</v>
      </c>
      <c r="K9">
        <f t="shared" si="5"/>
        <v>2649</v>
      </c>
      <c r="L9" s="23">
        <f>(V9+(1-W9))/2*(POWER(U9/T9,基本公式!$B$207)+POWER(S9/R9,基本公式!$B$208))/2*基本公式!$B$206</f>
        <v>236.57786290556621</v>
      </c>
      <c r="M9" s="23">
        <f>(W9+(1-V9))/2*(POWER(T9/U9,基本公式!$B$207)+POWER(R9/S9,基本公式!$B$208))/2*基本公式!$B$206</f>
        <v>265.03673840951944</v>
      </c>
      <c r="N9" s="23">
        <f>POWER(P9+Q9+基本公式!$B$209,基本公式!$B$210)/基本公式!$B$211</f>
        <v>9.9933392411334001</v>
      </c>
      <c r="O9" s="66">
        <f>ROUND(POWER(P9,基本公式!$B$201)/兵消耗!$J$21*基本公式!$B$202,0)</f>
        <v>80</v>
      </c>
      <c r="P9">
        <f>calSolderNum(H9,基本公式!$B$189,基本公式!$B$7)</f>
        <v>1092</v>
      </c>
      <c r="Q9">
        <f t="shared" si="0"/>
        <v>1092</v>
      </c>
      <c r="R9">
        <v>140</v>
      </c>
      <c r="S9">
        <v>140</v>
      </c>
      <c r="T9">
        <f>ROUND(P9*基本公式!$B$212,0)</f>
        <v>17229</v>
      </c>
      <c r="U9">
        <f>ROUND(Q9*基本公式!$B$213,0)</f>
        <v>15379</v>
      </c>
      <c r="V9" s="5">
        <v>1</v>
      </c>
      <c r="W9" s="5">
        <v>1</v>
      </c>
    </row>
    <row r="10" spans="1:23">
      <c r="A10">
        <v>9</v>
      </c>
      <c r="B10" s="82">
        <f t="shared" si="6"/>
        <v>111500</v>
      </c>
      <c r="C10" s="10">
        <f t="shared" si="1"/>
        <v>23200</v>
      </c>
      <c r="D10">
        <f t="shared" si="7"/>
        <v>9</v>
      </c>
      <c r="E10" s="10">
        <f t="shared" si="2"/>
        <v>1125</v>
      </c>
      <c r="H10">
        <v>9</v>
      </c>
      <c r="I10" s="91">
        <f t="shared" si="3"/>
        <v>2574</v>
      </c>
      <c r="J10">
        <f t="shared" si="4"/>
        <v>2428</v>
      </c>
      <c r="K10">
        <f t="shared" si="5"/>
        <v>2720</v>
      </c>
      <c r="L10" s="23">
        <f>(V10+(1-W10))/2*(POWER(U10/T10,基本公式!$B$207)+POWER(S10/R10,基本公式!$B$208))/2*基本公式!$B$206</f>
        <v>236.5743541000605</v>
      </c>
      <c r="M10" s="23">
        <f>(W10+(1-V10))/2*(POWER(T10/U10,基本公式!$B$207)+POWER(R10/S10,基本公式!$B$208))/2*基本公式!$B$206</f>
        <v>265.04114230396902</v>
      </c>
      <c r="N10" s="23">
        <f>POWER(P10+Q10+基本公式!$B$209,基本公式!$B$210)/基本公式!$B$211</f>
        <v>10.262722639592537</v>
      </c>
      <c r="O10" s="66">
        <f>ROUND(POWER(P10,基本公式!$B$201)/兵消耗!$J$21*基本公式!$B$202,0)</f>
        <v>125</v>
      </c>
      <c r="P10">
        <f>calSolderNum(H10,基本公式!$B$189,基本公式!$B$7)</f>
        <v>1467</v>
      </c>
      <c r="Q10">
        <f t="shared" si="0"/>
        <v>1467</v>
      </c>
      <c r="R10">
        <v>140</v>
      </c>
      <c r="S10">
        <v>140</v>
      </c>
      <c r="T10">
        <f>ROUND(P10*基本公式!$B$212,0)</f>
        <v>23146</v>
      </c>
      <c r="U10">
        <f>ROUND(Q10*基本公式!$B$213,0)</f>
        <v>20660</v>
      </c>
      <c r="V10" s="5">
        <v>1</v>
      </c>
      <c r="W10" s="5">
        <v>1</v>
      </c>
    </row>
    <row r="11" spans="1:23">
      <c r="A11">
        <v>10</v>
      </c>
      <c r="B11" s="82">
        <f t="shared" si="6"/>
        <v>138600</v>
      </c>
      <c r="C11" s="10">
        <f t="shared" si="1"/>
        <v>26800</v>
      </c>
      <c r="D11">
        <f t="shared" si="7"/>
        <v>10</v>
      </c>
      <c r="E11" s="10">
        <f t="shared" si="2"/>
        <v>2090</v>
      </c>
      <c r="H11">
        <v>10</v>
      </c>
      <c r="I11" s="91">
        <f t="shared" si="3"/>
        <v>2681</v>
      </c>
      <c r="J11">
        <f t="shared" si="4"/>
        <v>2529</v>
      </c>
      <c r="K11">
        <f t="shared" si="5"/>
        <v>2833</v>
      </c>
      <c r="L11" s="23">
        <f>(V11+(1-W11))/2*(POWER(U11/T11,基本公式!$B$207)+POWER(S11/R11,基本公式!$B$208))/2*基本公式!$B$206</f>
        <v>236.57360561739182</v>
      </c>
      <c r="M11" s="23">
        <f>(W11+(1-V11))/2*(POWER(T11/U11,基本公式!$B$207)+POWER(R11/S11,基本公式!$B$208))/2*基本公式!$B$206</f>
        <v>265.04208175884577</v>
      </c>
      <c r="N11" s="23">
        <f>POWER(P11+Q11+基本公式!$B$209,基本公式!$B$210)/基本公式!$B$211</f>
        <v>10.690110441244766</v>
      </c>
      <c r="O11" s="66">
        <f>ROUND(POWER(P11,基本公式!$B$201)/兵消耗!$J$21*基本公式!$B$202,0)</f>
        <v>209</v>
      </c>
      <c r="P11">
        <f>calSolderNum(H11,基本公式!$B$189,基本公式!$B$7)</f>
        <v>2067</v>
      </c>
      <c r="Q11">
        <f t="shared" si="0"/>
        <v>2067</v>
      </c>
      <c r="R11">
        <v>140</v>
      </c>
      <c r="S11">
        <v>140</v>
      </c>
      <c r="T11">
        <f>ROUND(P11*基本公式!$B$212,0)</f>
        <v>32613</v>
      </c>
      <c r="U11">
        <f>ROUND(Q11*基本公式!$B$213,0)</f>
        <v>29110</v>
      </c>
      <c r="V11" s="5">
        <v>1</v>
      </c>
      <c r="W11" s="5">
        <v>1</v>
      </c>
    </row>
    <row r="12" spans="1:23">
      <c r="A12">
        <v>11</v>
      </c>
      <c r="B12" s="82">
        <f t="shared" si="6"/>
        <v>170000</v>
      </c>
      <c r="C12" s="10">
        <f t="shared" si="1"/>
        <v>31000</v>
      </c>
      <c r="D12">
        <f t="shared" si="7"/>
        <v>11</v>
      </c>
      <c r="E12" s="10">
        <f t="shared" si="2"/>
        <v>3729</v>
      </c>
      <c r="H12">
        <v>11</v>
      </c>
      <c r="I12" s="91">
        <f t="shared" si="3"/>
        <v>2820</v>
      </c>
      <c r="J12">
        <f t="shared" si="4"/>
        <v>2660</v>
      </c>
      <c r="K12">
        <f t="shared" si="5"/>
        <v>2980</v>
      </c>
      <c r="L12" s="23">
        <f>(V12+(1-W12))/2*(POWER(U12/T12,基本公式!$B$207)+POWER(S12/R12,基本公式!$B$208))/2*基本公式!$B$206</f>
        <v>236.57561625582946</v>
      </c>
      <c r="M12" s="23">
        <f>(W12+(1-V12))/2*(POWER(T12/U12,基本公式!$B$207)+POWER(R12/S12,基本公式!$B$208))/2*基本公式!$B$206</f>
        <v>265.03955814300639</v>
      </c>
      <c r="N12" s="23">
        <f>POWER(P12+Q12+基本公式!$B$209,基本公式!$B$210)/基本公式!$B$211</f>
        <v>11.244324703213454</v>
      </c>
      <c r="O12" s="66">
        <f>ROUND(POWER(P12,基本公式!$B$201)/兵消耗!$J$21*基本公式!$B$202,0)</f>
        <v>339</v>
      </c>
      <c r="P12">
        <f>calSolderNum(H12,基本公式!$B$189,基本公式!$B$7)</f>
        <v>2854</v>
      </c>
      <c r="Q12">
        <f t="shared" si="0"/>
        <v>2854</v>
      </c>
      <c r="R12">
        <v>140</v>
      </c>
      <c r="S12">
        <v>140</v>
      </c>
      <c r="T12">
        <f>ROUND(P12*基本公式!$B$212,0)</f>
        <v>45030</v>
      </c>
      <c r="U12">
        <f>ROUND(Q12*基本公式!$B$213,0)</f>
        <v>40194</v>
      </c>
      <c r="V12" s="5">
        <v>1</v>
      </c>
      <c r="W12" s="5">
        <v>1</v>
      </c>
    </row>
    <row r="13" spans="1:23">
      <c r="A13">
        <v>12</v>
      </c>
      <c r="B13" s="82">
        <f t="shared" si="6"/>
        <v>206300</v>
      </c>
      <c r="C13" s="10">
        <f t="shared" si="1"/>
        <v>35900</v>
      </c>
      <c r="D13">
        <f t="shared" si="7"/>
        <v>12</v>
      </c>
      <c r="E13" s="10">
        <f t="shared" si="2"/>
        <v>6324</v>
      </c>
      <c r="H13">
        <v>12</v>
      </c>
      <c r="I13" s="91">
        <f t="shared" si="3"/>
        <v>2990</v>
      </c>
      <c r="J13">
        <f t="shared" si="4"/>
        <v>2820</v>
      </c>
      <c r="K13">
        <f t="shared" si="5"/>
        <v>3160</v>
      </c>
      <c r="L13" s="23">
        <f>(V13+(1-W13))/2*(POWER(U13/T13,基本公式!$B$207)+POWER(S13/R13,基本公式!$B$208))/2*基本公式!$B$206</f>
        <v>236.57573701024614</v>
      </c>
      <c r="M13" s="23">
        <f>(W13+(1-V13))/2*(POWER(T13/U13,基本公式!$B$207)+POWER(R13/S13,基本公式!$B$208))/2*基本公式!$B$206</f>
        <v>265.03940658321744</v>
      </c>
      <c r="N13" s="23">
        <f>POWER(P13+Q13+基本公式!$B$209,基本公式!$B$210)/基本公式!$B$211</f>
        <v>11.921622428677439</v>
      </c>
      <c r="O13" s="66">
        <f>ROUND(POWER(P13,基本公式!$B$201)/兵消耗!$J$21*基本公式!$B$202,0)</f>
        <v>527</v>
      </c>
      <c r="P13">
        <f>calSolderNum(H13,基本公式!$B$189,基本公式!$B$7)</f>
        <v>3829</v>
      </c>
      <c r="Q13">
        <f t="shared" si="0"/>
        <v>3829</v>
      </c>
      <c r="R13">
        <v>140</v>
      </c>
      <c r="S13">
        <v>140</v>
      </c>
      <c r="T13">
        <f>ROUND(P13*基本公式!$B$212,0)</f>
        <v>60413</v>
      </c>
      <c r="U13">
        <f>ROUND(Q13*基本公式!$B$213,0)</f>
        <v>53925</v>
      </c>
      <c r="V13" s="5">
        <v>1</v>
      </c>
      <c r="W13" s="5">
        <v>1</v>
      </c>
    </row>
    <row r="14" spans="1:23">
      <c r="A14">
        <v>13</v>
      </c>
      <c r="B14" s="82">
        <f t="shared" si="6"/>
        <v>247800</v>
      </c>
      <c r="C14" s="10">
        <f t="shared" si="1"/>
        <v>41000</v>
      </c>
      <c r="D14">
        <f t="shared" si="7"/>
        <v>13</v>
      </c>
      <c r="E14" s="10">
        <f t="shared" si="2"/>
        <v>9620</v>
      </c>
      <c r="H14">
        <v>13</v>
      </c>
      <c r="I14" s="91">
        <f t="shared" si="3"/>
        <v>3157.5</v>
      </c>
      <c r="J14">
        <f t="shared" si="4"/>
        <v>2978</v>
      </c>
      <c r="K14">
        <f t="shared" si="5"/>
        <v>3337</v>
      </c>
      <c r="L14" s="23">
        <f>(V14+(1-W14))/2*(POWER(U14/T14,基本公式!$B$207)+POWER(S14/R14,基本公式!$B$208))/2*基本公式!$B$206</f>
        <v>236.57580874980212</v>
      </c>
      <c r="M14" s="23">
        <f>(W14+(1-V14))/2*(POWER(T14/U14,基本公式!$B$207)+POWER(R14/S14,基本公式!$B$208))/2*基本公式!$B$206</f>
        <v>265.0393165425092</v>
      </c>
      <c r="N14" s="23">
        <f>POWER(P14+Q14+基本公式!$B$209,基本公式!$B$210)/基本公式!$B$211</f>
        <v>12.589428131631056</v>
      </c>
      <c r="O14" s="66">
        <f>ROUND(POWER(P14,基本公式!$B$201)/兵消耗!$J$21*基本公式!$B$202,0)</f>
        <v>740</v>
      </c>
      <c r="P14">
        <f>calSolderNum(H14,基本公式!$B$189,基本公式!$B$7)</f>
        <v>4804</v>
      </c>
      <c r="Q14">
        <f t="shared" si="0"/>
        <v>4804</v>
      </c>
      <c r="R14">
        <v>140</v>
      </c>
      <c r="S14">
        <v>140</v>
      </c>
      <c r="T14">
        <f>ROUND(P14*基本公式!$B$212,0)</f>
        <v>75796</v>
      </c>
      <c r="U14">
        <f>ROUND(Q14*基本公式!$B$213,0)</f>
        <v>67656</v>
      </c>
      <c r="V14" s="5">
        <v>1</v>
      </c>
      <c r="W14" s="5">
        <v>1</v>
      </c>
    </row>
    <row r="15" spans="1:23">
      <c r="A15">
        <v>14</v>
      </c>
      <c r="B15" s="82">
        <f t="shared" si="6"/>
        <v>295600</v>
      </c>
      <c r="C15" s="10">
        <f t="shared" si="1"/>
        <v>47200</v>
      </c>
      <c r="D15">
        <f t="shared" si="7"/>
        <v>14</v>
      </c>
      <c r="E15" s="10">
        <f t="shared" si="2"/>
        <v>14742</v>
      </c>
      <c r="H15">
        <v>14</v>
      </c>
      <c r="I15" s="91">
        <f t="shared" si="3"/>
        <v>3373</v>
      </c>
      <c r="J15">
        <f t="shared" si="4"/>
        <v>3182</v>
      </c>
      <c r="K15">
        <f t="shared" si="5"/>
        <v>3564</v>
      </c>
      <c r="L15" s="23">
        <f>(V15+(1-W15))/2*(POWER(U15/T15,基本公式!$B$207)+POWER(S15/R15,基本公式!$B$208))/2*基本公式!$B$206</f>
        <v>236.57674379803331</v>
      </c>
      <c r="M15" s="23">
        <f>(W15+(1-V15))/2*(POWER(T15/U15,基本公式!$B$207)+POWER(R15/S15,基本公式!$B$208))/2*基本公式!$B$206</f>
        <v>265.0381429689599</v>
      </c>
      <c r="N15" s="23">
        <f>POWER(P15+Q15+基本公式!$B$209,基本公式!$B$210)/基本公式!$B$211</f>
        <v>13.448949451499507</v>
      </c>
      <c r="O15" s="66">
        <f>ROUND(POWER(P15,基本公式!$B$201)/兵消耗!$J$21*基本公式!$B$202,0)</f>
        <v>1053</v>
      </c>
      <c r="P15">
        <f>calSolderNum(H15,基本公式!$B$189,基本公式!$B$7)</f>
        <v>6078</v>
      </c>
      <c r="Q15">
        <f t="shared" si="0"/>
        <v>6078</v>
      </c>
      <c r="R15">
        <v>140</v>
      </c>
      <c r="S15">
        <v>140</v>
      </c>
      <c r="T15">
        <f>ROUND(P15*基本公式!$B$212,0)</f>
        <v>95897</v>
      </c>
      <c r="U15">
        <f>ROUND(Q15*基本公式!$B$213,0)</f>
        <v>85599</v>
      </c>
      <c r="V15" s="5">
        <v>1</v>
      </c>
      <c r="W15" s="5">
        <v>1</v>
      </c>
    </row>
    <row r="16" spans="1:23">
      <c r="A16">
        <v>15</v>
      </c>
      <c r="B16" s="82">
        <f t="shared" si="6"/>
        <v>350700</v>
      </c>
      <c r="C16" s="10">
        <f t="shared" si="1"/>
        <v>54500</v>
      </c>
      <c r="D16">
        <f t="shared" si="7"/>
        <v>15</v>
      </c>
      <c r="E16" s="10">
        <f t="shared" si="2"/>
        <v>22320</v>
      </c>
      <c r="H16">
        <v>15</v>
      </c>
      <c r="I16" s="91">
        <f t="shared" si="3"/>
        <v>3635</v>
      </c>
      <c r="J16">
        <f t="shared" si="4"/>
        <v>3429</v>
      </c>
      <c r="K16">
        <f t="shared" si="5"/>
        <v>3841</v>
      </c>
      <c r="L16" s="23">
        <f>(V16+(1-W16))/2*(POWER(U16/T16,基本公式!$B$207)+POWER(S16/R16,基本公式!$B$208))/2*基本公式!$B$206</f>
        <v>236.57627104607155</v>
      </c>
      <c r="M16" s="23">
        <f>(W16+(1-V16))/2*(POWER(T16/U16,基本公式!$B$207)+POWER(R16/S16,基本公式!$B$208))/2*基本公式!$B$206</f>
        <v>265.03873631471521</v>
      </c>
      <c r="N16" s="23">
        <f>POWER(P16+Q16+基本公式!$B$209,基本公式!$B$210)/基本公式!$B$211</f>
        <v>14.492975524572742</v>
      </c>
      <c r="O16" s="66">
        <f>ROUND(POWER(P16,基本公式!$B$201)/兵消耗!$J$21*基本公式!$B$202,0)</f>
        <v>1488</v>
      </c>
      <c r="P16">
        <f>calSolderNum(H16,基本公式!$B$189,基本公式!$B$7)</f>
        <v>7653</v>
      </c>
      <c r="Q16">
        <f t="shared" si="0"/>
        <v>7653</v>
      </c>
      <c r="R16">
        <v>140</v>
      </c>
      <c r="S16">
        <v>140</v>
      </c>
      <c r="T16">
        <f>ROUND(P16*基本公式!$B$212,0)</f>
        <v>120747</v>
      </c>
      <c r="U16">
        <f>ROUND(Q16*基本公式!$B$213,0)</f>
        <v>107780</v>
      </c>
      <c r="V16" s="5">
        <v>1</v>
      </c>
      <c r="W16" s="5">
        <v>1</v>
      </c>
    </row>
    <row r="17" spans="1:23">
      <c r="A17">
        <v>16</v>
      </c>
      <c r="B17" s="82">
        <f t="shared" si="6"/>
        <v>415900</v>
      </c>
      <c r="C17" s="10">
        <f t="shared" si="1"/>
        <v>64500</v>
      </c>
      <c r="D17">
        <f>D16+2</f>
        <v>17</v>
      </c>
      <c r="E17" s="10">
        <f t="shared" si="2"/>
        <v>30277</v>
      </c>
      <c r="H17">
        <v>16</v>
      </c>
      <c r="I17" s="91">
        <f t="shared" si="3"/>
        <v>3794.5</v>
      </c>
      <c r="J17">
        <f t="shared" si="4"/>
        <v>3579</v>
      </c>
      <c r="K17">
        <f t="shared" si="5"/>
        <v>4010</v>
      </c>
      <c r="L17" s="23">
        <f>(V17+(1-W17))/2*(POWER(U17/T17,基本公式!$B$207)+POWER(S17/R17,基本公式!$B$208))/2*基本公式!$B$206</f>
        <v>236.57543101865113</v>
      </c>
      <c r="M17" s="23">
        <f>(W17+(1-V17))/2*(POWER(T17/U17,基本公式!$B$207)+POWER(R17/S17,基本公式!$B$208))/2*基本公式!$B$206</f>
        <v>265.03979063623871</v>
      </c>
      <c r="N17" s="23">
        <f>POWER(P17+Q17+基本公式!$B$209,基本公式!$B$210)/基本公式!$B$211</f>
        <v>15.129888420796554</v>
      </c>
      <c r="O17" s="66">
        <f>ROUND(POWER(P17,基本公式!$B$201)/兵消耗!$J$21*基本公式!$B$202,0)</f>
        <v>1781</v>
      </c>
      <c r="P17">
        <f>calSolderNum(H17,基本公式!$B$189,基本公式!$B$7)</f>
        <v>8628</v>
      </c>
      <c r="Q17">
        <f t="shared" si="0"/>
        <v>8628</v>
      </c>
      <c r="R17">
        <v>140</v>
      </c>
      <c r="S17">
        <v>140</v>
      </c>
      <c r="T17">
        <f>ROUND(P17*基本公式!$B$212,0)</f>
        <v>136131</v>
      </c>
      <c r="U17">
        <f>ROUND(Q17*基本公式!$B$213,0)</f>
        <v>121511</v>
      </c>
      <c r="V17" s="5">
        <v>1</v>
      </c>
      <c r="W17" s="5">
        <v>1</v>
      </c>
    </row>
    <row r="18" spans="1:23">
      <c r="A18">
        <v>17</v>
      </c>
      <c r="B18" s="82">
        <f t="shared" si="6"/>
        <v>494300</v>
      </c>
      <c r="C18" s="10">
        <f t="shared" si="1"/>
        <v>77500</v>
      </c>
      <c r="D18">
        <f t="shared" ref="D18:D26" si="8">D17+2</f>
        <v>19</v>
      </c>
      <c r="E18" s="10">
        <f t="shared" si="2"/>
        <v>44707</v>
      </c>
      <c r="H18">
        <v>17</v>
      </c>
      <c r="I18" s="91">
        <f t="shared" si="3"/>
        <v>4079.5</v>
      </c>
      <c r="J18">
        <f t="shared" si="4"/>
        <v>3848</v>
      </c>
      <c r="K18">
        <f t="shared" si="5"/>
        <v>4311</v>
      </c>
      <c r="L18" s="23">
        <f>(V18+(1-W18))/2*(POWER(U18/T18,基本公式!$B$207)+POWER(S18/R18,基本公式!$B$208))/2*基本公式!$B$206</f>
        <v>236.57590693645497</v>
      </c>
      <c r="M18" s="23">
        <f>(W18+(1-V18))/2*(POWER(T18/U18,基本公式!$B$207)+POWER(R18/S18,基本公式!$B$208))/2*基本公式!$B$206</f>
        <v>265.03919330809288</v>
      </c>
      <c r="N18" s="23">
        <f>POWER(P18+Q18+基本公式!$B$209,基本公式!$B$210)/基本公式!$B$211</f>
        <v>16.264342919003877</v>
      </c>
      <c r="O18" s="66">
        <f>ROUND(POWER(P18,基本公式!$B$201)/兵消耗!$J$21*基本公式!$B$202,0)</f>
        <v>2353</v>
      </c>
      <c r="P18">
        <f>calSolderNum(H18,基本公式!$B$189,基本公式!$B$7)</f>
        <v>10390</v>
      </c>
      <c r="Q18">
        <f t="shared" si="0"/>
        <v>10390</v>
      </c>
      <c r="R18">
        <v>140</v>
      </c>
      <c r="S18">
        <v>140</v>
      </c>
      <c r="T18">
        <f>ROUND(P18*基本公式!$B$212,0)</f>
        <v>163931</v>
      </c>
      <c r="U18">
        <f>ROUND(Q18*基本公式!$B$213,0)</f>
        <v>146326</v>
      </c>
      <c r="V18" s="5">
        <v>1</v>
      </c>
      <c r="W18" s="5">
        <v>1</v>
      </c>
    </row>
    <row r="19" spans="1:23">
      <c r="A19">
        <v>18</v>
      </c>
      <c r="B19" s="82">
        <f t="shared" si="6"/>
        <v>589500</v>
      </c>
      <c r="C19" s="10">
        <f t="shared" si="1"/>
        <v>94100</v>
      </c>
      <c r="D19">
        <f t="shared" si="8"/>
        <v>21</v>
      </c>
      <c r="E19" s="10">
        <f t="shared" si="2"/>
        <v>68691</v>
      </c>
      <c r="H19">
        <v>18</v>
      </c>
      <c r="I19" s="91">
        <f t="shared" si="3"/>
        <v>4482.5</v>
      </c>
      <c r="J19">
        <f t="shared" si="4"/>
        <v>4228</v>
      </c>
      <c r="K19">
        <f t="shared" si="5"/>
        <v>4737</v>
      </c>
      <c r="L19" s="23">
        <f>(V19+(1-W19))/2*(POWER(U19/T19,基本公式!$B$207)+POWER(S19/R19,基本公式!$B$208))/2*基本公式!$B$206</f>
        <v>236.57536897070278</v>
      </c>
      <c r="M19" s="23">
        <f>(W19+(1-V19))/2*(POWER(T19/U19,基本公式!$B$207)+POWER(R19/S19,基本公式!$B$208))/2*基本公式!$B$206</f>
        <v>265.03986851347793</v>
      </c>
      <c r="N19" s="23">
        <f>POWER(P19+Q19+基本公式!$B$209,基本公式!$B$210)/基本公式!$B$211</f>
        <v>17.871554379177937</v>
      </c>
      <c r="O19" s="66">
        <f>ROUND(POWER(P19,基本公式!$B$201)/兵消耗!$J$21*基本公式!$B$202,0)</f>
        <v>3271</v>
      </c>
      <c r="P19">
        <f>calSolderNum(H19,基本公式!$B$189,基本公式!$B$7)</f>
        <v>12939</v>
      </c>
      <c r="Q19">
        <f t="shared" si="0"/>
        <v>12939</v>
      </c>
      <c r="R19">
        <v>140</v>
      </c>
      <c r="S19">
        <v>140</v>
      </c>
      <c r="T19">
        <f>ROUND(P19*基本公式!$B$212,0)</f>
        <v>204149</v>
      </c>
      <c r="U19">
        <f>ROUND(Q19*基本公式!$B$213,0)</f>
        <v>182224</v>
      </c>
      <c r="V19" s="5">
        <v>1</v>
      </c>
      <c r="W19" s="5">
        <v>1</v>
      </c>
    </row>
    <row r="20" spans="1:23">
      <c r="A20">
        <v>19</v>
      </c>
      <c r="B20" s="82">
        <f t="shared" si="6"/>
        <v>701600</v>
      </c>
      <c r="C20" s="10">
        <f t="shared" si="1"/>
        <v>110800</v>
      </c>
      <c r="D20">
        <f t="shared" si="8"/>
        <v>23</v>
      </c>
      <c r="E20" s="10">
        <f t="shared" si="2"/>
        <v>94967</v>
      </c>
      <c r="H20">
        <v>19</v>
      </c>
      <c r="I20" s="91">
        <f t="shared" si="3"/>
        <v>4819.5</v>
      </c>
      <c r="J20">
        <f t="shared" si="4"/>
        <v>4546</v>
      </c>
      <c r="K20">
        <f t="shared" si="5"/>
        <v>5093</v>
      </c>
      <c r="L20" s="23">
        <f>(V20+(1-W20))/2*(POWER(U20/T20,基本公式!$B$207)+POWER(S20/R20,基本公式!$B$208))/2*基本公式!$B$206</f>
        <v>236.57612228209589</v>
      </c>
      <c r="M20" s="23">
        <f>(W20+(1-V20))/2*(POWER(T20/U20,基本公式!$B$207)+POWER(R20/S20,基本公式!$B$208))/2*基本公式!$B$206</f>
        <v>265.03892302777467</v>
      </c>
      <c r="N20" s="23">
        <f>POWER(P20+Q20+基本公式!$B$209,基本公式!$B$210)/基本公式!$B$211</f>
        <v>19.214781653780058</v>
      </c>
      <c r="O20" s="66">
        <f>ROUND(POWER(P20,基本公式!$B$201)/兵消耗!$J$21*基本公式!$B$202,0)</f>
        <v>4129</v>
      </c>
      <c r="P20">
        <f>calSolderNum(H20,基本公式!$B$189,基本公式!$B$7)</f>
        <v>15114</v>
      </c>
      <c r="Q20">
        <f t="shared" si="0"/>
        <v>15114</v>
      </c>
      <c r="R20">
        <v>140</v>
      </c>
      <c r="S20">
        <v>140</v>
      </c>
      <c r="T20">
        <f>ROUND(P20*基本公式!$B$212,0)</f>
        <v>238465</v>
      </c>
      <c r="U20">
        <f>ROUND(Q20*基本公式!$B$213,0)</f>
        <v>212856</v>
      </c>
      <c r="V20" s="5">
        <v>1</v>
      </c>
      <c r="W20" s="5">
        <v>1</v>
      </c>
    </row>
    <row r="21" spans="1:23">
      <c r="A21">
        <v>20</v>
      </c>
      <c r="B21" s="82">
        <f t="shared" si="6"/>
        <v>831400</v>
      </c>
      <c r="C21" s="10">
        <f t="shared" si="1"/>
        <v>128300</v>
      </c>
      <c r="D21">
        <f t="shared" si="8"/>
        <v>25</v>
      </c>
      <c r="E21" s="10">
        <f t="shared" si="2"/>
        <v>125050</v>
      </c>
      <c r="H21">
        <v>20</v>
      </c>
      <c r="I21" s="91">
        <f t="shared" si="3"/>
        <v>5133.5</v>
      </c>
      <c r="J21">
        <f t="shared" si="4"/>
        <v>4842</v>
      </c>
      <c r="K21">
        <f t="shared" si="5"/>
        <v>5425</v>
      </c>
      <c r="L21" s="23">
        <f>(V21+(1-W21))/2*(POWER(U21/T21,基本公式!$B$207)+POWER(S21/R21,基本公式!$B$208))/2*基本公式!$B$206</f>
        <v>236.57559621991226</v>
      </c>
      <c r="M21" s="23">
        <f>(W21+(1-V21))/2*(POWER(T21/U21,基本公式!$B$207)+POWER(R21/S21,基本公式!$B$208))/2*基本公式!$B$206</f>
        <v>265.03958329027057</v>
      </c>
      <c r="N21" s="23">
        <f>POWER(P21+Q21+基本公式!$B$209,基本公式!$B$210)/基本公式!$B$211</f>
        <v>20.466857645690041</v>
      </c>
      <c r="O21" s="66">
        <f>ROUND(POWER(P21,基本公式!$B$201)/兵消耗!$J$21*基本公式!$B$202,0)</f>
        <v>5002</v>
      </c>
      <c r="P21">
        <f>calSolderNum(H21,基本公式!$B$189,基本公式!$B$7)</f>
        <v>17176</v>
      </c>
      <c r="Q21">
        <f t="shared" si="0"/>
        <v>17176</v>
      </c>
      <c r="R21">
        <v>140</v>
      </c>
      <c r="S21">
        <v>140</v>
      </c>
      <c r="T21">
        <f>ROUND(P21*基本公式!$B$212,0)</f>
        <v>270999</v>
      </c>
      <c r="U21">
        <f>ROUND(Q21*基本公式!$B$213,0)</f>
        <v>241895</v>
      </c>
      <c r="V21" s="5">
        <v>1</v>
      </c>
      <c r="W21" s="5">
        <v>1</v>
      </c>
    </row>
    <row r="22" spans="1:23">
      <c r="A22">
        <v>21</v>
      </c>
      <c r="B22" s="82">
        <f t="shared" si="6"/>
        <v>979600</v>
      </c>
      <c r="C22" s="10">
        <f t="shared" si="1"/>
        <v>146500</v>
      </c>
      <c r="D22">
        <f t="shared" si="8"/>
        <v>27</v>
      </c>
      <c r="E22" s="10">
        <f t="shared" si="2"/>
        <v>158706</v>
      </c>
      <c r="H22">
        <v>21</v>
      </c>
      <c r="I22" s="91">
        <f t="shared" si="3"/>
        <v>5426</v>
      </c>
      <c r="J22">
        <f t="shared" si="4"/>
        <v>5118</v>
      </c>
      <c r="K22">
        <f t="shared" si="5"/>
        <v>5734</v>
      </c>
      <c r="L22" s="23">
        <f>(V22+(1-W22))/2*(POWER(U22/T22,基本公式!$B$207)+POWER(S22/R22,基本公式!$B$208))/2*基本公式!$B$206</f>
        <v>236.57569109840077</v>
      </c>
      <c r="M22" s="23">
        <f>(W22+(1-V22))/2*(POWER(T22/U22,基本公式!$B$207)+POWER(R22/S22,基本公式!$B$208))/2*基本公式!$B$206</f>
        <v>265.03946420748593</v>
      </c>
      <c r="N22" s="23">
        <f>POWER(P22+Q22+基本公式!$B$209,基本公式!$B$210)/基本公式!$B$211</f>
        <v>21.633531382730325</v>
      </c>
      <c r="O22" s="66">
        <f>ROUND(POWER(P22,基本公式!$B$201)/兵消耗!$J$21*基本公式!$B$202,0)</f>
        <v>5878</v>
      </c>
      <c r="P22">
        <f>calSolderNum(H22,基本公式!$B$189,基本公式!$B$7)</f>
        <v>19126</v>
      </c>
      <c r="Q22">
        <f t="shared" si="0"/>
        <v>19126</v>
      </c>
      <c r="R22">
        <v>140</v>
      </c>
      <c r="S22">
        <v>140</v>
      </c>
      <c r="T22">
        <f>ROUND(P22*基本公式!$B$212,0)</f>
        <v>301766</v>
      </c>
      <c r="U22">
        <f>ROUND(Q22*基本公式!$B$213,0)</f>
        <v>269358</v>
      </c>
      <c r="V22" s="5">
        <v>1</v>
      </c>
      <c r="W22" s="5">
        <v>1</v>
      </c>
    </row>
    <row r="23" spans="1:23">
      <c r="A23">
        <v>22</v>
      </c>
      <c r="B23" s="82">
        <f t="shared" si="6"/>
        <v>1148500</v>
      </c>
      <c r="C23" s="10">
        <f t="shared" si="1"/>
        <v>167000</v>
      </c>
      <c r="D23">
        <f t="shared" si="8"/>
        <v>29</v>
      </c>
      <c r="E23" s="10">
        <f t="shared" si="2"/>
        <v>201405</v>
      </c>
      <c r="H23">
        <v>22</v>
      </c>
      <c r="I23" s="91">
        <f t="shared" si="3"/>
        <v>5758.5</v>
      </c>
      <c r="J23">
        <f t="shared" si="4"/>
        <v>5432</v>
      </c>
      <c r="K23">
        <f t="shared" si="5"/>
        <v>6085</v>
      </c>
      <c r="L23" s="23">
        <f>(V23+(1-W23))/2*(POWER(U23/T23,基本公式!$B$207)+POWER(S23/R23,基本公式!$B$208))/2*基本公式!$B$206</f>
        <v>236.57550716645019</v>
      </c>
      <c r="M23" s="23">
        <f>(W23+(1-V23))/2*(POWER(T23/U23,基本公式!$B$207)+POWER(R23/S23,基本公式!$B$208))/2*基本公式!$B$206</f>
        <v>265.03969506220005</v>
      </c>
      <c r="N23" s="23">
        <f>POWER(P23+Q23+基本公式!$B$209,基本公式!$B$210)/基本公式!$B$211</f>
        <v>22.960471536412125</v>
      </c>
      <c r="O23" s="66">
        <f>ROUND(POWER(P23,基本公式!$B$201)/兵消耗!$J$21*基本公式!$B$202,0)</f>
        <v>6945</v>
      </c>
      <c r="P23">
        <f>calSolderNum(H23,基本公式!$B$189,基本公式!$B$7)</f>
        <v>21376</v>
      </c>
      <c r="Q23">
        <f t="shared" si="0"/>
        <v>21376</v>
      </c>
      <c r="R23">
        <v>140</v>
      </c>
      <c r="S23">
        <v>140</v>
      </c>
      <c r="T23">
        <f>ROUND(P23*基本公式!$B$212,0)</f>
        <v>337266</v>
      </c>
      <c r="U23">
        <f>ROUND(Q23*基本公式!$B$213,0)</f>
        <v>301045</v>
      </c>
      <c r="V23" s="5">
        <v>1</v>
      </c>
      <c r="W23" s="5">
        <v>1</v>
      </c>
    </row>
    <row r="24" spans="1:23">
      <c r="A24">
        <v>23</v>
      </c>
      <c r="B24" s="82">
        <f t="shared" si="6"/>
        <v>1339400</v>
      </c>
      <c r="C24" s="10">
        <f t="shared" si="1"/>
        <v>188700</v>
      </c>
      <c r="D24">
        <f t="shared" si="8"/>
        <v>31</v>
      </c>
      <c r="E24" s="10">
        <f t="shared" si="2"/>
        <v>250170</v>
      </c>
      <c r="H24">
        <v>23</v>
      </c>
      <c r="I24" s="91">
        <f t="shared" si="3"/>
        <v>6086.5</v>
      </c>
      <c r="J24">
        <f t="shared" si="4"/>
        <v>5741</v>
      </c>
      <c r="K24">
        <f t="shared" si="5"/>
        <v>6432</v>
      </c>
      <c r="L24" s="23">
        <f>(V24+(1-W24))/2*(POWER(U24/T24,基本公式!$B$207)+POWER(S24/R24,基本公式!$B$208))/2*基本公式!$B$206</f>
        <v>236.57569359866511</v>
      </c>
      <c r="M24" s="23">
        <f>(W24+(1-V24))/2*(POWER(T24/U24,基本公式!$B$207)+POWER(R24/S24,基本公式!$B$208))/2*基本公式!$B$206</f>
        <v>265.03946106938599</v>
      </c>
      <c r="N24" s="23">
        <f>POWER(P24+Q24+基本公式!$B$209,基本公式!$B$210)/基本公式!$B$211</f>
        <v>24.26849858396923</v>
      </c>
      <c r="O24" s="66">
        <f>ROUND(POWER(P24,基本公式!$B$201)/兵消耗!$J$21*基本公式!$B$202,0)</f>
        <v>8070</v>
      </c>
      <c r="P24">
        <f>calSolderNum(H24,基本公式!$B$189,基本公式!$B$7)</f>
        <v>23626</v>
      </c>
      <c r="Q24">
        <f t="shared" si="0"/>
        <v>23626</v>
      </c>
      <c r="R24">
        <v>140</v>
      </c>
      <c r="S24">
        <v>140</v>
      </c>
      <c r="T24">
        <f>ROUND(P24*基本公式!$B$212,0)</f>
        <v>372766</v>
      </c>
      <c r="U24">
        <f>ROUND(Q24*基本公式!$B$213,0)</f>
        <v>332733</v>
      </c>
      <c r="V24" s="5">
        <v>1</v>
      </c>
      <c r="W24" s="5">
        <v>1</v>
      </c>
    </row>
    <row r="25" spans="1:23">
      <c r="A25">
        <v>24</v>
      </c>
      <c r="B25" s="82">
        <f t="shared" si="6"/>
        <v>1553400</v>
      </c>
      <c r="C25" s="10">
        <f t="shared" si="1"/>
        <v>211500</v>
      </c>
      <c r="D25">
        <f t="shared" si="8"/>
        <v>33</v>
      </c>
      <c r="E25" s="10">
        <f t="shared" si="2"/>
        <v>305250</v>
      </c>
      <c r="H25">
        <v>24</v>
      </c>
      <c r="I25" s="91">
        <f t="shared" si="3"/>
        <v>6410.5</v>
      </c>
      <c r="J25">
        <f t="shared" si="4"/>
        <v>6047</v>
      </c>
      <c r="K25">
        <f t="shared" si="5"/>
        <v>6774</v>
      </c>
      <c r="L25" s="23">
        <f>(V25+(1-W25))/2*(POWER(U25/T25,基本公式!$B$207)+POWER(S25/R25,基本公式!$B$208))/2*基本公式!$B$206</f>
        <v>236.5755414362205</v>
      </c>
      <c r="M25" s="23">
        <f>(W25+(1-V25))/2*(POWER(T25/U25,基本公式!$B$207)+POWER(R25/S25,基本公式!$B$208))/2*基本公式!$B$206</f>
        <v>265.03965204983263</v>
      </c>
      <c r="N25" s="23">
        <f>POWER(P25+Q25+基本公式!$B$209,基本公式!$B$210)/基本公式!$B$211</f>
        <v>25.559123360012702</v>
      </c>
      <c r="O25" s="66">
        <f>ROUND(POWER(P25,基本公式!$B$201)/兵消耗!$J$21*基本公式!$B$202,0)</f>
        <v>9250</v>
      </c>
      <c r="P25">
        <f>calSolderNum(H25,基本公式!$B$189,基本公式!$B$7)</f>
        <v>25876</v>
      </c>
      <c r="Q25">
        <f t="shared" si="0"/>
        <v>25876</v>
      </c>
      <c r="R25">
        <v>140</v>
      </c>
      <c r="S25">
        <v>140</v>
      </c>
      <c r="T25">
        <f>ROUND(P25*基本公式!$B$212,0)</f>
        <v>408266</v>
      </c>
      <c r="U25">
        <f>ROUND(Q25*基本公式!$B$213,0)</f>
        <v>364420</v>
      </c>
      <c r="V25" s="5">
        <v>1</v>
      </c>
      <c r="W25" s="5">
        <v>1</v>
      </c>
    </row>
    <row r="26" spans="1:23">
      <c r="A26">
        <v>25</v>
      </c>
      <c r="B26" s="82">
        <f t="shared" si="6"/>
        <v>1792800</v>
      </c>
      <c r="C26" s="10">
        <f t="shared" si="1"/>
        <v>236700</v>
      </c>
      <c r="D26">
        <f t="shared" si="8"/>
        <v>35</v>
      </c>
      <c r="E26" s="10">
        <f t="shared" si="2"/>
        <v>371280</v>
      </c>
      <c r="H26">
        <v>25</v>
      </c>
      <c r="I26" s="91">
        <f t="shared" si="3"/>
        <v>6762</v>
      </c>
      <c r="J26">
        <f t="shared" si="4"/>
        <v>6378</v>
      </c>
      <c r="K26">
        <f t="shared" si="5"/>
        <v>7146</v>
      </c>
      <c r="L26" s="23">
        <f>(V26+(1-W26))/2*(POWER(U26/T26,基本公式!$B$207)+POWER(S26/R26,基本公式!$B$208))/2*基本公式!$B$206</f>
        <v>236.5757652308435</v>
      </c>
      <c r="M26" s="23">
        <f>(W26+(1-V26))/2*(POWER(T26/U26,基本公式!$B$207)+POWER(R26/S26,基本公式!$B$208))/2*基本公式!$B$206</f>
        <v>265.03937116337784</v>
      </c>
      <c r="N26" s="23">
        <f>POWER(P26+Q26+基本公式!$B$209,基本公式!$B$210)/基本公式!$B$211</f>
        <v>26.96026122769009</v>
      </c>
      <c r="O26" s="66">
        <f>ROUND(POWER(P26,基本公式!$B$201)/兵消耗!$J$21*基本公式!$B$202,0)</f>
        <v>10608</v>
      </c>
      <c r="P26">
        <f>calSolderNum(H26,基本公式!$B$189,基本公式!$B$7)</f>
        <v>28351</v>
      </c>
      <c r="Q26">
        <f t="shared" si="0"/>
        <v>28351</v>
      </c>
      <c r="R26">
        <v>140</v>
      </c>
      <c r="S26">
        <v>140</v>
      </c>
      <c r="T26">
        <f>ROUND(P26*基本公式!$B$212,0)</f>
        <v>447316</v>
      </c>
      <c r="U26">
        <f>ROUND(Q26*基本公式!$B$213,0)</f>
        <v>399277</v>
      </c>
      <c r="V26" s="5">
        <v>1</v>
      </c>
      <c r="W26" s="5">
        <v>1</v>
      </c>
    </row>
    <row r="27" spans="1:23">
      <c r="A27">
        <v>26</v>
      </c>
      <c r="B27" s="82">
        <f t="shared" si="6"/>
        <v>2066800</v>
      </c>
      <c r="C27" s="10">
        <f t="shared" si="1"/>
        <v>270900</v>
      </c>
      <c r="D27">
        <f>D26+3</f>
        <v>38</v>
      </c>
      <c r="E27" s="10">
        <f t="shared" si="2"/>
        <v>460332</v>
      </c>
      <c r="H27">
        <v>26</v>
      </c>
      <c r="I27" s="91">
        <f t="shared" si="3"/>
        <v>7129.5</v>
      </c>
      <c r="J27">
        <f t="shared" si="4"/>
        <v>6725</v>
      </c>
      <c r="K27">
        <f t="shared" si="5"/>
        <v>7534</v>
      </c>
      <c r="L27" s="23">
        <f>(V27+(1-W27))/2*(POWER(U27/T27,基本公式!$B$207)+POWER(S27/R27,基本公式!$B$208))/2*基本公式!$B$206</f>
        <v>236.57556418131557</v>
      </c>
      <c r="M27" s="23">
        <f>(W27+(1-V27))/2*(POWER(T27/U27,基本公式!$B$207)+POWER(R27/S27,基本公式!$B$208))/2*基本公式!$B$206</f>
        <v>265.03962350222702</v>
      </c>
      <c r="N27" s="23">
        <f>POWER(P27+Q27+基本公式!$B$209,基本公式!$B$210)/基本公式!$B$211</f>
        <v>28.426141373212509</v>
      </c>
      <c r="O27" s="66">
        <f>ROUND(POWER(P27,基本公式!$B$201)/兵消耗!$J$21*基本公式!$B$202,0)</f>
        <v>12114</v>
      </c>
      <c r="P27">
        <f>calSolderNum(H27,基本公式!$B$189,基本公式!$B$7)</f>
        <v>30975</v>
      </c>
      <c r="Q27">
        <f t="shared" si="0"/>
        <v>30975</v>
      </c>
      <c r="R27">
        <v>140</v>
      </c>
      <c r="S27">
        <v>140</v>
      </c>
      <c r="T27">
        <f>ROUND(P27*基本公式!$B$212,0)</f>
        <v>488717</v>
      </c>
      <c r="U27">
        <f>ROUND(Q27*基本公式!$B$213,0)</f>
        <v>436231</v>
      </c>
      <c r="V27" s="5">
        <v>1</v>
      </c>
      <c r="W27" s="5">
        <v>1</v>
      </c>
    </row>
    <row r="28" spans="1:23">
      <c r="A28">
        <v>27</v>
      </c>
      <c r="B28" s="82">
        <f t="shared" si="6"/>
        <v>2378400</v>
      </c>
      <c r="C28" s="10">
        <f t="shared" si="1"/>
        <v>308100</v>
      </c>
      <c r="D28">
        <f t="shared" ref="D28:D31" si="9">D27+3</f>
        <v>41</v>
      </c>
      <c r="E28" s="10">
        <f t="shared" si="2"/>
        <v>564898</v>
      </c>
      <c r="H28">
        <v>27</v>
      </c>
      <c r="I28" s="91">
        <f t="shared" si="3"/>
        <v>7513.5</v>
      </c>
      <c r="J28">
        <f t="shared" si="4"/>
        <v>7087</v>
      </c>
      <c r="K28">
        <f t="shared" si="5"/>
        <v>7940</v>
      </c>
      <c r="L28" s="23">
        <f>(V28+(1-W28))/2*(POWER(U28/T28,基本公式!$B$207)+POWER(S28/R28,基本公式!$B$208))/2*基本公式!$B$206</f>
        <v>236.57582159624414</v>
      </c>
      <c r="M28" s="23">
        <f>(W28+(1-V28))/2*(POWER(T28/U28,基本公式!$B$207)+POWER(R28/S28,基本公式!$B$208))/2*基本公式!$B$206</f>
        <v>265.03930041888191</v>
      </c>
      <c r="N28" s="23">
        <f>POWER(P28+Q28+基本公式!$B$209,基本公式!$B$210)/基本公式!$B$211</f>
        <v>29.956094206772747</v>
      </c>
      <c r="O28" s="66">
        <f>ROUND(POWER(P28,基本公式!$B$201)/兵消耗!$J$21*基本公式!$B$202,0)</f>
        <v>13778</v>
      </c>
      <c r="P28">
        <f>calSolderNum(H28,基本公式!$B$189,基本公式!$B$7)</f>
        <v>33750</v>
      </c>
      <c r="Q28">
        <f t="shared" si="0"/>
        <v>33750</v>
      </c>
      <c r="R28">
        <v>140</v>
      </c>
      <c r="S28">
        <v>140</v>
      </c>
      <c r="T28">
        <f>ROUND(P28*基本公式!$B$212,0)</f>
        <v>532500</v>
      </c>
      <c r="U28">
        <f>ROUND(Q28*基本公式!$B$213,0)</f>
        <v>475313</v>
      </c>
      <c r="V28" s="5">
        <v>1</v>
      </c>
      <c r="W28" s="5">
        <v>1</v>
      </c>
    </row>
    <row r="29" spans="1:23">
      <c r="A29">
        <v>28</v>
      </c>
      <c r="B29" s="82">
        <f t="shared" si="6"/>
        <v>2731000</v>
      </c>
      <c r="C29" s="10">
        <f t="shared" si="1"/>
        <v>348600</v>
      </c>
      <c r="D29">
        <f t="shared" si="9"/>
        <v>44</v>
      </c>
      <c r="E29" s="10">
        <f t="shared" si="2"/>
        <v>688864</v>
      </c>
      <c r="H29">
        <v>28</v>
      </c>
      <c r="I29" s="91">
        <f t="shared" si="3"/>
        <v>7922.5</v>
      </c>
      <c r="J29">
        <f t="shared" si="4"/>
        <v>7473</v>
      </c>
      <c r="K29">
        <f t="shared" si="5"/>
        <v>8372</v>
      </c>
      <c r="L29" s="23">
        <f>(V29+(1-W29))/2*(POWER(U29/T29,基本公式!$B$207)+POWER(S29/R29,基本公式!$B$208))/2*基本公式!$B$206</f>
        <v>236.57587615744535</v>
      </c>
      <c r="M29" s="23">
        <f>(W29+(1-V29))/2*(POWER(T29/U29,基本公式!$B$207)+POWER(R29/S29,基本公式!$B$208))/2*基本公式!$B$206</f>
        <v>265.0392319389137</v>
      </c>
      <c r="N29" s="23">
        <f>POWER(P29+Q29+基本公式!$B$209,基本公式!$B$210)/基本公式!$B$211</f>
        <v>31.588429471152818</v>
      </c>
      <c r="O29" s="66">
        <f>ROUND(POWER(P29,基本公式!$B$201)/兵消耗!$J$21*基本公式!$B$202,0)</f>
        <v>15656</v>
      </c>
      <c r="P29">
        <f>calSolderNum(H29,基本公式!$B$189,基本公式!$B$7)</f>
        <v>36750</v>
      </c>
      <c r="Q29">
        <f t="shared" si="0"/>
        <v>36750</v>
      </c>
      <c r="R29">
        <v>140</v>
      </c>
      <c r="S29">
        <v>140</v>
      </c>
      <c r="T29">
        <f>ROUND(P29*基本公式!$B$212,0)</f>
        <v>579833</v>
      </c>
      <c r="U29">
        <f>ROUND(Q29*基本公式!$B$213,0)</f>
        <v>517563</v>
      </c>
      <c r="V29" s="5">
        <v>1</v>
      </c>
      <c r="W29" s="5">
        <v>1</v>
      </c>
    </row>
    <row r="30" spans="1:23">
      <c r="A30">
        <v>29</v>
      </c>
      <c r="B30" s="82">
        <f t="shared" si="6"/>
        <v>3131600</v>
      </c>
      <c r="C30" s="10">
        <f t="shared" si="1"/>
        <v>396100</v>
      </c>
      <c r="D30">
        <f t="shared" si="9"/>
        <v>47</v>
      </c>
      <c r="E30" s="10">
        <f t="shared" si="2"/>
        <v>851264</v>
      </c>
      <c r="H30">
        <v>29</v>
      </c>
      <c r="I30" s="91">
        <f t="shared" si="3"/>
        <v>8427</v>
      </c>
      <c r="J30">
        <f t="shared" si="4"/>
        <v>7949</v>
      </c>
      <c r="K30">
        <f t="shared" si="5"/>
        <v>8905</v>
      </c>
      <c r="L30" s="23">
        <f>(V30+(1-W30))/2*(POWER(U30/T30,基本公式!$B$207)+POWER(S30/R30,基本公式!$B$208))/2*基本公式!$B$206</f>
        <v>236.57570422535213</v>
      </c>
      <c r="M30" s="23">
        <f>(W30+(1-V30))/2*(POWER(T30/U30,基本公式!$B$207)+POWER(R30/S30,基本公式!$B$208))/2*基本公式!$B$206</f>
        <v>265.03944773175544</v>
      </c>
      <c r="N30" s="23">
        <f>POWER(P30+Q30+基本公式!$B$209,基本公式!$B$210)/基本公式!$B$211</f>
        <v>33.599734394170639</v>
      </c>
      <c r="O30" s="66">
        <f>ROUND(POWER(P30,基本公式!$B$201)/兵消耗!$J$21*基本公式!$B$202,0)</f>
        <v>18112</v>
      </c>
      <c r="P30">
        <f>calSolderNum(H30,基本公式!$B$189,基本公式!$B$7)</f>
        <v>40500</v>
      </c>
      <c r="Q30">
        <f t="shared" si="0"/>
        <v>40500</v>
      </c>
      <c r="R30">
        <v>140</v>
      </c>
      <c r="S30">
        <v>140</v>
      </c>
      <c r="T30">
        <f>ROUND(P30*基本公式!$B$212,0)</f>
        <v>639000</v>
      </c>
      <c r="U30">
        <f>ROUND(Q30*基本公式!$B$213,0)</f>
        <v>570375</v>
      </c>
      <c r="V30" s="5">
        <v>1</v>
      </c>
      <c r="W30" s="5">
        <v>1</v>
      </c>
    </row>
    <row r="31" spans="1:23">
      <c r="A31">
        <v>30</v>
      </c>
      <c r="B31" s="82">
        <f t="shared" si="6"/>
        <v>3587900</v>
      </c>
      <c r="C31" s="10">
        <f t="shared" si="1"/>
        <v>451200</v>
      </c>
      <c r="D31">
        <f t="shared" si="9"/>
        <v>50</v>
      </c>
      <c r="E31" s="10">
        <f t="shared" si="2"/>
        <v>1060650</v>
      </c>
      <c r="H31">
        <v>30</v>
      </c>
      <c r="I31" s="91">
        <f t="shared" si="3"/>
        <v>9023</v>
      </c>
      <c r="J31">
        <f t="shared" si="4"/>
        <v>8511</v>
      </c>
      <c r="K31">
        <f t="shared" si="5"/>
        <v>9535</v>
      </c>
      <c r="L31" s="23">
        <f>(V31+(1-W31))/2*(POWER(U31/T31,基本公式!$B$207)+POWER(S31/R31,基本公式!$B$208))/2*基本公式!$B$206</f>
        <v>236.57570422535213</v>
      </c>
      <c r="M31" s="23">
        <f>(W31+(1-V31))/2*(POWER(T31/U31,基本公式!$B$207)+POWER(R31/S31,基本公式!$B$208))/2*基本公式!$B$206</f>
        <v>265.03944773175544</v>
      </c>
      <c r="N31" s="23">
        <f>POWER(P31+Q31+基本公式!$B$209,基本公式!$B$210)/基本公式!$B$211</f>
        <v>35.974344843296372</v>
      </c>
      <c r="O31" s="66">
        <f>ROUND(POWER(P31,基本公式!$B$201)/兵消耗!$J$21*基本公式!$B$202,0)</f>
        <v>21213</v>
      </c>
      <c r="P31">
        <f>calSolderNum(H31,基本公式!$B$189,基本公式!$B$7)</f>
        <v>45000</v>
      </c>
      <c r="Q31">
        <f t="shared" si="0"/>
        <v>45000</v>
      </c>
      <c r="R31">
        <v>140</v>
      </c>
      <c r="S31">
        <v>140</v>
      </c>
      <c r="T31">
        <f>ROUND(P31*基本公式!$B$212,0)</f>
        <v>710000</v>
      </c>
      <c r="U31">
        <f>ROUND(Q31*基本公式!$B$213,0)</f>
        <v>633750</v>
      </c>
      <c r="V31" s="5">
        <v>1</v>
      </c>
      <c r="W31" s="5">
        <v>1</v>
      </c>
    </row>
    <row r="32" spans="1:23">
      <c r="O32" s="93"/>
    </row>
    <row r="33" spans="8:23">
      <c r="H33" t="s">
        <v>1086</v>
      </c>
      <c r="I33" s="91">
        <f>AVERAGE(J33:K33)</f>
        <v>2399</v>
      </c>
      <c r="J33">
        <f>ROUND(L33*N33,0)</f>
        <v>2263</v>
      </c>
      <c r="K33">
        <f>ROUND(M33*N33,0)</f>
        <v>2535</v>
      </c>
      <c r="L33" s="23">
        <f>(V33+(1-W33))/2*(POWER(U33/T33,基本公式!$B$207)+POWER(S33/R33,基本公式!$B$208))/2*基本公式!$B$206</f>
        <v>236.57941437444543</v>
      </c>
      <c r="M33" s="23">
        <f>(W33+(1-V33))/2*(POWER(T33/U33,基本公式!$B$207)+POWER(R33/S33,基本公式!$B$208))/2*基本公式!$B$206</f>
        <v>265.03479125248509</v>
      </c>
      <c r="N33" s="23">
        <f>POWER(P33+Q33+基本公式!$B$209,基本公式!$B$210)/基本公式!$B$211</f>
        <v>9.5643218255233204</v>
      </c>
      <c r="P33">
        <v>500</v>
      </c>
      <c r="Q33">
        <v>500</v>
      </c>
      <c r="R33">
        <v>140</v>
      </c>
      <c r="S33">
        <v>140</v>
      </c>
      <c r="T33">
        <f>ROUND(P33*基本公式!$B$212,0)</f>
        <v>7889</v>
      </c>
      <c r="U33">
        <f>ROUND(Q33*基本公式!$B$213,0)</f>
        <v>7042</v>
      </c>
      <c r="V33" s="5">
        <v>1</v>
      </c>
      <c r="W33" s="5">
        <v>1</v>
      </c>
    </row>
    <row r="34" spans="8:23">
      <c r="H34" t="s">
        <v>1096</v>
      </c>
      <c r="I34" s="91">
        <f t="shared" ref="I34:I80" si="10">AVERAGE(J34:K34)</f>
        <v>2469.5</v>
      </c>
      <c r="J34">
        <f t="shared" ref="J34:J80" si="11">ROUND(L34*N34,0)</f>
        <v>2421</v>
      </c>
      <c r="K34">
        <f t="shared" ref="K34:K80" si="12">ROUND(M34*N34,0)</f>
        <v>2518</v>
      </c>
      <c r="L34" s="23">
        <f>(V34+(1-W34))/2*(POWER(U34/T34,基本公式!$B$207)+POWER(S34/R34,基本公式!$B$208))/2*基本公式!$B$206</f>
        <v>253.10559006211176</v>
      </c>
      <c r="M34" s="23">
        <f>(W34+(1-V34))/2*(POWER(T34/U34,基本公式!$B$207)+POWER(R34/S34,基本公式!$B$208))/2*基本公式!$B$206</f>
        <v>263.29522862823063</v>
      </c>
      <c r="N34" s="23">
        <f>POWER(P34+Q34+基本公式!$B$209,基本公式!$B$210)/基本公式!$B$211</f>
        <v>9.5643218255233204</v>
      </c>
      <c r="P34">
        <v>500</v>
      </c>
      <c r="Q34">
        <v>500</v>
      </c>
      <c r="R34">
        <v>70</v>
      </c>
      <c r="S34">
        <v>280</v>
      </c>
      <c r="T34">
        <f>ROUND(P34*基本公式!$B$212,0)</f>
        <v>7889</v>
      </c>
      <c r="U34">
        <f>ROUND(Q34*基本公式!$B$213,0)</f>
        <v>7042</v>
      </c>
      <c r="V34" s="5">
        <v>0.7</v>
      </c>
      <c r="W34" s="5">
        <v>1</v>
      </c>
    </row>
    <row r="35" spans="8:23">
      <c r="H35" t="s">
        <v>1097</v>
      </c>
      <c r="I35" s="91">
        <f t="shared" si="10"/>
        <v>2387.5</v>
      </c>
      <c r="J35">
        <f t="shared" si="11"/>
        <v>2164</v>
      </c>
      <c r="K35">
        <f t="shared" si="12"/>
        <v>2611</v>
      </c>
      <c r="L35" s="23">
        <f>(V35+(1-W35))/2*(POWER(U35/T35,基本公式!$B$207)+POWER(S35/R35,基本公式!$B$208))/2*基本公式!$B$206</f>
        <v>226.30323868677908</v>
      </c>
      <c r="M35" s="23">
        <f>(W35+(1-V35))/2*(POWER(T35/U35,基本公式!$B$207)+POWER(R35/S35,基本公式!$B$208))/2*基本公式!$B$206</f>
        <v>273.0243538767395</v>
      </c>
      <c r="N35" s="23">
        <f>POWER(P35+Q35+基本公式!$B$209,基本公式!$B$210)/基本公式!$B$211</f>
        <v>9.5643218255233204</v>
      </c>
      <c r="P35">
        <v>500</v>
      </c>
      <c r="Q35">
        <v>500</v>
      </c>
      <c r="R35">
        <v>280</v>
      </c>
      <c r="S35">
        <v>70</v>
      </c>
      <c r="T35">
        <f>ROUND(P35*基本公式!$B$212,0)</f>
        <v>7889</v>
      </c>
      <c r="U35">
        <f>ROUND(Q35*基本公式!$B$213,0)</f>
        <v>7042</v>
      </c>
      <c r="V35" s="5">
        <v>1</v>
      </c>
      <c r="W35" s="5">
        <v>0.7</v>
      </c>
    </row>
    <row r="36" spans="8:23">
      <c r="H36" t="s">
        <v>1098</v>
      </c>
      <c r="I36" s="91">
        <f t="shared" si="10"/>
        <v>2476</v>
      </c>
      <c r="J36">
        <f t="shared" si="11"/>
        <v>2079</v>
      </c>
      <c r="K36">
        <f t="shared" si="12"/>
        <v>2873</v>
      </c>
      <c r="L36" s="23">
        <f>(V36+(1-W36))/2*(POWER(U36/T36,基本公式!$B$207)+POWER(S36/R36,基本公式!$B$208))/2*基本公式!$B$206</f>
        <v>186.11199138040311</v>
      </c>
      <c r="M36" s="23">
        <f>(W36+(1-V36))/2*(POWER(T36/U36,基本公式!$B$207)+POWER(R36/S36,基本公式!$B$208))/2*基本公式!$B$206</f>
        <v>257.15754008265054</v>
      </c>
      <c r="N36" s="23">
        <f>POWER(P36+Q36+基本公式!$B$209,基本公式!$B$210)/基本公式!$B$211</f>
        <v>11.17148456014427</v>
      </c>
      <c r="P36">
        <v>500</v>
      </c>
      <c r="Q36">
        <v>5000</v>
      </c>
      <c r="R36">
        <v>140</v>
      </c>
      <c r="S36">
        <v>140</v>
      </c>
      <c r="T36">
        <f>ROUND(P36*基本公式!$B$212,0)</f>
        <v>7889</v>
      </c>
      <c r="U36">
        <f>ROUND(Q36*基本公式!$B$213,0)</f>
        <v>70417</v>
      </c>
      <c r="V36" s="5">
        <v>0.15</v>
      </c>
      <c r="W36" s="5">
        <v>1</v>
      </c>
    </row>
    <row r="37" spans="8:23">
      <c r="H37" t="s">
        <v>1099</v>
      </c>
      <c r="I37" s="91">
        <f t="shared" si="10"/>
        <v>1431</v>
      </c>
      <c r="J37">
        <f t="shared" si="11"/>
        <v>1221</v>
      </c>
      <c r="K37">
        <f t="shared" si="12"/>
        <v>1641</v>
      </c>
      <c r="L37" s="23">
        <f>(V37+(1-W37))/2*(POWER(U37/T37,基本公式!$B$207)+POWER(S37/R37,基本公式!$B$208))/2*基本公式!$B$206</f>
        <v>109.259728736215</v>
      </c>
      <c r="M37" s="23">
        <f>(W37+(1-V37))/2*(POWER(T37/U37,基本公式!$B$207)+POWER(R37/S37,基本公式!$B$208))/2*基本公式!$B$206</f>
        <v>146.8878253830751</v>
      </c>
      <c r="N37" s="23">
        <f>POWER(P37+Q37+基本公式!$B$209,基本公式!$B$210)/基本公式!$B$211</f>
        <v>11.17148456014427</v>
      </c>
      <c r="P37">
        <v>500</v>
      </c>
      <c r="Q37">
        <v>5000</v>
      </c>
      <c r="R37">
        <v>70</v>
      </c>
      <c r="S37">
        <v>280</v>
      </c>
      <c r="T37">
        <f>ROUND(P37*基本公式!$B$212,0)</f>
        <v>7889</v>
      </c>
      <c r="U37">
        <f>ROUND(Q37*基本公式!$B$213,0)</f>
        <v>70417</v>
      </c>
      <c r="V37" s="5">
        <v>0.08</v>
      </c>
      <c r="W37" s="5">
        <v>1</v>
      </c>
    </row>
    <row r="38" spans="8:23">
      <c r="H38" t="s">
        <v>1100</v>
      </c>
      <c r="I38" s="91">
        <f t="shared" si="10"/>
        <v>4123.5</v>
      </c>
      <c r="J38">
        <f t="shared" si="11"/>
        <v>3027</v>
      </c>
      <c r="K38">
        <f t="shared" si="12"/>
        <v>5220</v>
      </c>
      <c r="L38" s="23">
        <f>(V38+(1-W38))/2*(POWER(U38/T38,基本公式!$B$207)+POWER(S38/R38,基本公式!$B$208))/2*基本公式!$B$206</f>
        <v>270.99672011661806</v>
      </c>
      <c r="M38" s="23">
        <f>(W38+(1-V38))/2*(POWER(T38/U38,基本公式!$B$207)+POWER(R38/S38,基本公式!$B$208))/2*基本公式!$B$206</f>
        <v>467.28721402502237</v>
      </c>
      <c r="N38" s="23">
        <f>POWER(P38+Q38+基本公式!$B$209,基本公式!$B$210)/基本公式!$B$211</f>
        <v>11.17148456014427</v>
      </c>
      <c r="P38">
        <v>500</v>
      </c>
      <c r="Q38">
        <v>5000</v>
      </c>
      <c r="R38">
        <v>280</v>
      </c>
      <c r="S38">
        <v>70</v>
      </c>
      <c r="T38">
        <f>ROUND(P38*基本公式!$B$212,0)</f>
        <v>7889</v>
      </c>
      <c r="U38">
        <f>ROUND(Q38*基本公式!$B$213,0)</f>
        <v>70417</v>
      </c>
      <c r="V38" s="5">
        <v>0.23</v>
      </c>
      <c r="W38" s="5">
        <v>1</v>
      </c>
    </row>
    <row r="39" spans="8:23">
      <c r="H39" t="s">
        <v>1101</v>
      </c>
      <c r="I39" s="91">
        <f t="shared" si="10"/>
        <v>4603</v>
      </c>
      <c r="J39">
        <f t="shared" si="11"/>
        <v>5195</v>
      </c>
      <c r="K39">
        <f t="shared" si="12"/>
        <v>4011</v>
      </c>
      <c r="L39" s="23">
        <f>(V39+(1-W39))/2*(POWER(U39/T39,基本公式!$B$207)+POWER(S39/R39,基本公式!$B$208))/2*基本公式!$B$206</f>
        <v>321.15794143744461</v>
      </c>
      <c r="M39" s="23">
        <f>(W39+(1-V39))/2*(POWER(T39/U39,基本公式!$B$207)+POWER(R39/S39,基本公式!$B$208))/2*基本公式!$B$206</f>
        <v>248.00699052427157</v>
      </c>
      <c r="N39" s="23">
        <f>POWER(P39+Q39+基本公式!$B$209,基本公式!$B$210)/基本公式!$B$211</f>
        <v>16.174943184321087</v>
      </c>
      <c r="P39">
        <v>500</v>
      </c>
      <c r="Q39">
        <v>20000</v>
      </c>
      <c r="R39">
        <v>140</v>
      </c>
      <c r="S39">
        <v>140</v>
      </c>
      <c r="T39">
        <f>ROUND(P39*基本公式!$B$212,0)</f>
        <v>7889</v>
      </c>
      <c r="U39">
        <f>ROUND(Q39*基本公式!$B$213,0)</f>
        <v>281667</v>
      </c>
      <c r="V39" s="5">
        <v>7.0000000000000007E-2</v>
      </c>
      <c r="W39" s="5">
        <v>1</v>
      </c>
    </row>
    <row r="40" spans="8:23">
      <c r="H40" t="s">
        <v>1102</v>
      </c>
      <c r="I40" s="91">
        <f t="shared" si="10"/>
        <v>2195</v>
      </c>
      <c r="J40">
        <f t="shared" si="11"/>
        <v>2287</v>
      </c>
      <c r="K40">
        <f t="shared" si="12"/>
        <v>2103</v>
      </c>
      <c r="L40" s="23">
        <f>(V40+(1-W40))/2*(POWER(U40/T40,基本公式!$B$207)+POWER(S40/R40,基本公式!$B$208))/2*基本公式!$B$206</f>
        <v>141.3891177589048</v>
      </c>
      <c r="M40" s="23">
        <f>(W40+(1-V40))/2*(POWER(T40/U40,基本公式!$B$207)+POWER(R40/S40,基本公式!$B$208))/2*基本公式!$B$206</f>
        <v>130.02203177866059</v>
      </c>
      <c r="N40" s="23">
        <f>POWER(P40+Q40+基本公式!$B$209,基本公式!$B$210)/基本公式!$B$211</f>
        <v>16.174943184321087</v>
      </c>
      <c r="P40">
        <v>500</v>
      </c>
      <c r="Q40">
        <v>20000</v>
      </c>
      <c r="R40">
        <v>70</v>
      </c>
      <c r="S40">
        <v>280</v>
      </c>
      <c r="T40">
        <f>ROUND(P40*基本公式!$B$212,0)</f>
        <v>7889</v>
      </c>
      <c r="U40">
        <f>ROUND(Q40*基本公式!$B$213,0)</f>
        <v>281667</v>
      </c>
      <c r="V40" s="5">
        <v>0.03</v>
      </c>
      <c r="W40" s="5">
        <v>1</v>
      </c>
    </row>
    <row r="41" spans="8:23">
      <c r="H41" t="s">
        <v>1103</v>
      </c>
      <c r="I41" s="91">
        <f t="shared" si="10"/>
        <v>7901</v>
      </c>
      <c r="J41">
        <f t="shared" si="11"/>
        <v>8052</v>
      </c>
      <c r="K41">
        <f t="shared" si="12"/>
        <v>7750</v>
      </c>
      <c r="L41" s="23">
        <f>(V41+(1-W41))/2*(POWER(U41/T41,基本公式!$B$207)+POWER(S41/R41,基本公式!$B$208))/2*基本公式!$B$206</f>
        <v>497.80176511598427</v>
      </c>
      <c r="M41" s="23">
        <f>(W41+(1-V41))/2*(POWER(T41/U41,基本公式!$B$207)+POWER(R41/S41,基本公式!$B$208))/2*基本公式!$B$206</f>
        <v>479.11694926988253</v>
      </c>
      <c r="N41" s="23">
        <f>POWER(P41+Q41+基本公式!$B$209,基本公式!$B$210)/基本公式!$B$211</f>
        <v>16.174943184321087</v>
      </c>
      <c r="P41">
        <v>500</v>
      </c>
      <c r="Q41">
        <v>20000</v>
      </c>
      <c r="R41">
        <v>280</v>
      </c>
      <c r="S41">
        <v>70</v>
      </c>
      <c r="T41">
        <f>ROUND(P41*基本公式!$B$212,0)</f>
        <v>7889</v>
      </c>
      <c r="U41">
        <f>ROUND(Q41*基本公式!$B$213,0)</f>
        <v>281667</v>
      </c>
      <c r="V41" s="5">
        <v>0.11</v>
      </c>
      <c r="W41" s="5">
        <v>1</v>
      </c>
    </row>
    <row r="42" spans="8:23">
      <c r="H42" t="s">
        <v>1104</v>
      </c>
      <c r="I42" s="91">
        <f t="shared" si="10"/>
        <v>5392.5</v>
      </c>
      <c r="J42">
        <f t="shared" si="11"/>
        <v>4831</v>
      </c>
      <c r="K42">
        <f t="shared" si="12"/>
        <v>5954</v>
      </c>
      <c r="L42" s="23">
        <f>(V42+(1-W42))/2*(POWER(U42/T42,基本公式!$B$207)+POWER(S42/R42,基本公式!$B$208))/2*基本公式!$B$206</f>
        <v>203.33343896564838</v>
      </c>
      <c r="M42" s="23">
        <f>(W42+(1-V42))/2*(POWER(T42/U42,基本公式!$B$207)+POWER(R42/S42,基本公式!$B$208))/2*基本公式!$B$206</f>
        <v>250.58091124260358</v>
      </c>
      <c r="N42" s="23">
        <f>POWER(P42+Q42+基本公式!$B$209,基本公式!$B$210)/基本公式!$B$211</f>
        <v>23.761386867671209</v>
      </c>
      <c r="P42">
        <v>500</v>
      </c>
      <c r="Q42">
        <v>45000</v>
      </c>
      <c r="R42">
        <v>140</v>
      </c>
      <c r="S42">
        <v>140</v>
      </c>
      <c r="T42">
        <f>ROUND(P42*基本公式!$B$212,0)</f>
        <v>7889</v>
      </c>
      <c r="U42">
        <f>ROUND(Q42*基本公式!$B$213,0)</f>
        <v>633750</v>
      </c>
      <c r="V42" s="5">
        <v>0.02</v>
      </c>
      <c r="W42" s="5">
        <v>1</v>
      </c>
    </row>
    <row r="43" spans="8:23">
      <c r="H43" t="s">
        <v>1105</v>
      </c>
      <c r="I43" s="91">
        <f t="shared" si="10"/>
        <v>2130</v>
      </c>
      <c r="J43">
        <f t="shared" si="11"/>
        <v>1223</v>
      </c>
      <c r="K43">
        <f t="shared" si="12"/>
        <v>3037</v>
      </c>
      <c r="L43" s="23">
        <f>(V43+(1-W43))/2*(POWER(U43/T43,基本公式!$B$207)+POWER(S43/R43,基本公式!$B$208))/2*基本公式!$B$206</f>
        <v>51.458359741412096</v>
      </c>
      <c r="M43" s="23">
        <f>(W43+(1-V43))/2*(POWER(T43/U43,基本公式!$B$207)+POWER(R43/S43,基本公式!$B$208))/2*基本公式!$B$206</f>
        <v>127.79175147928996</v>
      </c>
      <c r="N43" s="23">
        <f>POWER(P43+Q43+基本公式!$B$209,基本公式!$B$210)/基本公式!$B$211</f>
        <v>23.761386867671209</v>
      </c>
      <c r="P43">
        <v>500</v>
      </c>
      <c r="Q43">
        <v>45000</v>
      </c>
      <c r="R43">
        <v>70</v>
      </c>
      <c r="S43">
        <v>280</v>
      </c>
      <c r="T43">
        <f>ROUND(P43*基本公式!$B$212,0)</f>
        <v>7889</v>
      </c>
      <c r="U43">
        <f>ROUND(Q43*基本公式!$B$213,0)</f>
        <v>633750</v>
      </c>
      <c r="V43" s="5">
        <v>5.0000000000000001E-3</v>
      </c>
      <c r="W43" s="5">
        <v>1</v>
      </c>
    </row>
    <row r="44" spans="8:23">
      <c r="H44" t="s">
        <v>1106</v>
      </c>
      <c r="I44" s="91">
        <f t="shared" si="10"/>
        <v>10074</v>
      </c>
      <c r="J44">
        <f t="shared" si="11"/>
        <v>8403</v>
      </c>
      <c r="K44">
        <f t="shared" si="12"/>
        <v>11745</v>
      </c>
      <c r="L44" s="23">
        <f>(V44+(1-W44))/2*(POWER(U44/T44,基本公式!$B$207)+POWER(S44/R44,基本公式!$B$208))/2*基本公式!$B$206</f>
        <v>353.64601818988467</v>
      </c>
      <c r="M44" s="23">
        <f>(W44+(1-V44))/2*(POWER(T44/U44,基本公式!$B$207)+POWER(R44/S44,基本公式!$B$208))/2*基本公式!$B$206</f>
        <v>494.30757100591711</v>
      </c>
      <c r="N44" s="23">
        <f>POWER(P44+Q44+基本公式!$B$209,基本公式!$B$210)/基本公式!$B$211</f>
        <v>23.761386867671209</v>
      </c>
      <c r="P44">
        <v>500</v>
      </c>
      <c r="Q44">
        <v>45000</v>
      </c>
      <c r="R44">
        <v>280</v>
      </c>
      <c r="S44">
        <v>70</v>
      </c>
      <c r="T44">
        <f>ROUND(P44*基本公式!$B$212,0)</f>
        <v>7889</v>
      </c>
      <c r="U44">
        <f>ROUND(Q44*基本公式!$B$213,0)</f>
        <v>633750</v>
      </c>
      <c r="V44" s="5">
        <v>3.5000000000000003E-2</v>
      </c>
      <c r="W44" s="5">
        <v>1</v>
      </c>
    </row>
    <row r="45" spans="8:23">
      <c r="H45" t="s">
        <v>1107</v>
      </c>
      <c r="I45" s="91">
        <f t="shared" si="10"/>
        <v>2685</v>
      </c>
      <c r="J45">
        <f t="shared" si="11"/>
        <v>2814</v>
      </c>
      <c r="K45">
        <f t="shared" si="12"/>
        <v>2556</v>
      </c>
      <c r="L45" s="23">
        <f>(V45+(1-W45))/2*(POWER(U45/T45,基本公式!$B$207)+POWER(S45/R45,基本公式!$B$208))/2*基本公式!$B$206</f>
        <v>251.89245332048833</v>
      </c>
      <c r="M45" s="23">
        <f>(W45+(1-V45))/2*(POWER(T45/U45,基本公式!$B$207)+POWER(R45/S45,基本公式!$B$208))/2*基本公式!$B$206</f>
        <v>228.79952428287416</v>
      </c>
      <c r="N45" s="23">
        <f>POWER(P45+Q45+基本公式!$B$209,基本公式!$B$210)/基本公式!$B$211</f>
        <v>11.17148456014427</v>
      </c>
      <c r="P45">
        <v>5000</v>
      </c>
      <c r="Q45">
        <v>500</v>
      </c>
      <c r="R45">
        <v>140</v>
      </c>
      <c r="S45">
        <v>140</v>
      </c>
      <c r="T45">
        <f>ROUND(P45*基本公式!$B$212,0)</f>
        <v>78889</v>
      </c>
      <c r="U45">
        <f>ROUND(Q45*基本公式!$B$213,0)</f>
        <v>7042</v>
      </c>
      <c r="V45" s="5">
        <v>1</v>
      </c>
      <c r="W45" s="5">
        <v>0.15</v>
      </c>
    </row>
    <row r="46" spans="8:23">
      <c r="H46" t="s">
        <v>1108</v>
      </c>
      <c r="I46" s="91">
        <f t="shared" si="10"/>
        <v>4461.5</v>
      </c>
      <c r="J46">
        <f t="shared" si="11"/>
        <v>5164</v>
      </c>
      <c r="K46">
        <f t="shared" si="12"/>
        <v>3759</v>
      </c>
      <c r="L46" s="23">
        <f>(V46+(1-W46))/2*(POWER(U46/T46,基本公式!$B$207)+POWER(S46/R46,基本公式!$B$208))/2*基本公式!$B$206</f>
        <v>462.2498066904131</v>
      </c>
      <c r="M46" s="23">
        <f>(W46+(1-V46))/2*(POWER(T46/U46,基本公式!$B$207)+POWER(R46/S46,基本公式!$B$208))/2*基本公式!$B$206</f>
        <v>336.45093723374043</v>
      </c>
      <c r="N46" s="23">
        <f>POWER(P46+Q46+基本公式!$B$209,基本公式!$B$210)/基本公式!$B$211</f>
        <v>11.17148456014427</v>
      </c>
      <c r="P46">
        <v>5000</v>
      </c>
      <c r="Q46">
        <v>500</v>
      </c>
      <c r="R46">
        <v>70</v>
      </c>
      <c r="S46">
        <v>280</v>
      </c>
      <c r="T46">
        <f>ROUND(P46*基本公式!$B$212,0)</f>
        <v>78889</v>
      </c>
      <c r="U46">
        <f>ROUND(Q46*基本公式!$B$213,0)</f>
        <v>7042</v>
      </c>
      <c r="V46" s="5">
        <v>1</v>
      </c>
      <c r="W46" s="5">
        <v>0.23</v>
      </c>
    </row>
    <row r="47" spans="8:23">
      <c r="H47" t="s">
        <v>1109</v>
      </c>
      <c r="I47" s="91">
        <f t="shared" si="10"/>
        <v>1439.5</v>
      </c>
      <c r="J47">
        <f t="shared" si="11"/>
        <v>1588</v>
      </c>
      <c r="K47">
        <f t="shared" si="12"/>
        <v>1291</v>
      </c>
      <c r="L47" s="23">
        <f>(V47+(1-W47))/2*(POWER(U47/T47,基本公式!$B$207)+POWER(S47/R47,基本公式!$B$208))/2*基本公式!$B$206</f>
        <v>142.16009995056345</v>
      </c>
      <c r="M47" s="23">
        <f>(W47+(1-V47))/2*(POWER(T47/U47,基本公式!$B$207)+POWER(R47/S47,基本公式!$B$208))/2*基本公式!$B$206</f>
        <v>115.52311133200796</v>
      </c>
      <c r="N47" s="23">
        <f>POWER(P47+Q47+基本公式!$B$209,基本公式!$B$210)/基本公式!$B$211</f>
        <v>11.17148456014427</v>
      </c>
      <c r="P47">
        <v>5000</v>
      </c>
      <c r="Q47">
        <v>500</v>
      </c>
      <c r="R47">
        <v>280</v>
      </c>
      <c r="S47">
        <v>70</v>
      </c>
      <c r="T47">
        <f>ROUND(P47*基本公式!$B$212,0)</f>
        <v>78889</v>
      </c>
      <c r="U47">
        <f>ROUND(Q47*基本公式!$B$213,0)</f>
        <v>7042</v>
      </c>
      <c r="V47" s="5">
        <v>1</v>
      </c>
      <c r="W47" s="5">
        <v>7.0000000000000007E-2</v>
      </c>
    </row>
    <row r="48" spans="8:23">
      <c r="H48" t="s">
        <v>1110</v>
      </c>
      <c r="I48" s="91">
        <f t="shared" si="10"/>
        <v>3191</v>
      </c>
      <c r="J48">
        <f t="shared" si="11"/>
        <v>3010</v>
      </c>
      <c r="K48">
        <f t="shared" si="12"/>
        <v>3372</v>
      </c>
      <c r="L48" s="23">
        <f>(V48+(1-W48))/2*(POWER(U48/T48,基本公式!$B$207)+POWER(S48/R48,基本公式!$B$208))/2*基本公式!$B$206</f>
        <v>236.57607524496444</v>
      </c>
      <c r="M48" s="23">
        <f>(W48+(1-V48))/2*(POWER(T48/U48,基本公式!$B$207)+POWER(R48/S48,基本公式!$B$208))/2*基本公式!$B$206</f>
        <v>265.03898206399026</v>
      </c>
      <c r="N48" s="23">
        <f>POWER(P48+Q48+基本公式!$B$209,基本公式!$B$210)/基本公式!$B$211</f>
        <v>12.722596365393924</v>
      </c>
      <c r="P48">
        <v>5000</v>
      </c>
      <c r="Q48">
        <v>5000</v>
      </c>
      <c r="R48">
        <v>140</v>
      </c>
      <c r="S48">
        <v>140</v>
      </c>
      <c r="T48">
        <f>ROUND(P48*基本公式!$B$212,0)</f>
        <v>78889</v>
      </c>
      <c r="U48">
        <f>ROUND(Q48*基本公式!$B$213,0)</f>
        <v>70417</v>
      </c>
      <c r="V48" s="5">
        <v>1</v>
      </c>
      <c r="W48" s="5">
        <v>1</v>
      </c>
    </row>
    <row r="49" spans="8:23">
      <c r="H49" t="s">
        <v>1111</v>
      </c>
      <c r="I49" s="91">
        <f t="shared" si="10"/>
        <v>3285</v>
      </c>
      <c r="J49">
        <f t="shared" si="11"/>
        <v>3220</v>
      </c>
      <c r="K49">
        <f t="shared" si="12"/>
        <v>3350</v>
      </c>
      <c r="L49" s="23">
        <f>(V49+(1-W49))/2*(POWER(U49/T49,基本公式!$B$207)+POWER(S49/R49,基本公式!$B$208))/2*基本公式!$B$206</f>
        <v>253.1032526714751</v>
      </c>
      <c r="M49" s="23">
        <f>(W49+(1-V49))/2*(POWER(T49/U49,基本公式!$B$207)+POWER(R49/S49,基本公式!$B$208))/2*基本公式!$B$206</f>
        <v>263.30067668318731</v>
      </c>
      <c r="N49" s="23">
        <f>POWER(P49+Q49+基本公式!$B$209,基本公式!$B$210)/基本公式!$B$211</f>
        <v>12.722596365393924</v>
      </c>
      <c r="P49">
        <v>5000</v>
      </c>
      <c r="Q49">
        <v>5000</v>
      </c>
      <c r="R49">
        <v>70</v>
      </c>
      <c r="S49">
        <v>280</v>
      </c>
      <c r="T49">
        <f>ROUND(P49*基本公式!$B$212,0)</f>
        <v>78889</v>
      </c>
      <c r="U49">
        <f>ROUND(Q49*基本公式!$B$213,0)</f>
        <v>70417</v>
      </c>
      <c r="V49" s="5">
        <v>0.7</v>
      </c>
      <c r="W49" s="5">
        <v>1</v>
      </c>
    </row>
    <row r="50" spans="8:23">
      <c r="H50" t="s">
        <v>1112</v>
      </c>
      <c r="I50" s="91">
        <f t="shared" si="10"/>
        <v>3176.5</v>
      </c>
      <c r="J50">
        <f t="shared" si="11"/>
        <v>2879</v>
      </c>
      <c r="K50">
        <f t="shared" si="12"/>
        <v>3474</v>
      </c>
      <c r="L50" s="23">
        <f>(V50+(1-W50))/2*(POWER(U50/T50,基本公式!$B$207)+POWER(S50/R50,基本公式!$B$208))/2*基本公式!$B$206</f>
        <v>226.29889781845378</v>
      </c>
      <c r="M50" s="23">
        <f>(W50+(1-V50))/2*(POWER(T50/U50,基本公式!$B$207)+POWER(R50/S50,基本公式!$B$208))/2*基本公式!$B$206</f>
        <v>273.02728744479316</v>
      </c>
      <c r="N50" s="23">
        <f>POWER(P50+Q50+基本公式!$B$209,基本公式!$B$210)/基本公式!$B$211</f>
        <v>12.722596365393924</v>
      </c>
      <c r="P50">
        <v>5000</v>
      </c>
      <c r="Q50">
        <v>5000</v>
      </c>
      <c r="R50">
        <v>280</v>
      </c>
      <c r="S50">
        <v>70</v>
      </c>
      <c r="T50">
        <f>ROUND(P50*基本公式!$B$212,0)</f>
        <v>78889</v>
      </c>
      <c r="U50">
        <f>ROUND(Q50*基本公式!$B$213,0)</f>
        <v>70417</v>
      </c>
      <c r="V50" s="5">
        <v>1</v>
      </c>
      <c r="W50" s="5">
        <v>0.7</v>
      </c>
    </row>
    <row r="51" spans="8:23">
      <c r="H51" t="s">
        <v>1113</v>
      </c>
      <c r="I51" s="91">
        <f t="shared" si="10"/>
        <v>4263</v>
      </c>
      <c r="J51">
        <f t="shared" si="11"/>
        <v>4021</v>
      </c>
      <c r="K51">
        <f t="shared" si="12"/>
        <v>4505</v>
      </c>
      <c r="L51" s="23">
        <f>(V51+(1-W51))/2*(POWER(U51/T51,基本公式!$B$207)+POWER(S51/R51,基本公式!$B$208))/2*基本公式!$B$206</f>
        <v>228.52108659001891</v>
      </c>
      <c r="M51" s="23">
        <f>(W51+(1-V51))/2*(POWER(T51/U51,基本公式!$B$207)+POWER(R51/S51,基本公式!$B$208))/2*基本公式!$B$206</f>
        <v>256.01579169728797</v>
      </c>
      <c r="N51" s="23">
        <f>POWER(P51+Q51+基本公式!$B$209,基本公式!$B$210)/基本公式!$B$211</f>
        <v>17.597410144677628</v>
      </c>
      <c r="P51">
        <v>5000</v>
      </c>
      <c r="Q51">
        <v>20000</v>
      </c>
      <c r="R51">
        <v>140</v>
      </c>
      <c r="S51">
        <v>140</v>
      </c>
      <c r="T51">
        <f>ROUND(P51*基本公式!$B$212,0)</f>
        <v>78889</v>
      </c>
      <c r="U51">
        <f>ROUND(Q51*基本公式!$B$213,0)</f>
        <v>281667</v>
      </c>
      <c r="V51" s="5">
        <v>0.4</v>
      </c>
      <c r="W51" s="5">
        <v>1</v>
      </c>
    </row>
    <row r="52" spans="8:23">
      <c r="H52" t="s">
        <v>1114</v>
      </c>
      <c r="I52" s="91">
        <f t="shared" si="10"/>
        <v>3296.5</v>
      </c>
      <c r="J52">
        <f t="shared" si="11"/>
        <v>3676</v>
      </c>
      <c r="K52">
        <f t="shared" si="12"/>
        <v>2917</v>
      </c>
      <c r="L52" s="23">
        <f>(V52+(1-W52))/2*(POWER(U52/T52,基本公式!$B$207)+POWER(S52/R52,基本公式!$B$208))/2*基本公式!$B$206</f>
        <v>208.8908149425142</v>
      </c>
      <c r="M52" s="23">
        <f>(W52+(1-V52))/2*(POWER(T52/U52,基本公式!$B$207)+POWER(R52/S52,基本公式!$B$208))/2*基本公式!$B$206</f>
        <v>165.76677867836841</v>
      </c>
      <c r="N52" s="23">
        <f>POWER(P52+Q52+基本公式!$B$209,基本公式!$B$210)/基本公式!$B$211</f>
        <v>17.597410144677628</v>
      </c>
      <c r="P52">
        <v>5000</v>
      </c>
      <c r="Q52">
        <v>20000</v>
      </c>
      <c r="R52">
        <v>70</v>
      </c>
      <c r="S52">
        <v>280</v>
      </c>
      <c r="T52">
        <f>ROUND(P52*基本公式!$B$212,0)</f>
        <v>78889</v>
      </c>
      <c r="U52">
        <f>ROUND(Q52*基本公式!$B$213,0)</f>
        <v>281667</v>
      </c>
      <c r="V52" s="5">
        <v>0.3</v>
      </c>
      <c r="W52" s="5">
        <v>1</v>
      </c>
    </row>
    <row r="53" spans="8:23">
      <c r="H53" t="s">
        <v>1115</v>
      </c>
      <c r="I53" s="91">
        <f t="shared" si="10"/>
        <v>6000</v>
      </c>
      <c r="J53">
        <f t="shared" si="11"/>
        <v>4477</v>
      </c>
      <c r="K53">
        <f t="shared" si="12"/>
        <v>7523</v>
      </c>
      <c r="L53" s="23">
        <f>(V53+(1-W53))/2*(POWER(U53/T53,基本公式!$B$207)+POWER(S53/R53,基本公式!$B$208))/2*基本公式!$B$206</f>
        <v>254.40135823752362</v>
      </c>
      <c r="M53" s="23">
        <f>(W53+(1-V53))/2*(POWER(T53/U53,基本公式!$B$207)+POWER(R53/S53,基本公式!$B$208))/2*基本公式!$B$206</f>
        <v>427.51480471620738</v>
      </c>
      <c r="N53" s="23">
        <f>POWER(P53+Q53+基本公式!$B$209,基本公式!$B$210)/基本公式!$B$211</f>
        <v>17.597410144677628</v>
      </c>
      <c r="P53">
        <v>5000</v>
      </c>
      <c r="Q53">
        <v>20000</v>
      </c>
      <c r="R53">
        <v>280</v>
      </c>
      <c r="S53">
        <v>70</v>
      </c>
      <c r="T53">
        <f>ROUND(P53*基本公式!$B$212,0)</f>
        <v>78889</v>
      </c>
      <c r="U53">
        <f>ROUND(Q53*基本公式!$B$213,0)</f>
        <v>281667</v>
      </c>
      <c r="V53" s="5">
        <v>0.5</v>
      </c>
      <c r="W53" s="5">
        <v>1</v>
      </c>
    </row>
    <row r="54" spans="8:23">
      <c r="H54" t="s">
        <v>1116</v>
      </c>
      <c r="I54" s="91">
        <f t="shared" si="10"/>
        <v>5380</v>
      </c>
      <c r="J54">
        <f t="shared" si="11"/>
        <v>4244</v>
      </c>
      <c r="K54">
        <f t="shared" si="12"/>
        <v>6516</v>
      </c>
      <c r="L54" s="23">
        <f>(V54+(1-W54))/2*(POWER(U54/T54,基本公式!$B$207)+POWER(S54/R54,基本公式!$B$208))/2*基本公式!$B$206</f>
        <v>169.37698855353722</v>
      </c>
      <c r="M54" s="23">
        <f>(W54+(1-V54))/2*(POWER(T54/U54,基本公式!$B$207)+POWER(R54/S54,基本公式!$B$208))/2*基本公式!$B$206</f>
        <v>260.03592702169624</v>
      </c>
      <c r="N54" s="23">
        <f>POWER(P54+Q54+基本公式!$B$209,基本公式!$B$210)/基本公式!$B$211</f>
        <v>25.05862155500153</v>
      </c>
      <c r="P54">
        <v>5000</v>
      </c>
      <c r="Q54">
        <v>45000</v>
      </c>
      <c r="R54">
        <v>140</v>
      </c>
      <c r="S54">
        <v>140</v>
      </c>
      <c r="T54">
        <f>ROUND(P54*基本公式!$B$212,0)</f>
        <v>78889</v>
      </c>
      <c r="U54">
        <f>ROUND(Q54*基本公式!$B$213,0)</f>
        <v>633750</v>
      </c>
      <c r="V54" s="5">
        <v>0.15</v>
      </c>
      <c r="W54" s="5">
        <v>1</v>
      </c>
    </row>
    <row r="55" spans="8:23">
      <c r="H55" t="s">
        <v>1117</v>
      </c>
      <c r="I55" s="91">
        <f t="shared" si="10"/>
        <v>3135</v>
      </c>
      <c r="J55">
        <f t="shared" si="11"/>
        <v>2514</v>
      </c>
      <c r="K55">
        <f t="shared" si="12"/>
        <v>3756</v>
      </c>
      <c r="L55" s="23">
        <f>(V55+(1-W55))/2*(POWER(U55/T55,基本公式!$B$207)+POWER(S55/R55,基本公式!$B$208))/2*基本公式!$B$206</f>
        <v>100.33439389521986</v>
      </c>
      <c r="M55" s="23">
        <f>(W55+(1-V55))/2*(POWER(T55/U55,基本公式!$B$207)+POWER(R55/S55,基本公式!$B$208))/2*基本公式!$B$206</f>
        <v>149.87512426035502</v>
      </c>
      <c r="N55" s="23">
        <f>POWER(P55+Q55+基本公式!$B$209,基本公式!$B$210)/基本公式!$B$211</f>
        <v>25.05862155500153</v>
      </c>
      <c r="P55">
        <v>5000</v>
      </c>
      <c r="Q55">
        <v>45000</v>
      </c>
      <c r="R55">
        <v>70</v>
      </c>
      <c r="S55">
        <v>280</v>
      </c>
      <c r="T55">
        <f>ROUND(P55*基本公式!$B$212,0)</f>
        <v>78889</v>
      </c>
      <c r="U55">
        <f>ROUND(Q55*基本公式!$B$213,0)</f>
        <v>633750</v>
      </c>
      <c r="V55" s="5">
        <v>0.08</v>
      </c>
      <c r="W55" s="5">
        <v>1</v>
      </c>
    </row>
    <row r="56" spans="8:23">
      <c r="H56" t="s">
        <v>1118</v>
      </c>
      <c r="I56" s="91">
        <f t="shared" si="10"/>
        <v>8963.5</v>
      </c>
      <c r="J56">
        <f t="shared" si="11"/>
        <v>6148</v>
      </c>
      <c r="K56">
        <f t="shared" si="12"/>
        <v>11779</v>
      </c>
      <c r="L56" s="23">
        <f>(V56+(1-W56))/2*(POWER(U56/T56,基本公式!$B$207)+POWER(S56/R56,基本公式!$B$208))/2*基本公式!$B$206</f>
        <v>245.33638244875709</v>
      </c>
      <c r="M56" s="23">
        <f>(W56+(1-V56))/2*(POWER(T56/U56,基本公式!$B$207)+POWER(R56/S56,基本公式!$B$208))/2*基本公式!$B$206</f>
        <v>470.04113017751484</v>
      </c>
      <c r="N56" s="23">
        <f>POWER(P56+Q56+基本公式!$B$209,基本公式!$B$210)/基本公式!$B$211</f>
        <v>25.05862155500153</v>
      </c>
      <c r="P56">
        <v>5000</v>
      </c>
      <c r="Q56">
        <v>45000</v>
      </c>
      <c r="R56">
        <v>280</v>
      </c>
      <c r="S56">
        <v>70</v>
      </c>
      <c r="T56">
        <f>ROUND(P56*基本公式!$B$212,0)</f>
        <v>78889</v>
      </c>
      <c r="U56">
        <f>ROUND(Q56*基本公式!$B$213,0)</f>
        <v>633750</v>
      </c>
      <c r="V56" s="5">
        <v>0.23</v>
      </c>
      <c r="W56" s="5">
        <v>1</v>
      </c>
    </row>
    <row r="57" spans="8:23">
      <c r="H57" t="s">
        <v>1119</v>
      </c>
      <c r="I57" s="91">
        <f t="shared" si="10"/>
        <v>6594.5</v>
      </c>
      <c r="J57">
        <f t="shared" si="11"/>
        <v>3927</v>
      </c>
      <c r="K57">
        <f t="shared" si="12"/>
        <v>9262</v>
      </c>
      <c r="L57" s="23">
        <f>(V57+(1-W57))/2*(POWER(U57/T57,基本公式!$B$207)+POWER(S57/R57,基本公式!$B$208))/2*基本公式!$B$206</f>
        <v>242.80008936607129</v>
      </c>
      <c r="M57" s="23">
        <f>(W57+(1-V57))/2*(POWER(T57/U57,基本公式!$B$207)+POWER(R57/S57,基本公式!$B$208))/2*基本公式!$B$206</f>
        <v>572.63206475433117</v>
      </c>
      <c r="N57" s="23">
        <f>POWER(P57+Q57+基本公式!$B$209,基本公式!$B$210)/基本公式!$B$211</f>
        <v>16.174943184321087</v>
      </c>
      <c r="P57">
        <v>20000</v>
      </c>
      <c r="Q57">
        <v>500</v>
      </c>
      <c r="R57">
        <v>140</v>
      </c>
      <c r="S57">
        <v>140</v>
      </c>
      <c r="T57">
        <f>ROUND(P57*基本公式!$B$212,0)</f>
        <v>315556</v>
      </c>
      <c r="U57">
        <f>ROUND(Q57*基本公式!$B$213,0)</f>
        <v>7042</v>
      </c>
      <c r="V57" s="5">
        <v>1</v>
      </c>
      <c r="W57" s="5">
        <v>0.1</v>
      </c>
    </row>
    <row r="58" spans="8:23">
      <c r="H58" t="s">
        <v>1120</v>
      </c>
      <c r="I58" s="91">
        <f t="shared" si="10"/>
        <v>10215.5</v>
      </c>
      <c r="J58">
        <f t="shared" si="11"/>
        <v>7605</v>
      </c>
      <c r="K58">
        <f t="shared" si="12"/>
        <v>12826</v>
      </c>
      <c r="L58" s="23">
        <f>(V58+(1-W58))/2*(POWER(U58/T58,基本公式!$B$207)+POWER(S58/R58,基本公式!$B$208))/2*基本公式!$B$206</f>
        <v>470.18850853731192</v>
      </c>
      <c r="M58" s="23">
        <f>(W58+(1-V58))/2*(POWER(T58/U58,基本公式!$B$207)+POWER(R58/S58,基本公式!$B$208))/2*基本公式!$B$206</f>
        <v>792.93489065606366</v>
      </c>
      <c r="N58" s="23">
        <f>POWER(P58+Q58+基本公式!$B$209,基本公式!$B$210)/基本公式!$B$211</f>
        <v>16.174943184321087</v>
      </c>
      <c r="P58">
        <v>20000</v>
      </c>
      <c r="Q58">
        <v>500</v>
      </c>
      <c r="R58">
        <v>70</v>
      </c>
      <c r="S58">
        <v>280</v>
      </c>
      <c r="T58">
        <f>ROUND(P58*基本公式!$B$212,0)</f>
        <v>315556</v>
      </c>
      <c r="U58">
        <f>ROUND(Q58*基本公式!$B$213,0)</f>
        <v>7042</v>
      </c>
      <c r="V58" s="5">
        <v>1</v>
      </c>
      <c r="W58" s="5">
        <v>0.14000000000000001</v>
      </c>
    </row>
    <row r="59" spans="8:23">
      <c r="H59" t="s">
        <v>1121</v>
      </c>
      <c r="I59" s="91">
        <f t="shared" si="10"/>
        <v>4331.5</v>
      </c>
      <c r="J59">
        <f t="shared" si="11"/>
        <v>2038</v>
      </c>
      <c r="K59">
        <f t="shared" si="12"/>
        <v>6625</v>
      </c>
      <c r="L59" s="23">
        <f>(V59+(1-W59))/2*(POWER(U59/T59,基本公式!$B$207)+POWER(S59/R59,基本公式!$B$208))/2*基本公式!$B$206</f>
        <v>126.00877498764085</v>
      </c>
      <c r="M59" s="23">
        <f>(W59+(1-V59))/2*(POWER(T59/U59,基本公式!$B$207)+POWER(R59/S59,基本公式!$B$208))/2*基本公式!$B$206</f>
        <v>409.59244532803183</v>
      </c>
      <c r="N59" s="23">
        <f>POWER(P59+Q59+基本公式!$B$209,基本公式!$B$210)/基本公式!$B$211</f>
        <v>16.174943184321087</v>
      </c>
      <c r="P59">
        <v>20000</v>
      </c>
      <c r="Q59">
        <v>500</v>
      </c>
      <c r="R59">
        <v>280</v>
      </c>
      <c r="S59">
        <v>70</v>
      </c>
      <c r="T59">
        <f>ROUND(P59*基本公式!$B$212,0)</f>
        <v>315556</v>
      </c>
      <c r="U59">
        <f>ROUND(Q59*基本公式!$B$213,0)</f>
        <v>7042</v>
      </c>
      <c r="V59" s="5">
        <v>1</v>
      </c>
      <c r="W59" s="5">
        <v>7.0000000000000007E-2</v>
      </c>
    </row>
    <row r="60" spans="8:23">
      <c r="H60" t="s">
        <v>1131</v>
      </c>
      <c r="I60" s="91">
        <f t="shared" si="10"/>
        <v>4564</v>
      </c>
      <c r="J60">
        <f t="shared" si="11"/>
        <v>4305</v>
      </c>
      <c r="K60">
        <f t="shared" si="12"/>
        <v>4823</v>
      </c>
      <c r="L60" s="23">
        <f>(V60+(1-W60))/2*(POWER(U60/T60,基本公式!$B$207)+POWER(S60/R60,基本公式!$B$208))/2*基本公式!$B$206</f>
        <v>244.63043009798579</v>
      </c>
      <c r="M60" s="23">
        <f>(W60+(1-V60))/2*(POWER(T60/U60,基本公式!$B$207)+POWER(R60/S60,基本公式!$B$208))/2*基本公式!$B$206</f>
        <v>274.06237130238435</v>
      </c>
      <c r="N60" s="23">
        <f>POWER(P60+Q60+基本公式!$B$209,基本公式!$B$210)/基本公式!$B$211</f>
        <v>17.597410144677628</v>
      </c>
      <c r="P60">
        <v>20000</v>
      </c>
      <c r="Q60">
        <v>5000</v>
      </c>
      <c r="R60">
        <v>140</v>
      </c>
      <c r="S60">
        <v>140</v>
      </c>
      <c r="T60">
        <f>ROUND(P60*基本公式!$B$212,0)</f>
        <v>315556</v>
      </c>
      <c r="U60">
        <f>ROUND(Q60*基本公式!$B$213,0)</f>
        <v>70417</v>
      </c>
      <c r="V60" s="5">
        <v>1</v>
      </c>
      <c r="W60" s="5">
        <v>0.4</v>
      </c>
    </row>
    <row r="61" spans="8:23">
      <c r="H61" t="s">
        <v>1132</v>
      </c>
      <c r="I61" s="91">
        <f t="shared" si="10"/>
        <v>6407</v>
      </c>
      <c r="J61">
        <f t="shared" si="11"/>
        <v>7335</v>
      </c>
      <c r="K61">
        <f t="shared" si="12"/>
        <v>5479</v>
      </c>
      <c r="L61" s="23">
        <f>(V61+(1-W61))/2*(POWER(U61/T61,基本公式!$B$207)+POWER(S61/R61,基本公式!$B$208))/2*基本公式!$B$206</f>
        <v>416.84102821686162</v>
      </c>
      <c r="M61" s="23">
        <f>(W61+(1-V61))/2*(POWER(T61/U61,基本公式!$B$207)+POWER(R61/S61,基本公式!$B$208))/2*基本公式!$B$206</f>
        <v>311.32796412798047</v>
      </c>
      <c r="N61" s="23">
        <f>POWER(P61+Q61+基本公式!$B$209,基本公式!$B$210)/基本公式!$B$211</f>
        <v>17.597410144677628</v>
      </c>
      <c r="P61">
        <v>20000</v>
      </c>
      <c r="Q61">
        <v>5000</v>
      </c>
      <c r="R61">
        <v>70</v>
      </c>
      <c r="S61">
        <v>280</v>
      </c>
      <c r="T61">
        <f>ROUND(P61*基本公式!$B$212,0)</f>
        <v>315556</v>
      </c>
      <c r="U61">
        <f>ROUND(Q61*基本公式!$B$213,0)</f>
        <v>70417</v>
      </c>
      <c r="V61" s="5">
        <v>1</v>
      </c>
      <c r="W61" s="5">
        <v>0.5</v>
      </c>
    </row>
    <row r="62" spans="8:23">
      <c r="H62" t="s">
        <v>1133</v>
      </c>
      <c r="I62" s="91">
        <f t="shared" si="10"/>
        <v>3490.5</v>
      </c>
      <c r="J62">
        <f t="shared" si="11"/>
        <v>2704</v>
      </c>
      <c r="K62">
        <f t="shared" si="12"/>
        <v>4277</v>
      </c>
      <c r="L62" s="23">
        <f>(V62+(1-W62))/2*(POWER(U62/T62,基本公式!$B$207)+POWER(S62/R62,基本公式!$B$208))/2*基本公式!$B$206</f>
        <v>153.66983197910989</v>
      </c>
      <c r="M62" s="23">
        <f>(W62+(1-V62))/2*(POWER(T62/U62,基本公式!$B$207)+POWER(R62/S62,基本公式!$B$208))/2*基本公式!$B$206</f>
        <v>243.04677847678826</v>
      </c>
      <c r="N62" s="23">
        <f>POWER(P62+Q62+基本公式!$B$209,基本公式!$B$210)/基本公式!$B$211</f>
        <v>17.597410144677628</v>
      </c>
      <c r="P62">
        <v>20000</v>
      </c>
      <c r="Q62">
        <v>5000</v>
      </c>
      <c r="R62">
        <v>280</v>
      </c>
      <c r="S62">
        <v>70</v>
      </c>
      <c r="T62">
        <f>ROUND(P62*基本公式!$B$212,0)</f>
        <v>315556</v>
      </c>
      <c r="U62">
        <f>ROUND(Q62*基本公式!$B$213,0)</f>
        <v>70417</v>
      </c>
      <c r="V62" s="5">
        <v>1</v>
      </c>
      <c r="W62" s="5">
        <v>0.3</v>
      </c>
    </row>
    <row r="63" spans="8:23">
      <c r="H63" t="s">
        <v>1134</v>
      </c>
      <c r="I63" s="91">
        <f t="shared" si="10"/>
        <v>5555.5</v>
      </c>
      <c r="J63">
        <f t="shared" si="11"/>
        <v>5240</v>
      </c>
      <c r="K63">
        <f t="shared" si="12"/>
        <v>5871</v>
      </c>
      <c r="L63" s="23">
        <f>(V63+(1-W63))/2*(POWER(U63/T63,基本公式!$B$207)+POWER(S63/R63,基本公式!$B$208))/2*基本公式!$B$206</f>
        <v>236.57567911876183</v>
      </c>
      <c r="M63" s="23">
        <f>(W63+(1-V63))/2*(POWER(T63/U63,基本公式!$B$207)+POWER(R63/S63,基本公式!$B$208))/2*基本公式!$B$206</f>
        <v>265.03947924321977</v>
      </c>
      <c r="N63" s="23">
        <f>POWER(P63+Q63+基本公式!$B$209,基本公式!$B$210)/基本公式!$B$211</f>
        <v>22.151326864965807</v>
      </c>
      <c r="P63">
        <v>20000</v>
      </c>
      <c r="Q63">
        <v>20000</v>
      </c>
      <c r="R63">
        <v>140</v>
      </c>
      <c r="S63">
        <v>140</v>
      </c>
      <c r="T63">
        <f>ROUND(P63*基本公式!$B$212,0)</f>
        <v>315556</v>
      </c>
      <c r="U63">
        <f>ROUND(Q63*基本公式!$B$213,0)</f>
        <v>281667</v>
      </c>
      <c r="V63" s="5">
        <v>1</v>
      </c>
      <c r="W63" s="5">
        <v>1</v>
      </c>
    </row>
    <row r="64" spans="8:23">
      <c r="H64" t="s">
        <v>1135</v>
      </c>
      <c r="I64" s="91">
        <f t="shared" si="10"/>
        <v>5719.5</v>
      </c>
      <c r="J64">
        <f t="shared" si="11"/>
        <v>5607</v>
      </c>
      <c r="K64">
        <f t="shared" si="12"/>
        <v>5832</v>
      </c>
      <c r="L64" s="23">
        <f>(V64+(1-W64))/2*(POWER(U64/T64,基本公式!$B$207)+POWER(S64/R64,基本公式!$B$208))/2*基本公式!$B$206</f>
        <v>253.10297538313324</v>
      </c>
      <c r="M64" s="23">
        <f>(W64+(1-V64))/2*(POWER(T64/U64,基本公式!$B$207)+POWER(R64/S64,基本公式!$B$208))/2*基本公式!$B$206</f>
        <v>263.30132301618579</v>
      </c>
      <c r="N64" s="23">
        <f>POWER(P64+Q64+基本公式!$B$209,基本公式!$B$210)/基本公式!$B$211</f>
        <v>22.151326864965807</v>
      </c>
      <c r="P64">
        <v>20000</v>
      </c>
      <c r="Q64">
        <v>20000</v>
      </c>
      <c r="R64">
        <v>70</v>
      </c>
      <c r="S64">
        <v>280</v>
      </c>
      <c r="T64">
        <f>ROUND(P64*基本公式!$B$212,0)</f>
        <v>315556</v>
      </c>
      <c r="U64">
        <f>ROUND(Q64*基本公式!$B$213,0)</f>
        <v>281667</v>
      </c>
      <c r="V64" s="5">
        <v>0.7</v>
      </c>
      <c r="W64" s="5">
        <v>1</v>
      </c>
    </row>
    <row r="65" spans="8:23">
      <c r="H65" t="s">
        <v>1136</v>
      </c>
      <c r="I65" s="91">
        <f t="shared" si="10"/>
        <v>5530.5</v>
      </c>
      <c r="J65">
        <f t="shared" si="11"/>
        <v>5013</v>
      </c>
      <c r="K65">
        <f t="shared" si="12"/>
        <v>6048</v>
      </c>
      <c r="L65" s="23">
        <f>(V65+(1-W65))/2*(POWER(U65/T65,基本公式!$B$207)+POWER(S65/R65,基本公式!$B$208))/2*基本公式!$B$206</f>
        <v>226.29838285439035</v>
      </c>
      <c r="M65" s="23">
        <f>(W65+(1-V65))/2*(POWER(T65/U65,基本公式!$B$207)+POWER(R65/S65,基本公式!$B$208))/2*基本公式!$B$206</f>
        <v>273.02763547025381</v>
      </c>
      <c r="N65" s="23">
        <f>POWER(P65+Q65+基本公式!$B$209,基本公式!$B$210)/基本公式!$B$211</f>
        <v>22.151326864965807</v>
      </c>
      <c r="P65">
        <v>20000</v>
      </c>
      <c r="Q65">
        <v>20000</v>
      </c>
      <c r="R65">
        <v>280</v>
      </c>
      <c r="S65">
        <v>70</v>
      </c>
      <c r="T65">
        <f>ROUND(P65*基本公式!$B$212,0)</f>
        <v>315556</v>
      </c>
      <c r="U65">
        <f>ROUND(Q65*基本公式!$B$213,0)</f>
        <v>281667</v>
      </c>
      <c r="V65" s="5">
        <v>1</v>
      </c>
      <c r="W65" s="5">
        <v>0.7</v>
      </c>
    </row>
    <row r="66" spans="8:23">
      <c r="H66" t="s">
        <v>1137</v>
      </c>
      <c r="I66" s="91">
        <f t="shared" si="10"/>
        <v>7138.5</v>
      </c>
      <c r="J66">
        <f t="shared" si="11"/>
        <v>6604</v>
      </c>
      <c r="K66">
        <f t="shared" si="12"/>
        <v>7673</v>
      </c>
      <c r="L66" s="23">
        <f>(V66+(1-W66))/2*(POWER(U66/T66,基本公式!$B$207)+POWER(S66/R66,基本公式!$B$208))/2*基本公式!$B$206</f>
        <v>225.62698855353722</v>
      </c>
      <c r="M66" s="23">
        <f>(W66+(1-V66))/2*(POWER(T66/U66,基本公式!$B$207)+POWER(R66/S66,基本公式!$B$208))/2*基本公式!$B$206</f>
        <v>262.13577909270214</v>
      </c>
      <c r="N66" s="23">
        <f>POWER(P66+Q66+基本公式!$B$209,基本公式!$B$210)/基本公式!$B$211</f>
        <v>29.269404449894779</v>
      </c>
      <c r="P66">
        <v>20000</v>
      </c>
      <c r="Q66">
        <v>45000</v>
      </c>
      <c r="R66">
        <v>140</v>
      </c>
      <c r="S66">
        <v>140</v>
      </c>
      <c r="T66">
        <f>ROUND(P66*基本公式!$B$212,0)</f>
        <v>315556</v>
      </c>
      <c r="U66">
        <f>ROUND(Q66*基本公式!$B$213,0)</f>
        <v>633750</v>
      </c>
      <c r="V66" s="5">
        <v>0.6</v>
      </c>
      <c r="W66" s="5">
        <v>1</v>
      </c>
    </row>
    <row r="67" spans="8:23">
      <c r="H67" t="s">
        <v>1138</v>
      </c>
      <c r="I67" s="91">
        <f t="shared" si="10"/>
        <v>6129</v>
      </c>
      <c r="J67">
        <f t="shared" si="11"/>
        <v>6599</v>
      </c>
      <c r="K67">
        <f t="shared" si="12"/>
        <v>5659</v>
      </c>
      <c r="L67" s="23">
        <f>(V67+(1-W67))/2*(POWER(U67/T67,基本公式!$B$207)+POWER(S67/R67,基本公式!$B$208))/2*基本公式!$B$206</f>
        <v>225.47024141515297</v>
      </c>
      <c r="M67" s="23">
        <f>(W67+(1-V67))/2*(POWER(T67/U67,基本公式!$B$207)+POWER(R67/S67,基本公式!$B$208))/2*基本公式!$B$206</f>
        <v>193.3467554240631</v>
      </c>
      <c r="N67" s="23">
        <f>POWER(P67+Q67+基本公式!$B$209,基本公式!$B$210)/基本公式!$B$211</f>
        <v>29.269404449894779</v>
      </c>
      <c r="P67">
        <v>20000</v>
      </c>
      <c r="Q67">
        <v>45000</v>
      </c>
      <c r="R67">
        <v>70</v>
      </c>
      <c r="S67">
        <v>280</v>
      </c>
      <c r="T67">
        <f>ROUND(P67*基本公式!$B$212,0)</f>
        <v>315556</v>
      </c>
      <c r="U67">
        <f>ROUND(Q67*基本公式!$B$213,0)</f>
        <v>633750</v>
      </c>
      <c r="V67" s="5">
        <v>0.45</v>
      </c>
      <c r="W67" s="5">
        <v>1</v>
      </c>
    </row>
    <row r="68" spans="8:23">
      <c r="H68" t="s">
        <v>1139</v>
      </c>
      <c r="I68" s="91">
        <f t="shared" si="10"/>
        <v>9153.5</v>
      </c>
      <c r="J68">
        <f t="shared" si="11"/>
        <v>6883</v>
      </c>
      <c r="K68">
        <f t="shared" si="12"/>
        <v>11424</v>
      </c>
      <c r="L68" s="23">
        <f>(V68+(1-W68))/2*(POWER(U68/T68,基本公式!$B$207)+POWER(S68/R68,基本公式!$B$208))/2*基本公式!$B$206</f>
        <v>235.15873569192152</v>
      </c>
      <c r="M68" s="23">
        <f>(W68+(1-V68))/2*(POWER(T68/U68,基本公式!$B$207)+POWER(R68/S68,基本公式!$B$208))/2*基本公式!$B$206</f>
        <v>390.29980276134125</v>
      </c>
      <c r="N68" s="23">
        <f>POWER(P68+Q68+基本公式!$B$209,基本公式!$B$210)/基本公式!$B$211</f>
        <v>29.269404449894779</v>
      </c>
      <c r="P68">
        <v>20000</v>
      </c>
      <c r="Q68">
        <v>45000</v>
      </c>
      <c r="R68">
        <v>280</v>
      </c>
      <c r="S68">
        <v>70</v>
      </c>
      <c r="T68">
        <f>ROUND(P68*基本公式!$B$212,0)</f>
        <v>315556</v>
      </c>
      <c r="U68">
        <f>ROUND(Q68*基本公式!$B$213,0)</f>
        <v>633750</v>
      </c>
      <c r="V68" s="5">
        <v>0.75</v>
      </c>
      <c r="W68" s="5">
        <v>1</v>
      </c>
    </row>
    <row r="69" spans="8:23">
      <c r="H69" t="s">
        <v>1140</v>
      </c>
      <c r="I69" s="91">
        <f t="shared" si="10"/>
        <v>5994</v>
      </c>
      <c r="J69">
        <f t="shared" si="11"/>
        <v>5939</v>
      </c>
      <c r="K69">
        <f t="shared" si="12"/>
        <v>6049</v>
      </c>
      <c r="L69" s="23">
        <f>(V69+(1-W69))/2*(POWER(U69/T69,基本公式!$B$207)+POWER(S69/R69,基本公式!$B$208))/2*基本公式!$B$206</f>
        <v>249.95478169014083</v>
      </c>
      <c r="M69" s="23">
        <f>(W69+(1-V69))/2*(POWER(T69/U69,基本公式!$B$207)+POWER(R69/S69,基本公式!$B$208))/2*基本公式!$B$206</f>
        <v>254.55907412666855</v>
      </c>
      <c r="N69" s="23">
        <f>POWER(P69+Q69+基本公式!$B$209,基本公式!$B$210)/基本公式!$B$211</f>
        <v>23.761386867671209</v>
      </c>
      <c r="P69">
        <v>45000</v>
      </c>
      <c r="Q69">
        <v>500</v>
      </c>
      <c r="R69">
        <v>140</v>
      </c>
      <c r="S69">
        <v>140</v>
      </c>
      <c r="T69">
        <f>ROUND(P69*基本公式!$B$212,0)</f>
        <v>710000</v>
      </c>
      <c r="U69">
        <f>ROUND(Q69*基本公式!$B$213,0)</f>
        <v>7042</v>
      </c>
      <c r="V69" s="5">
        <v>1</v>
      </c>
      <c r="W69" s="5">
        <v>0.02</v>
      </c>
    </row>
    <row r="70" spans="8:23">
      <c r="H70" t="s">
        <v>1141</v>
      </c>
      <c r="I70" s="91">
        <f t="shared" si="10"/>
        <v>11132</v>
      </c>
      <c r="J70">
        <f t="shared" si="11"/>
        <v>11731</v>
      </c>
      <c r="K70">
        <f t="shared" si="12"/>
        <v>10533</v>
      </c>
      <c r="L70" s="23">
        <f>(V70+(1-W70))/2*(POWER(U70/T70,基本公式!$B$207)+POWER(S70/R70,基本公式!$B$208))/2*基本公式!$B$206</f>
        <v>493.68618485915493</v>
      </c>
      <c r="M70" s="23">
        <f>(W70+(1-V70))/2*(POWER(T70/U70,基本公式!$B$207)+POWER(R70/S70,基本公式!$B$208))/2*基本公式!$B$206</f>
        <v>443.29087972167002</v>
      </c>
      <c r="N70" s="23">
        <f>POWER(P70+Q70+基本公式!$B$209,基本公式!$B$210)/基本公式!$B$211</f>
        <v>23.761386867671209</v>
      </c>
      <c r="P70">
        <v>45000</v>
      </c>
      <c r="Q70">
        <v>500</v>
      </c>
      <c r="R70">
        <v>70</v>
      </c>
      <c r="S70">
        <v>280</v>
      </c>
      <c r="T70">
        <f>ROUND(P70*基本公式!$B$212,0)</f>
        <v>710000</v>
      </c>
      <c r="U70">
        <f>ROUND(Q70*基本公式!$B$213,0)</f>
        <v>7042</v>
      </c>
      <c r="V70" s="5">
        <v>1</v>
      </c>
      <c r="W70" s="5">
        <v>3.5000000000000003E-2</v>
      </c>
    </row>
    <row r="71" spans="8:23">
      <c r="H71" t="s">
        <v>1142</v>
      </c>
      <c r="I71" s="91">
        <f t="shared" si="10"/>
        <v>2274.5</v>
      </c>
      <c r="J71">
        <f t="shared" si="11"/>
        <v>3022</v>
      </c>
      <c r="K71">
        <f t="shared" si="12"/>
        <v>1527</v>
      </c>
      <c r="L71" s="23">
        <f>(V71+(1-W71))/2*(POWER(U71/T71,基本公式!$B$207)+POWER(S71/R71,基本公式!$B$208))/2*基本公式!$B$206</f>
        <v>127.16087852112679</v>
      </c>
      <c r="M71" s="23">
        <f>(W71+(1-V71))/2*(POWER(T71/U71,基本公式!$B$207)+POWER(R71/S71,基本公式!$B$208))/2*基本公式!$B$206</f>
        <v>64.264768531667144</v>
      </c>
      <c r="N71" s="23">
        <f>POWER(P71+Q71+基本公式!$B$209,基本公式!$B$210)/基本公式!$B$211</f>
        <v>23.761386867671209</v>
      </c>
      <c r="P71">
        <v>45000</v>
      </c>
      <c r="Q71">
        <v>500</v>
      </c>
      <c r="R71">
        <v>280</v>
      </c>
      <c r="S71">
        <v>70</v>
      </c>
      <c r="T71">
        <f>ROUND(P71*基本公式!$B$212,0)</f>
        <v>710000</v>
      </c>
      <c r="U71">
        <f>ROUND(Q71*基本公式!$B$213,0)</f>
        <v>7042</v>
      </c>
      <c r="V71" s="5">
        <v>1</v>
      </c>
      <c r="W71" s="5">
        <v>5.0000000000000001E-3</v>
      </c>
    </row>
    <row r="72" spans="8:23">
      <c r="H72" t="s">
        <v>1143</v>
      </c>
      <c r="I72" s="91">
        <f t="shared" si="10"/>
        <v>5788.5</v>
      </c>
      <c r="J72">
        <f t="shared" si="11"/>
        <v>6370</v>
      </c>
      <c r="K72">
        <f t="shared" si="12"/>
        <v>5207</v>
      </c>
      <c r="L72" s="23">
        <f>(V72+(1-W72))/2*(POWER(U72/T72,基本公式!$B$207)+POWER(S72/R72,基本公式!$B$208))/2*基本公式!$B$206</f>
        <v>254.18511443661973</v>
      </c>
      <c r="M72" s="23">
        <f>(W72+(1-V72))/2*(POWER(T72/U72,基本公式!$B$207)+POWER(R72/S72,基本公式!$B$208))/2*基本公式!$B$206</f>
        <v>207.80235951545791</v>
      </c>
      <c r="N72" s="23">
        <f>POWER(P72+Q72+基本公式!$B$209,基本公式!$B$210)/基本公式!$B$211</f>
        <v>25.05862155500153</v>
      </c>
      <c r="P72">
        <v>45000</v>
      </c>
      <c r="Q72">
        <v>5000</v>
      </c>
      <c r="R72">
        <v>140</v>
      </c>
      <c r="S72">
        <v>140</v>
      </c>
      <c r="T72">
        <f>ROUND(P72*基本公式!$B$212,0)</f>
        <v>710000</v>
      </c>
      <c r="U72">
        <f>ROUND(Q72*基本公式!$B$213,0)</f>
        <v>70417</v>
      </c>
      <c r="V72" s="5">
        <v>1</v>
      </c>
      <c r="W72" s="5">
        <v>0.15</v>
      </c>
    </row>
    <row r="73" spans="8:23">
      <c r="H73" t="s">
        <v>1144</v>
      </c>
      <c r="I73" s="91">
        <f t="shared" si="10"/>
        <v>9631</v>
      </c>
      <c r="J73">
        <f t="shared" si="11"/>
        <v>11638</v>
      </c>
      <c r="K73">
        <f t="shared" si="12"/>
        <v>7624</v>
      </c>
      <c r="L73" s="23">
        <f>(V73+(1-W73))/2*(POWER(U73/T73,基本公式!$B$207)+POWER(S73/R73,基本公式!$B$208))/2*基本公式!$B$206</f>
        <v>464.44332570422534</v>
      </c>
      <c r="M73" s="23">
        <f>(W73+(1-V73))/2*(POWER(T73/U73,基本公式!$B$207)+POWER(R73/S73,基本公式!$B$208))/2*基本公式!$B$206</f>
        <v>304.25528459036883</v>
      </c>
      <c r="N73" s="23">
        <f>POWER(P73+Q73+基本公式!$B$209,基本公式!$B$210)/基本公式!$B$211</f>
        <v>25.05862155500153</v>
      </c>
      <c r="P73">
        <v>45000</v>
      </c>
      <c r="Q73">
        <v>5000</v>
      </c>
      <c r="R73">
        <v>70</v>
      </c>
      <c r="S73">
        <v>280</v>
      </c>
      <c r="T73">
        <f>ROUND(P73*基本公式!$B$212,0)</f>
        <v>710000</v>
      </c>
      <c r="U73">
        <f>ROUND(Q73*基本公式!$B$213,0)</f>
        <v>70417</v>
      </c>
      <c r="V73" s="5">
        <v>1</v>
      </c>
      <c r="W73" s="5">
        <v>0.23</v>
      </c>
    </row>
    <row r="74" spans="8:23">
      <c r="H74" t="s">
        <v>1145</v>
      </c>
      <c r="I74" s="91">
        <f t="shared" si="10"/>
        <v>3316</v>
      </c>
      <c r="J74">
        <f t="shared" si="11"/>
        <v>3604</v>
      </c>
      <c r="K74">
        <f t="shared" si="12"/>
        <v>3028</v>
      </c>
      <c r="L74" s="23">
        <f>(V74+(1-W74))/2*(POWER(U74/T74,基本公式!$B$207)+POWER(S74/R74,基本公式!$B$208))/2*基本公式!$B$206</f>
        <v>143.80292957746479</v>
      </c>
      <c r="M74" s="23">
        <f>(W74+(1-V74))/2*(POWER(T74/U74,基本公式!$B$207)+POWER(R74/S74,基本公式!$B$208))/2*基本公式!$B$206</f>
        <v>120.82792507491088</v>
      </c>
      <c r="N74" s="23">
        <f>POWER(P74+Q74+基本公式!$B$209,基本公式!$B$210)/基本公式!$B$211</f>
        <v>25.05862155500153</v>
      </c>
      <c r="P74">
        <v>45000</v>
      </c>
      <c r="Q74">
        <v>5000</v>
      </c>
      <c r="R74">
        <v>280</v>
      </c>
      <c r="S74">
        <v>70</v>
      </c>
      <c r="T74">
        <f>ROUND(P74*基本公式!$B$212,0)</f>
        <v>710000</v>
      </c>
      <c r="U74">
        <f>ROUND(Q74*基本公式!$B$213,0)</f>
        <v>70417</v>
      </c>
      <c r="V74" s="5">
        <v>1</v>
      </c>
      <c r="W74" s="5">
        <v>0.08</v>
      </c>
    </row>
    <row r="75" spans="8:23">
      <c r="H75" t="s">
        <v>1146</v>
      </c>
      <c r="I75" s="91">
        <f t="shared" si="10"/>
        <v>7441.5</v>
      </c>
      <c r="J75">
        <f t="shared" si="11"/>
        <v>7154</v>
      </c>
      <c r="K75">
        <f t="shared" si="12"/>
        <v>7729</v>
      </c>
      <c r="L75" s="23">
        <f>(V75+(1-W75))/2*(POWER(U75/T75,基本公式!$B$207)+POWER(S75/R75,基本公式!$B$208))/2*基本公式!$B$206</f>
        <v>244.42496478873238</v>
      </c>
      <c r="M75" s="23">
        <f>(W75+(1-V75))/2*(POWER(T75/U75,基本公式!$B$207)+POWER(R75/S75,基本公式!$B$208))/2*基本公式!$B$206</f>
        <v>264.0530307064725</v>
      </c>
      <c r="N75" s="23">
        <f>POWER(P75+Q75+基本公式!$B$209,基本公式!$B$210)/基本公式!$B$211</f>
        <v>29.269404449894779</v>
      </c>
      <c r="P75">
        <v>45000</v>
      </c>
      <c r="Q75">
        <v>20000</v>
      </c>
      <c r="R75">
        <v>140</v>
      </c>
      <c r="S75">
        <v>140</v>
      </c>
      <c r="T75">
        <f>ROUND(P75*基本公式!$B$212,0)</f>
        <v>710000</v>
      </c>
      <c r="U75">
        <f>ROUND(Q75*基本公式!$B$213,0)</f>
        <v>281667</v>
      </c>
      <c r="V75" s="5">
        <v>1</v>
      </c>
      <c r="W75" s="5">
        <v>0.6</v>
      </c>
    </row>
    <row r="76" spans="8:23">
      <c r="H76" t="s">
        <v>1147</v>
      </c>
      <c r="I76" s="91">
        <f t="shared" si="10"/>
        <v>9567.5</v>
      </c>
      <c r="J76">
        <f t="shared" si="11"/>
        <v>11399</v>
      </c>
      <c r="K76">
        <f t="shared" si="12"/>
        <v>7736</v>
      </c>
      <c r="L76" s="23">
        <f>(V76+(1-W76))/2*(POWER(U76/T76,基本公式!$B$207)+POWER(S76/R76,基本公式!$B$208))/2*基本公式!$B$206</f>
        <v>389.46603873239445</v>
      </c>
      <c r="M76" s="23">
        <f>(W76+(1-V76))/2*(POWER(T76/U76,基本公式!$B$207)+POWER(R76/S76,基本公式!$B$208))/2*基本公式!$B$206</f>
        <v>264.31186915755126</v>
      </c>
      <c r="N76" s="23">
        <f>POWER(P76+Q76+基本公式!$B$209,基本公式!$B$210)/基本公式!$B$211</f>
        <v>29.269404449894779</v>
      </c>
      <c r="P76">
        <v>45000</v>
      </c>
      <c r="Q76">
        <v>20000</v>
      </c>
      <c r="R76">
        <v>70</v>
      </c>
      <c r="S76">
        <v>280</v>
      </c>
      <c r="T76">
        <f>ROUND(P76*基本公式!$B$212,0)</f>
        <v>710000</v>
      </c>
      <c r="U76">
        <f>ROUND(Q76*基本公式!$B$213,0)</f>
        <v>281667</v>
      </c>
      <c r="V76" s="5">
        <v>1</v>
      </c>
      <c r="W76" s="5">
        <v>0.7</v>
      </c>
    </row>
    <row r="77" spans="8:23">
      <c r="H77" t="s">
        <v>1148</v>
      </c>
      <c r="I77" s="91">
        <f t="shared" si="10"/>
        <v>6264</v>
      </c>
      <c r="J77">
        <f t="shared" si="11"/>
        <v>5085</v>
      </c>
      <c r="K77">
        <f t="shared" si="12"/>
        <v>7443</v>
      </c>
      <c r="L77" s="23">
        <f>(V77+(1-W77))/2*(POWER(U77/T77,基本公式!$B$207)+POWER(S77/R77,基本公式!$B$208))/2*基本公式!$B$206</f>
        <v>173.73835387323945</v>
      </c>
      <c r="M77" s="23">
        <f>(W77+(1-V77))/2*(POWER(T77/U77,基本公式!$B$207)+POWER(R77/S77,基本公式!$B$208))/2*基本公式!$B$206</f>
        <v>254.28977302985439</v>
      </c>
      <c r="N77" s="23">
        <f>POWER(P77+Q77+基本公式!$B$209,基本公式!$B$210)/基本公式!$B$211</f>
        <v>29.269404449894779</v>
      </c>
      <c r="P77">
        <v>45000</v>
      </c>
      <c r="Q77">
        <v>20000</v>
      </c>
      <c r="R77">
        <v>280</v>
      </c>
      <c r="S77">
        <v>70</v>
      </c>
      <c r="T77">
        <f>ROUND(P77*基本公式!$B$212,0)</f>
        <v>710000</v>
      </c>
      <c r="U77">
        <f>ROUND(Q77*基本公式!$B$213,0)</f>
        <v>281667</v>
      </c>
      <c r="V77" s="5">
        <v>1</v>
      </c>
      <c r="W77" s="5">
        <v>0.45</v>
      </c>
    </row>
    <row r="78" spans="8:23">
      <c r="H78" t="s">
        <v>1149</v>
      </c>
      <c r="I78" s="91">
        <f t="shared" si="10"/>
        <v>9023</v>
      </c>
      <c r="J78">
        <f t="shared" si="11"/>
        <v>8511</v>
      </c>
      <c r="K78">
        <f t="shared" si="12"/>
        <v>9535</v>
      </c>
      <c r="L78" s="23">
        <f>(V78+(1-W78))/2*(POWER(U78/T78,基本公式!$B$207)+POWER(S78/R78,基本公式!$B$208))/2*基本公式!$B$206</f>
        <v>236.57570422535213</v>
      </c>
      <c r="M78" s="23">
        <f>(W78+(1-V78))/2*(POWER(T78/U78,基本公式!$B$207)+POWER(R78/S78,基本公式!$B$208))/2*基本公式!$B$206</f>
        <v>265.03944773175544</v>
      </c>
      <c r="N78" s="23">
        <f>POWER(P78+Q78+基本公式!$B$209,基本公式!$B$210)/基本公式!$B$211</f>
        <v>35.974344843296372</v>
      </c>
      <c r="P78">
        <v>45000</v>
      </c>
      <c r="Q78">
        <v>45000</v>
      </c>
      <c r="R78">
        <v>140</v>
      </c>
      <c r="S78">
        <v>140</v>
      </c>
      <c r="T78">
        <f>ROUND(P78*基本公式!$B$212,0)</f>
        <v>710000</v>
      </c>
      <c r="U78">
        <f>ROUND(Q78*基本公式!$B$213,0)</f>
        <v>633750</v>
      </c>
      <c r="V78" s="5">
        <v>1</v>
      </c>
      <c r="W78" s="5">
        <v>1</v>
      </c>
    </row>
    <row r="79" spans="8:23">
      <c r="H79" t="s">
        <v>1150</v>
      </c>
      <c r="I79" s="91">
        <f t="shared" si="10"/>
        <v>9288.5</v>
      </c>
      <c r="J79">
        <f t="shared" si="11"/>
        <v>9105</v>
      </c>
      <c r="K79">
        <f t="shared" si="12"/>
        <v>9472</v>
      </c>
      <c r="L79" s="23">
        <f>(V79+(1-W79))/2*(POWER(U79/T79,基本公式!$B$207)+POWER(S79/R79,基本公式!$B$208))/2*基本公式!$B$206</f>
        <v>253.10299295774647</v>
      </c>
      <c r="M79" s="23">
        <f>(W79+(1-V79))/2*(POWER(T79/U79,基本公式!$B$207)+POWER(R79/S79,基本公式!$B$208))/2*基本公式!$B$206</f>
        <v>263.30128205128204</v>
      </c>
      <c r="N79" s="23">
        <f>POWER(P79+Q79+基本公式!$B$209,基本公式!$B$210)/基本公式!$B$211</f>
        <v>35.974344843296372</v>
      </c>
      <c r="P79">
        <v>45000</v>
      </c>
      <c r="Q79">
        <v>45000</v>
      </c>
      <c r="R79">
        <v>70</v>
      </c>
      <c r="S79">
        <v>280</v>
      </c>
      <c r="T79">
        <f>ROUND(P79*基本公式!$B$212,0)</f>
        <v>710000</v>
      </c>
      <c r="U79">
        <f>ROUND(Q79*基本公式!$B$213,0)</f>
        <v>633750</v>
      </c>
      <c r="V79" s="5">
        <v>0.7</v>
      </c>
      <c r="W79" s="5">
        <v>1</v>
      </c>
    </row>
    <row r="80" spans="8:23">
      <c r="H80" t="s">
        <v>1151</v>
      </c>
      <c r="I80" s="91">
        <f t="shared" si="10"/>
        <v>8981.5</v>
      </c>
      <c r="J80">
        <f t="shared" si="11"/>
        <v>8141</v>
      </c>
      <c r="K80">
        <f t="shared" si="12"/>
        <v>9822</v>
      </c>
      <c r="L80" s="23">
        <f>(V80+(1-W80))/2*(POWER(U80/T80,基本公式!$B$207)+POWER(S80/R80,基本公式!$B$208))/2*基本公式!$B$206</f>
        <v>226.29841549295776</v>
      </c>
      <c r="M80" s="23">
        <f>(W80+(1-V80))/2*(POWER(T80/U80,基本公式!$B$207)+POWER(R80/S80,基本公式!$B$208))/2*基本公式!$B$206</f>
        <v>273.02761341222873</v>
      </c>
      <c r="N80" s="23">
        <f>POWER(P80+Q80+基本公式!$B$209,基本公式!$B$210)/基本公式!$B$211</f>
        <v>35.974344843296372</v>
      </c>
      <c r="P80">
        <v>45000</v>
      </c>
      <c r="Q80">
        <v>45000</v>
      </c>
      <c r="R80">
        <v>280</v>
      </c>
      <c r="S80">
        <v>70</v>
      </c>
      <c r="T80">
        <f>ROUND(P80*基本公式!$B$212,0)</f>
        <v>710000</v>
      </c>
      <c r="U80">
        <f>ROUND(Q80*基本公式!$B$213,0)</f>
        <v>633750</v>
      </c>
      <c r="V80" s="5">
        <v>1</v>
      </c>
      <c r="W80" s="5">
        <v>0.7</v>
      </c>
    </row>
  </sheetData>
  <phoneticPr fontId="8" type="noConversion"/>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21"/>
  <sheetViews>
    <sheetView workbookViewId="0">
      <selection activeCell="H21" sqref="H21"/>
    </sheetView>
  </sheetViews>
  <sheetFormatPr defaultColWidth="9" defaultRowHeight="13.5"/>
  <cols>
    <col min="1" max="1" width="8.875" customWidth="1"/>
    <col min="2" max="2" width="9.75" customWidth="1"/>
    <col min="7" max="7" width="14.5" customWidth="1"/>
    <col min="8" max="8" width="14.625" customWidth="1"/>
    <col min="9" max="9" width="14.25" customWidth="1"/>
  </cols>
  <sheetData>
    <row r="1" spans="1:9" s="1" customFormat="1" ht="27">
      <c r="A1" s="1" t="s">
        <v>1061</v>
      </c>
      <c r="B1" s="1" t="s">
        <v>1169</v>
      </c>
      <c r="C1" s="1" t="s">
        <v>1062</v>
      </c>
      <c r="E1" s="1" t="s">
        <v>1176</v>
      </c>
      <c r="F1" s="1" t="s">
        <v>1174</v>
      </c>
      <c r="G1" s="1" t="s">
        <v>1179</v>
      </c>
      <c r="H1" s="1" t="s">
        <v>1177</v>
      </c>
      <c r="I1" s="1" t="s">
        <v>1178</v>
      </c>
    </row>
    <row r="2" spans="1:9">
      <c r="A2">
        <v>1</v>
      </c>
      <c r="B2" s="79">
        <f ca="1">ROUND(OFFSET(武将基础数值!$E$1,大地图!C2,0)*基本公式!$B$220,-1)</f>
        <v>2720</v>
      </c>
      <c r="C2" s="79">
        <v>10</v>
      </c>
      <c r="E2">
        <v>1</v>
      </c>
      <c r="G2" s="42">
        <f>ROUND(MIN((产出与消耗!R3+其他表格!S28)/基本公式!$B$224,基本公式!$B$229),0)</f>
        <v>6</v>
      </c>
      <c r="H2" s="42">
        <f>ROUND(MIN((产出与消耗!R25+其他表格!$T$28)/基本公式!$B$224,基本公式!$B$229),0)</f>
        <v>6</v>
      </c>
      <c r="I2" s="42">
        <f>ROUND(MIN((产出与消耗!R47+其他表格!U28)/基本公式!$B$224,基本公式!$B$229),0)</f>
        <v>6</v>
      </c>
    </row>
    <row r="3" spans="1:9">
      <c r="A3">
        <v>2</v>
      </c>
      <c r="B3" s="79">
        <f ca="1">ROUND(OFFSET(武将基础数值!$E$1,大地图!C3,0)*基本公式!$B$220,-1)</f>
        <v>8220</v>
      </c>
      <c r="C3" s="79">
        <v>12</v>
      </c>
      <c r="E3">
        <v>2</v>
      </c>
      <c r="G3" s="42">
        <f>ROUND(MIN((产出与消耗!R4+其他表格!S29)/基本公式!$B$224,基本公式!$B$229),0)</f>
        <v>6</v>
      </c>
      <c r="H3" s="42">
        <f>ROUND(MIN((产出与消耗!R26+其他表格!$T$28)/基本公式!$B$224,基本公式!$B$229),0)</f>
        <v>6</v>
      </c>
      <c r="I3" s="42">
        <f>ROUND(MIN((产出与消耗!R48+其他表格!U29)/基本公式!$B$224,基本公式!$B$229),0)</f>
        <v>6</v>
      </c>
    </row>
    <row r="4" spans="1:9">
      <c r="A4">
        <v>3</v>
      </c>
      <c r="B4" s="79"/>
      <c r="C4" s="79"/>
      <c r="E4">
        <v>3</v>
      </c>
      <c r="G4" s="42">
        <f>ROUND(MIN((产出与消耗!R5+其他表格!S30)/基本公式!$B$224,基本公式!$B$229),0)</f>
        <v>6</v>
      </c>
      <c r="H4" s="42">
        <f>ROUND(MIN((产出与消耗!R27+其他表格!$T$28)/基本公式!$B$224,基本公式!$B$229),0)</f>
        <v>6</v>
      </c>
      <c r="I4" s="42">
        <f>ROUND(MIN((产出与消耗!R49+其他表格!U30)/基本公式!$B$224,基本公式!$B$229),0)</f>
        <v>6</v>
      </c>
    </row>
    <row r="5" spans="1:9">
      <c r="A5">
        <v>4</v>
      </c>
      <c r="B5" s="79">
        <f ca="1">ROUND(OFFSET(武将基础数值!$E$1,大地图!C5,0)*基本公式!$B$220,-1)</f>
        <v>39360</v>
      </c>
      <c r="C5" s="79">
        <v>16</v>
      </c>
      <c r="E5">
        <v>4</v>
      </c>
      <c r="G5" s="42">
        <f>ROUND(MIN((产出与消耗!R6+其他表格!S31)/基本公式!$B$224,基本公式!$B$229),0)</f>
        <v>12</v>
      </c>
      <c r="H5" s="42">
        <f>ROUND(MIN((产出与消耗!R28+其他表格!$T$28)/基本公式!$B$224,基本公式!$B$229),0)</f>
        <v>6</v>
      </c>
      <c r="I5" s="42">
        <f>ROUND(MIN((产出与消耗!R50+其他表格!U31)/基本公式!$B$224,基本公式!$B$229),0)</f>
        <v>12</v>
      </c>
    </row>
    <row r="6" spans="1:9">
      <c r="A6">
        <v>5</v>
      </c>
      <c r="B6" s="79"/>
      <c r="C6" s="79"/>
      <c r="E6">
        <v>5</v>
      </c>
      <c r="G6" s="42">
        <f>ROUND(MIN((产出与消耗!R7+其他表格!S32)/基本公式!$B$224,基本公式!$B$229),0)</f>
        <v>13</v>
      </c>
      <c r="H6" s="42">
        <f>ROUND(MIN((产出与消耗!R29+其他表格!$T$28)/基本公式!$B$224,基本公式!$B$229),0)</f>
        <v>7</v>
      </c>
      <c r="I6" s="42">
        <f>ROUND(MIN((产出与消耗!R51+其他表格!U32)/基本公式!$B$224,基本公式!$B$229),0)</f>
        <v>12</v>
      </c>
    </row>
    <row r="7" spans="1:9">
      <c r="A7">
        <v>6</v>
      </c>
      <c r="B7" s="79"/>
      <c r="C7" s="79"/>
      <c r="E7">
        <v>6</v>
      </c>
      <c r="G7" s="42">
        <f>ROUND(MIN((产出与消耗!R8+其他表格!S33)/基本公式!$B$224,基本公式!$B$229),0)</f>
        <v>14</v>
      </c>
      <c r="H7" s="42">
        <f>ROUND(MIN((产出与消耗!R30+其他表格!$T$28)/基本公式!$B$224,基本公式!$B$229),0)</f>
        <v>8</v>
      </c>
      <c r="I7" s="42">
        <f>ROUND(MIN((产出与消耗!R52+其他表格!U33)/基本公式!$B$224,基本公式!$B$229),0)</f>
        <v>14</v>
      </c>
    </row>
    <row r="8" spans="1:9">
      <c r="A8">
        <v>7</v>
      </c>
      <c r="B8" s="79">
        <f ca="1">ROUND(OFFSET(武将基础数值!$E$1,大地图!C8,0)*基本公式!$B$220,-1)</f>
        <v>261830</v>
      </c>
      <c r="C8" s="79">
        <v>22</v>
      </c>
      <c r="E8">
        <v>7</v>
      </c>
      <c r="G8" s="42">
        <f>ROUND(MIN((产出与消耗!R9+其他表格!S34)/基本公式!$B$224,基本公式!$B$229),0)</f>
        <v>19</v>
      </c>
      <c r="H8" s="42">
        <f>ROUND(MIN((产出与消耗!R31+其他表格!$T$28)/基本公式!$B$224,基本公式!$B$229),0)</f>
        <v>11</v>
      </c>
      <c r="I8" s="42">
        <f>ROUND(MIN((产出与消耗!R53+其他表格!U34)/基本公式!$B$224,基本公式!$B$229),0)</f>
        <v>17</v>
      </c>
    </row>
    <row r="9" spans="1:9">
      <c r="A9">
        <v>8</v>
      </c>
      <c r="B9" s="79"/>
      <c r="C9" s="79"/>
      <c r="E9">
        <v>8</v>
      </c>
      <c r="G9" s="42">
        <f>ROUND(MIN((产出与消耗!R10+其他表格!S35)/基本公式!$B$224,基本公式!$B$229),0)</f>
        <v>48</v>
      </c>
      <c r="H9" s="42">
        <f>ROUND(MIN((产出与消耗!R32+其他表格!$T$28)/基本公式!$B$224,基本公式!$B$229),0)</f>
        <v>30</v>
      </c>
      <c r="I9" s="42">
        <f>ROUND(MIN((产出与消耗!R54+其他表格!U35)/基本公式!$B$224,基本公式!$B$229),0)</f>
        <v>36</v>
      </c>
    </row>
    <row r="10" spans="1:9">
      <c r="A10">
        <v>9</v>
      </c>
      <c r="B10" s="79"/>
      <c r="C10" s="79"/>
      <c r="E10">
        <v>9</v>
      </c>
      <c r="G10" s="42">
        <f>ROUND(MIN((产出与消耗!R11+其他表格!S36)/基本公式!$B$224,基本公式!$B$229),0)</f>
        <v>99</v>
      </c>
      <c r="H10" s="42">
        <f>ROUND(MIN((产出与消耗!R33+其他表格!$T$28)/基本公式!$B$224,基本公式!$B$229),0)</f>
        <v>64</v>
      </c>
      <c r="I10" s="42">
        <f>ROUND(MIN((产出与消耗!R55+其他表格!U36)/基本公式!$B$224,基本公式!$B$229),0)</f>
        <v>70</v>
      </c>
    </row>
    <row r="11" spans="1:9">
      <c r="A11">
        <v>10</v>
      </c>
      <c r="B11" s="79">
        <f ca="1">ROUND(OFFSET(武将基础数值!$E$1,大地图!C11,0)*基本公式!$B$220,-1)</f>
        <v>1378850</v>
      </c>
      <c r="C11" s="79">
        <v>30</v>
      </c>
      <c r="E11">
        <v>10</v>
      </c>
      <c r="G11" s="42">
        <f>ROUND(MIN((产出与消耗!R12+其他表格!S37)/基本公式!$B$224,基本公式!$B$229),0)</f>
        <v>283</v>
      </c>
      <c r="H11" s="42">
        <f>ROUND(MIN((产出与消耗!R34+其他表格!$T$28)/基本公式!$B$224,基本公式!$B$229),0)</f>
        <v>195</v>
      </c>
      <c r="I11" s="42">
        <f>ROUND(MIN((产出与消耗!R56+其他表格!U37)/基本公式!$B$224,基本公式!$B$229),0)</f>
        <v>201</v>
      </c>
    </row>
    <row r="12" spans="1:9">
      <c r="E12">
        <v>11</v>
      </c>
      <c r="G12" s="42">
        <f>ROUND(MIN((产出与消耗!R13+其他表格!S38)/基本公式!$B$224,基本公式!$B$229),0)</f>
        <v>283</v>
      </c>
      <c r="H12" s="42">
        <f>ROUND(MIN((产出与消耗!R35+其他表格!$T$28)/基本公式!$B$224,基本公式!$B$229),0)</f>
        <v>283</v>
      </c>
      <c r="I12" s="42">
        <f>ROUND(MIN((产出与消耗!R57+其他表格!U38)/基本公式!$B$224,基本公式!$B$229),0)</f>
        <v>283</v>
      </c>
    </row>
    <row r="13" spans="1:9">
      <c r="E13">
        <v>12</v>
      </c>
      <c r="G13" s="42">
        <f>ROUND(MIN((产出与消耗!R14+其他表格!S39)/基本公式!$B$224,基本公式!$B$229),0)</f>
        <v>283</v>
      </c>
      <c r="H13" s="42">
        <f>ROUND(MIN((产出与消耗!R36+其他表格!$T$28)/基本公式!$B$224,基本公式!$B$229),0)</f>
        <v>283</v>
      </c>
      <c r="I13" s="42">
        <f>ROUND(MIN((产出与消耗!R58+其他表格!U39)/基本公式!$B$224,基本公式!$B$229),0)</f>
        <v>283</v>
      </c>
    </row>
    <row r="14" spans="1:9">
      <c r="E14">
        <v>13</v>
      </c>
      <c r="G14" s="42">
        <f>ROUND(MIN((产出与消耗!R15+其他表格!S40)/基本公式!$B$224,基本公式!$B$229),0)</f>
        <v>283</v>
      </c>
      <c r="H14" s="42">
        <f>ROUND(MIN((产出与消耗!R37+其他表格!$T$28)/基本公式!$B$224,基本公式!$B$229),0)</f>
        <v>283</v>
      </c>
      <c r="I14" s="42">
        <f>ROUND(MIN((产出与消耗!R59+其他表格!U40)/基本公式!$B$224,基本公式!$B$229),0)</f>
        <v>283</v>
      </c>
    </row>
    <row r="15" spans="1:9">
      <c r="E15">
        <v>14</v>
      </c>
      <c r="G15" s="42">
        <f>ROUND(MIN((产出与消耗!R16+其他表格!S41)/基本公式!$B$224,基本公式!$B$229),0)</f>
        <v>283</v>
      </c>
      <c r="H15" s="42">
        <f>ROUND(MIN((产出与消耗!R38+其他表格!$T$28)/基本公式!$B$224,基本公式!$B$229),0)</f>
        <v>283</v>
      </c>
      <c r="I15" s="42">
        <f>ROUND(MIN((产出与消耗!R60+其他表格!U41)/基本公式!$B$224,基本公式!$B$229),0)</f>
        <v>283</v>
      </c>
    </row>
    <row r="16" spans="1:9">
      <c r="E16">
        <v>15</v>
      </c>
      <c r="G16" s="42">
        <f>ROUND(MIN((产出与消耗!R17+其他表格!S42)/基本公式!$B$224,基本公式!$B$229),0)</f>
        <v>283</v>
      </c>
      <c r="H16" s="42">
        <f>ROUND(MIN((产出与消耗!R39+其他表格!$T$28)/基本公式!$B$224,基本公式!$B$229),0)</f>
        <v>283</v>
      </c>
      <c r="I16" s="42">
        <f>ROUND(MIN((产出与消耗!R61+其他表格!U42)/基本公式!$B$224,基本公式!$B$229),0)</f>
        <v>283</v>
      </c>
    </row>
    <row r="17" spans="5:9">
      <c r="E17">
        <v>16</v>
      </c>
      <c r="G17" s="42">
        <f>ROUND(MIN((产出与消耗!R18+其他表格!S43)/基本公式!$B$224,基本公式!$B$229),0)</f>
        <v>283</v>
      </c>
      <c r="H17" s="42">
        <f>ROUND(MIN((产出与消耗!R40+其他表格!$T$28)/基本公式!$B$224,基本公式!$B$229),0)</f>
        <v>283</v>
      </c>
      <c r="I17" s="42">
        <f>ROUND(MIN((产出与消耗!R62+其他表格!U43)/基本公式!$B$224,基本公式!$B$229),0)</f>
        <v>283</v>
      </c>
    </row>
    <row r="18" spans="5:9">
      <c r="E18">
        <v>17</v>
      </c>
      <c r="G18" s="42">
        <f>ROUND(MIN((产出与消耗!R19+其他表格!S44)/基本公式!$B$224,基本公式!$B$229),0)</f>
        <v>283</v>
      </c>
      <c r="H18" s="42">
        <f>ROUND(MIN((产出与消耗!R41+其他表格!$T$28)/基本公式!$B$224,基本公式!$B$229),0)</f>
        <v>283</v>
      </c>
      <c r="I18" s="42">
        <f>ROUND(MIN((产出与消耗!R63+其他表格!U44)/基本公式!$B$224,基本公式!$B$229),0)</f>
        <v>283</v>
      </c>
    </row>
    <row r="19" spans="5:9">
      <c r="E19">
        <v>18</v>
      </c>
      <c r="G19" s="42">
        <f>ROUND(MIN((产出与消耗!R20+其他表格!S45)/基本公式!$B$224,基本公式!$B$229),0)</f>
        <v>283</v>
      </c>
      <c r="H19" s="42">
        <f>ROUND(MIN((产出与消耗!R42+其他表格!$T$28)/基本公式!$B$224,基本公式!$B$229),0)</f>
        <v>283</v>
      </c>
      <c r="I19" s="42">
        <f>ROUND(MIN((产出与消耗!R64+其他表格!U45)/基本公式!$B$224,基本公式!$B$229),0)</f>
        <v>283</v>
      </c>
    </row>
    <row r="20" spans="5:9">
      <c r="E20">
        <v>19</v>
      </c>
      <c r="G20" s="42">
        <f>ROUND(MIN((产出与消耗!R21+其他表格!S46)/基本公式!$B$224,基本公式!$B$229),0)</f>
        <v>283</v>
      </c>
      <c r="H20" s="42">
        <f>ROUND(MIN((产出与消耗!R43+其他表格!$T$28)/基本公式!$B$224,基本公式!$B$229),0)</f>
        <v>283</v>
      </c>
      <c r="I20" s="42">
        <f>ROUND(MIN((产出与消耗!R65+其他表格!U46)/基本公式!$B$224,基本公式!$B$229),0)</f>
        <v>283</v>
      </c>
    </row>
    <row r="21" spans="5:9">
      <c r="E21">
        <v>20</v>
      </c>
      <c r="G21" s="42">
        <f>ROUND(MIN((产出与消耗!R22+其他表格!S47)/基本公式!$B$224,基本公式!$B$229),0)</f>
        <v>283</v>
      </c>
      <c r="H21" s="42">
        <f>ROUND(MIN((产出与消耗!R44+其他表格!$T$28)/基本公式!$B$224,基本公式!$B$229),0)</f>
        <v>283</v>
      </c>
      <c r="I21" s="42">
        <f>ROUND(MIN((产出与消耗!R66+其他表格!U47)/基本公式!$B$224,基本公式!$B$229),0)</f>
        <v>283</v>
      </c>
    </row>
  </sheetData>
  <phoneticPr fontId="8" type="noConversion"/>
  <pageMargins left="0.69930555555555596" right="0.69930555555555596" top="0.75" bottom="0.75" header="0.3" footer="0.3"/>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47"/>
  <sheetViews>
    <sheetView topLeftCell="F19" workbookViewId="0">
      <selection activeCell="U42" sqref="U42"/>
    </sheetView>
  </sheetViews>
  <sheetFormatPr defaultColWidth="9" defaultRowHeight="13.5"/>
  <cols>
    <col min="1" max="1" width="9.125" customWidth="1"/>
    <col min="2" max="2" width="10.5" customWidth="1"/>
    <col min="5" max="5" width="9" style="2"/>
    <col min="6" max="6" width="10.875" customWidth="1"/>
    <col min="7" max="7" width="10.5" customWidth="1"/>
    <col min="9" max="9" width="9" style="2"/>
    <col min="12" max="12" width="10.875" customWidth="1"/>
    <col min="13" max="13" width="8.875" customWidth="1"/>
    <col min="14" max="15" width="10.75" customWidth="1"/>
    <col min="17" max="17" width="9" style="2"/>
    <col min="18" max="18" width="12.5" customWidth="1"/>
    <col min="23" max="23" width="9" style="2"/>
    <col min="24" max="24" width="10.5" customWidth="1"/>
    <col min="26" max="26" width="9" style="2"/>
    <col min="27" max="27" width="11.25" customWidth="1"/>
    <col min="28" max="31" width="11.5" customWidth="1"/>
  </cols>
  <sheetData>
    <row r="1" spans="1:31" s="1" customFormat="1" ht="27">
      <c r="A1" s="1" t="s">
        <v>330</v>
      </c>
      <c r="B1" s="1" t="s">
        <v>331</v>
      </c>
      <c r="C1" s="1" t="s">
        <v>332</v>
      </c>
      <c r="E1" s="3"/>
      <c r="F1" s="1" t="s">
        <v>333</v>
      </c>
      <c r="G1" s="1" t="s">
        <v>334</v>
      </c>
      <c r="H1" s="1" t="s">
        <v>332</v>
      </c>
      <c r="I1" s="3"/>
      <c r="J1" s="1" t="s">
        <v>335</v>
      </c>
      <c r="K1" s="1" t="s">
        <v>336</v>
      </c>
      <c r="L1" s="1" t="s">
        <v>337</v>
      </c>
      <c r="M1" s="1" t="s">
        <v>338</v>
      </c>
      <c r="N1" s="1" t="s">
        <v>339</v>
      </c>
      <c r="O1" s="1" t="s">
        <v>333</v>
      </c>
      <c r="P1" s="1" t="s">
        <v>340</v>
      </c>
      <c r="Q1" s="3"/>
      <c r="R1" s="1" t="s">
        <v>341</v>
      </c>
      <c r="S1" s="1" t="s">
        <v>250</v>
      </c>
      <c r="T1" s="1" t="s">
        <v>253</v>
      </c>
      <c r="U1" s="1" t="s">
        <v>256</v>
      </c>
      <c r="V1" s="1" t="s">
        <v>198</v>
      </c>
      <c r="W1" s="3"/>
      <c r="X1" s="1" t="s">
        <v>342</v>
      </c>
      <c r="Z1" s="3"/>
      <c r="AA1" s="1" t="s">
        <v>343</v>
      </c>
      <c r="AB1" s="1" t="s">
        <v>344</v>
      </c>
      <c r="AC1" s="1" t="s">
        <v>345</v>
      </c>
      <c r="AD1" s="1" t="s">
        <v>346</v>
      </c>
      <c r="AE1" s="1" t="s">
        <v>347</v>
      </c>
    </row>
    <row r="2" spans="1:31">
      <c r="A2">
        <v>1</v>
      </c>
      <c r="B2">
        <v>0.7</v>
      </c>
      <c r="C2" t="s">
        <v>348</v>
      </c>
      <c r="F2" s="1">
        <v>0</v>
      </c>
      <c r="G2" s="1">
        <v>0.7</v>
      </c>
      <c r="H2" t="s">
        <v>349</v>
      </c>
      <c r="J2">
        <v>1</v>
      </c>
      <c r="K2" s="5">
        <v>0.05</v>
      </c>
      <c r="L2">
        <v>1</v>
      </c>
      <c r="M2">
        <f t="shared" ref="M2" si="0">ROUND(PI()*L2*L2,2)</f>
        <v>3.14</v>
      </c>
      <c r="N2" s="5">
        <f>POWER(M2*N3/M3,基本公式!$B$88)</f>
        <v>8.5441201097983477E-2</v>
      </c>
      <c r="O2">
        <v>100</v>
      </c>
      <c r="P2" s="5">
        <v>0</v>
      </c>
      <c r="R2">
        <v>1</v>
      </c>
      <c r="S2">
        <v>7000</v>
      </c>
      <c r="T2">
        <v>8000</v>
      </c>
      <c r="U2">
        <v>7000</v>
      </c>
      <c r="X2">
        <v>1</v>
      </c>
      <c r="AA2" s="5">
        <v>0.6</v>
      </c>
      <c r="AB2" s="5">
        <v>0.3</v>
      </c>
      <c r="AC2" s="5">
        <v>6.8000000000000005E-2</v>
      </c>
      <c r="AD2" s="5">
        <v>0.03</v>
      </c>
      <c r="AE2" s="5">
        <v>2E-3</v>
      </c>
    </row>
    <row r="3" spans="1:31">
      <c r="A3">
        <v>2</v>
      </c>
      <c r="B3">
        <v>1.1000000000000001</v>
      </c>
      <c r="F3">
        <v>100</v>
      </c>
      <c r="G3">
        <v>1</v>
      </c>
      <c r="J3">
        <v>2</v>
      </c>
      <c r="K3" s="5">
        <f>K2+0.05</f>
        <v>0.1</v>
      </c>
      <c r="L3">
        <v>2</v>
      </c>
      <c r="M3">
        <f t="shared" ref="M3:M11" si="1">ROUND(PI()*L3*L3,2)</f>
        <v>12.57</v>
      </c>
      <c r="N3" s="5">
        <f>POWER(M3*N4/M4,基本公式!$B$88)</f>
        <v>0.18492252324159375</v>
      </c>
      <c r="O3">
        <v>200</v>
      </c>
      <c r="P3" s="5">
        <v>0.01</v>
      </c>
      <c r="R3">
        <v>2</v>
      </c>
      <c r="S3">
        <v>10000</v>
      </c>
      <c r="T3">
        <v>11000</v>
      </c>
      <c r="U3">
        <v>10000</v>
      </c>
      <c r="X3">
        <v>1</v>
      </c>
      <c r="Z3" s="2" t="s">
        <v>350</v>
      </c>
    </row>
    <row r="4" spans="1:31">
      <c r="A4">
        <v>3</v>
      </c>
      <c r="B4">
        <v>1.25</v>
      </c>
      <c r="C4" t="s">
        <v>351</v>
      </c>
      <c r="F4">
        <v>200</v>
      </c>
      <c r="G4">
        <f>G3+0.05</f>
        <v>1.05</v>
      </c>
      <c r="J4">
        <v>3</v>
      </c>
      <c r="K4" s="5">
        <f>K3+0.05</f>
        <v>0.15000000000000002</v>
      </c>
      <c r="L4">
        <v>3</v>
      </c>
      <c r="M4">
        <f t="shared" si="1"/>
        <v>28.27</v>
      </c>
      <c r="N4" s="5">
        <f>POWER(M4*N5/M5,基本公式!$B$88)</f>
        <v>0.27272678579906678</v>
      </c>
      <c r="O4">
        <v>300</v>
      </c>
      <c r="P4" s="5">
        <v>0.03</v>
      </c>
      <c r="R4">
        <v>3</v>
      </c>
      <c r="S4">
        <v>13000</v>
      </c>
      <c r="T4">
        <v>14000</v>
      </c>
      <c r="U4">
        <v>13000</v>
      </c>
      <c r="X4">
        <v>2</v>
      </c>
    </row>
    <row r="5" spans="1:31">
      <c r="A5">
        <v>4</v>
      </c>
      <c r="B5">
        <v>1.3</v>
      </c>
      <c r="C5" t="s">
        <v>352</v>
      </c>
      <c r="F5">
        <v>300</v>
      </c>
      <c r="G5">
        <f t="shared" ref="G5" si="2">G4+0.05</f>
        <v>1.1000000000000001</v>
      </c>
      <c r="J5">
        <v>4</v>
      </c>
      <c r="K5" s="5">
        <f t="shared" ref="K5" si="3">K4+0.06</f>
        <v>0.21000000000000002</v>
      </c>
      <c r="L5">
        <v>4</v>
      </c>
      <c r="M5">
        <f t="shared" si="1"/>
        <v>50.27</v>
      </c>
      <c r="N5" s="5">
        <f>POWER(M5*N6/M6,基本公式!$B$88)</f>
        <v>0.35046352066235725</v>
      </c>
      <c r="O5">
        <v>400</v>
      </c>
      <c r="P5" s="5">
        <f>P4+0.03</f>
        <v>0.06</v>
      </c>
      <c r="R5">
        <v>4</v>
      </c>
      <c r="S5">
        <v>15000</v>
      </c>
      <c r="T5">
        <v>16000</v>
      </c>
      <c r="U5">
        <v>15000</v>
      </c>
      <c r="X5">
        <v>3</v>
      </c>
    </row>
    <row r="6" spans="1:31">
      <c r="A6">
        <v>5</v>
      </c>
      <c r="B6">
        <v>1.35</v>
      </c>
      <c r="F6">
        <v>400</v>
      </c>
      <c r="G6">
        <f t="shared" ref="G6:G12" si="4">G5+0.05</f>
        <v>1.1500000000000001</v>
      </c>
      <c r="J6">
        <v>5</v>
      </c>
      <c r="K6" s="5">
        <f>K5+0.06</f>
        <v>0.27</v>
      </c>
      <c r="L6">
        <v>5</v>
      </c>
      <c r="M6">
        <f t="shared" si="1"/>
        <v>78.540000000000006</v>
      </c>
      <c r="N6" s="5">
        <f>POWER(M6*N7/M7,基本公式!$B$88)</f>
        <v>0.42129425415699889</v>
      </c>
      <c r="O6">
        <v>500</v>
      </c>
      <c r="P6" s="5">
        <f>P5+0.03</f>
        <v>0.09</v>
      </c>
      <c r="R6">
        <v>5</v>
      </c>
      <c r="S6">
        <v>15000</v>
      </c>
      <c r="T6">
        <v>15000</v>
      </c>
      <c r="U6">
        <v>15000</v>
      </c>
      <c r="X6">
        <v>4</v>
      </c>
    </row>
    <row r="7" spans="1:31">
      <c r="A7">
        <v>6</v>
      </c>
      <c r="B7">
        <v>1.4</v>
      </c>
      <c r="F7">
        <v>500</v>
      </c>
      <c r="G7">
        <f t="shared" si="4"/>
        <v>1.2000000000000002</v>
      </c>
      <c r="J7">
        <v>6</v>
      </c>
      <c r="K7" s="5">
        <f>K6+0.06</f>
        <v>0.33</v>
      </c>
      <c r="L7">
        <v>6</v>
      </c>
      <c r="M7">
        <f t="shared" si="1"/>
        <v>113.1</v>
      </c>
      <c r="N7" s="5">
        <f>POWER(M7*N8/M8,基本公式!$B$88)</f>
        <v>0.48876897173039319</v>
      </c>
      <c r="O7">
        <v>600</v>
      </c>
      <c r="P7" s="5">
        <f t="shared" ref="P7" si="5">P6+0.03</f>
        <v>0.12</v>
      </c>
      <c r="R7">
        <v>6</v>
      </c>
      <c r="S7">
        <v>28000</v>
      </c>
      <c r="T7">
        <v>28000</v>
      </c>
      <c r="U7">
        <v>23000</v>
      </c>
      <c r="X7">
        <v>5</v>
      </c>
    </row>
    <row r="8" spans="1:31">
      <c r="A8">
        <v>7</v>
      </c>
      <c r="B8">
        <v>1.45</v>
      </c>
      <c r="F8">
        <v>600</v>
      </c>
      <c r="G8">
        <f t="shared" si="4"/>
        <v>1.2500000000000002</v>
      </c>
      <c r="J8">
        <v>7</v>
      </c>
      <c r="K8" s="5">
        <f>K7+0.07</f>
        <v>0.4</v>
      </c>
      <c r="L8">
        <v>7</v>
      </c>
      <c r="M8">
        <f t="shared" si="1"/>
        <v>153.94</v>
      </c>
      <c r="N8" s="5">
        <f>POWER(M8*N9/M9,基本公式!$B$88)</f>
        <v>0.55624793575478926</v>
      </c>
      <c r="O8">
        <v>700</v>
      </c>
      <c r="P8" s="5">
        <f>P7+0.03</f>
        <v>0.15</v>
      </c>
      <c r="R8">
        <v>7</v>
      </c>
      <c r="S8">
        <v>28000</v>
      </c>
      <c r="T8">
        <v>28000</v>
      </c>
      <c r="U8">
        <v>23000</v>
      </c>
      <c r="X8">
        <v>6</v>
      </c>
    </row>
    <row r="9" spans="1:31">
      <c r="A9">
        <v>8</v>
      </c>
      <c r="B9">
        <v>1.5</v>
      </c>
      <c r="F9">
        <v>700</v>
      </c>
      <c r="G9">
        <f t="shared" si="4"/>
        <v>1.3000000000000003</v>
      </c>
      <c r="J9">
        <v>8</v>
      </c>
      <c r="K9" s="5">
        <f>K8+0.08</f>
        <v>0.48000000000000004</v>
      </c>
      <c r="L9">
        <v>8</v>
      </c>
      <c r="M9">
        <f t="shared" si="1"/>
        <v>201.06</v>
      </c>
      <c r="N9" s="5">
        <f>POWER(M9*N10/M10,基本公式!$B$88)</f>
        <v>0.62742195465205941</v>
      </c>
      <c r="O9">
        <v>800</v>
      </c>
      <c r="P9" s="5">
        <f>P8+0.03</f>
        <v>0.18</v>
      </c>
      <c r="R9">
        <v>8</v>
      </c>
      <c r="S9">
        <v>28000</v>
      </c>
      <c r="T9">
        <v>28000</v>
      </c>
      <c r="U9">
        <v>23000</v>
      </c>
      <c r="X9">
        <v>7</v>
      </c>
    </row>
    <row r="10" spans="1:31">
      <c r="A10">
        <v>9</v>
      </c>
      <c r="B10">
        <v>1.55</v>
      </c>
      <c r="F10">
        <v>800</v>
      </c>
      <c r="G10">
        <f t="shared" si="4"/>
        <v>1.3500000000000003</v>
      </c>
      <c r="J10">
        <v>9</v>
      </c>
      <c r="K10" s="5">
        <f>K9+0.09</f>
        <v>0.57000000000000006</v>
      </c>
      <c r="L10">
        <v>9</v>
      </c>
      <c r="M10">
        <f t="shared" si="1"/>
        <v>254.47</v>
      </c>
      <c r="N10" s="5">
        <f>POWER(M10*N11/M11,基本公式!$B$88)</f>
        <v>0.70674142987506383</v>
      </c>
      <c r="O10">
        <v>900</v>
      </c>
      <c r="P10" s="5">
        <f>P9+0.03</f>
        <v>0.21</v>
      </c>
      <c r="R10">
        <v>9</v>
      </c>
      <c r="S10">
        <v>28000</v>
      </c>
      <c r="T10">
        <v>28000</v>
      </c>
      <c r="U10">
        <v>23000</v>
      </c>
      <c r="X10">
        <v>8</v>
      </c>
    </row>
    <row r="11" spans="1:31">
      <c r="A11">
        <v>10</v>
      </c>
      <c r="B11">
        <v>1.6</v>
      </c>
      <c r="C11" t="s">
        <v>353</v>
      </c>
      <c r="F11">
        <v>900</v>
      </c>
      <c r="G11">
        <f t="shared" si="4"/>
        <v>1.4000000000000004</v>
      </c>
      <c r="J11">
        <v>10</v>
      </c>
      <c r="K11" s="5">
        <f>K10+0.1</f>
        <v>0.67</v>
      </c>
      <c r="L11">
        <v>10</v>
      </c>
      <c r="M11">
        <f t="shared" si="1"/>
        <v>314.16000000000003</v>
      </c>
      <c r="N11" s="5">
        <v>0.8</v>
      </c>
      <c r="O11">
        <v>1000</v>
      </c>
      <c r="P11" s="5">
        <f>P10+0.03</f>
        <v>0.24</v>
      </c>
      <c r="R11">
        <v>10</v>
      </c>
      <c r="S11">
        <v>28000</v>
      </c>
      <c r="T11">
        <v>28000</v>
      </c>
      <c r="U11">
        <v>23000</v>
      </c>
      <c r="X11">
        <v>9</v>
      </c>
    </row>
    <row r="12" spans="1:31">
      <c r="F12">
        <v>1000</v>
      </c>
      <c r="G12">
        <f t="shared" si="4"/>
        <v>1.4500000000000004</v>
      </c>
      <c r="R12">
        <v>11</v>
      </c>
      <c r="S12">
        <v>28000</v>
      </c>
      <c r="T12">
        <v>28000</v>
      </c>
      <c r="U12">
        <v>23000</v>
      </c>
      <c r="X12">
        <v>10</v>
      </c>
    </row>
    <row r="13" spans="1:31">
      <c r="R13">
        <v>12</v>
      </c>
      <c r="S13">
        <v>28000</v>
      </c>
      <c r="T13">
        <v>28000</v>
      </c>
      <c r="U13">
        <v>23000</v>
      </c>
      <c r="X13">
        <v>11</v>
      </c>
    </row>
    <row r="14" spans="1:31">
      <c r="R14">
        <v>13</v>
      </c>
      <c r="S14">
        <v>28000</v>
      </c>
      <c r="T14">
        <v>28000</v>
      </c>
      <c r="U14">
        <v>23000</v>
      </c>
      <c r="X14">
        <v>12</v>
      </c>
    </row>
    <row r="15" spans="1:31">
      <c r="R15">
        <v>14</v>
      </c>
      <c r="S15">
        <v>28000</v>
      </c>
      <c r="T15">
        <v>28000</v>
      </c>
      <c r="U15">
        <v>23000</v>
      </c>
      <c r="X15">
        <v>13</v>
      </c>
    </row>
    <row r="16" spans="1:31">
      <c r="R16">
        <v>15</v>
      </c>
      <c r="S16">
        <v>28000</v>
      </c>
      <c r="T16">
        <v>28000</v>
      </c>
      <c r="U16">
        <v>23000</v>
      </c>
      <c r="X16">
        <v>14</v>
      </c>
    </row>
    <row r="17" spans="1:26">
      <c r="R17">
        <v>16</v>
      </c>
      <c r="S17">
        <v>28000</v>
      </c>
      <c r="T17">
        <v>28000</v>
      </c>
      <c r="U17">
        <v>23000</v>
      </c>
      <c r="X17">
        <v>15</v>
      </c>
    </row>
    <row r="18" spans="1:26">
      <c r="R18">
        <v>17</v>
      </c>
      <c r="S18">
        <v>28000</v>
      </c>
      <c r="T18">
        <v>28000</v>
      </c>
      <c r="U18">
        <v>23000</v>
      </c>
      <c r="X18">
        <v>16</v>
      </c>
    </row>
    <row r="19" spans="1:26">
      <c r="R19">
        <v>18</v>
      </c>
      <c r="S19">
        <v>28000</v>
      </c>
      <c r="T19">
        <v>28000</v>
      </c>
      <c r="U19">
        <v>23000</v>
      </c>
      <c r="X19">
        <v>17</v>
      </c>
    </row>
    <row r="20" spans="1:26">
      <c r="R20">
        <v>19</v>
      </c>
      <c r="S20">
        <v>28000</v>
      </c>
      <c r="T20">
        <v>28000</v>
      </c>
      <c r="U20">
        <v>23000</v>
      </c>
      <c r="X20">
        <v>18</v>
      </c>
    </row>
    <row r="21" spans="1:26">
      <c r="R21">
        <v>20</v>
      </c>
      <c r="S21">
        <v>28000</v>
      </c>
      <c r="T21">
        <v>28000</v>
      </c>
      <c r="U21">
        <v>23000</v>
      </c>
      <c r="X21">
        <v>19</v>
      </c>
    </row>
    <row r="24" spans="1:26" s="2" customFormat="1"/>
    <row r="25" spans="1:26" s="2" customFormat="1"/>
    <row r="26" spans="1:26" s="2" customFormat="1"/>
    <row r="27" spans="1:26" s="1" customFormat="1" ht="27">
      <c r="A27" s="1" t="s">
        <v>354</v>
      </c>
      <c r="B27" s="1" t="s">
        <v>355</v>
      </c>
      <c r="E27" s="3"/>
      <c r="F27" s="4" t="s">
        <v>356</v>
      </c>
      <c r="G27" s="4" t="s">
        <v>357</v>
      </c>
      <c r="I27" s="3"/>
      <c r="Q27" s="3"/>
      <c r="R27" s="1" t="s">
        <v>1183</v>
      </c>
      <c r="S27" s="1" t="s">
        <v>250</v>
      </c>
      <c r="T27" s="1" t="s">
        <v>253</v>
      </c>
      <c r="U27" s="1" t="s">
        <v>256</v>
      </c>
      <c r="V27" s="1" t="s">
        <v>198</v>
      </c>
      <c r="W27" s="3"/>
      <c r="X27" s="1" t="s">
        <v>1072</v>
      </c>
      <c r="Y27" s="1" t="s">
        <v>1070</v>
      </c>
      <c r="Z27" s="3"/>
    </row>
    <row r="28" spans="1:26">
      <c r="A28">
        <v>1</v>
      </c>
      <c r="B28">
        <v>35</v>
      </c>
      <c r="F28" s="5">
        <f>POWER(基本公式!$B$3,(建筑!$A$21+1-建筑!A2)*1.5)</f>
        <v>0.21463876394293749</v>
      </c>
      <c r="G28" s="6">
        <f>基本公式!$B$3*产出与消耗!M3*24*F28</f>
        <v>4.8937638178989745E-2</v>
      </c>
      <c r="R28">
        <v>1</v>
      </c>
      <c r="S28">
        <v>35000</v>
      </c>
      <c r="T28">
        <v>35000</v>
      </c>
      <c r="U28">
        <v>35000</v>
      </c>
      <c r="X28" s="23">
        <f>Y28*基本公式!$B$6</f>
        <v>0</v>
      </c>
      <c r="Y28">
        <v>0</v>
      </c>
    </row>
    <row r="29" spans="1:26">
      <c r="A29">
        <v>2</v>
      </c>
      <c r="B29">
        <v>45</v>
      </c>
      <c r="F29" s="5">
        <f>POWER(基本公式!$B$3,建筑!$A$21+1-建筑!A3)</f>
        <v>0.37735360253530753</v>
      </c>
      <c r="G29" s="6">
        <f>基本公式!$B$3*产出与消耗!M4*24*F29</f>
        <v>0.43018310689025063</v>
      </c>
      <c r="R29">
        <v>2</v>
      </c>
      <c r="S29">
        <v>35000</v>
      </c>
      <c r="T29">
        <v>35000</v>
      </c>
      <c r="U29">
        <v>35000</v>
      </c>
      <c r="X29" s="23">
        <f>Y29*基本公式!$B$6</f>
        <v>0</v>
      </c>
      <c r="Y29">
        <v>0</v>
      </c>
    </row>
    <row r="30" spans="1:26">
      <c r="A30">
        <v>3</v>
      </c>
      <c r="B30">
        <v>60</v>
      </c>
      <c r="F30" s="5">
        <f>POWER(基本公式!$B$3,建筑!$A$21+1-建筑!A4)</f>
        <v>0.39721431845821847</v>
      </c>
      <c r="G30" s="6">
        <f>基本公式!$B$3*产出与消耗!M5*24*F30</f>
        <v>1.8112972921694765</v>
      </c>
      <c r="R30">
        <v>3</v>
      </c>
      <c r="S30">
        <v>35000</v>
      </c>
      <c r="T30">
        <v>35000</v>
      </c>
      <c r="U30">
        <v>35000</v>
      </c>
      <c r="X30" s="23">
        <f>Y30*基本公式!$B$6</f>
        <v>0</v>
      </c>
      <c r="Y30">
        <v>0</v>
      </c>
    </row>
    <row r="31" spans="1:26">
      <c r="A31">
        <v>4</v>
      </c>
      <c r="B31">
        <v>80</v>
      </c>
      <c r="F31" s="5">
        <f>POWER(基本公式!$B$3,建筑!$A$21+1-建筑!A5)</f>
        <v>0.41812033521917735</v>
      </c>
      <c r="G31" s="6">
        <f>基本公式!$B$3*产出与消耗!M6*24*F31</f>
        <v>4.2899146393487593</v>
      </c>
      <c r="R31">
        <v>4</v>
      </c>
      <c r="S31">
        <v>70000</v>
      </c>
      <c r="T31">
        <v>70000</v>
      </c>
      <c r="U31">
        <v>70000</v>
      </c>
      <c r="X31" s="23">
        <f>Y31*基本公式!$B$6</f>
        <v>0</v>
      </c>
      <c r="Y31">
        <v>0</v>
      </c>
    </row>
    <row r="32" spans="1:26">
      <c r="A32">
        <v>5</v>
      </c>
      <c r="B32">
        <v>115</v>
      </c>
      <c r="F32" s="5">
        <f>POWER(基本公式!$B$3,建筑!$A$21+1-建筑!A6)</f>
        <v>0.44012666865176564</v>
      </c>
      <c r="G32" s="6">
        <f>基本公式!$B$3*产出与消耗!M7*24*F32</f>
        <v>8.5296548384712185</v>
      </c>
      <c r="R32">
        <v>5</v>
      </c>
      <c r="S32">
        <v>70000</v>
      </c>
      <c r="T32">
        <v>70000</v>
      </c>
      <c r="U32">
        <v>70000</v>
      </c>
      <c r="X32" s="23">
        <f>Y32*基本公式!$B$6</f>
        <v>0</v>
      </c>
      <c r="Y32">
        <v>0</v>
      </c>
    </row>
    <row r="33" spans="6:25">
      <c r="F33" s="5">
        <f>POWER(基本公式!$B$3,建筑!$A$21+1-建筑!A7)</f>
        <v>0.46329123015975332</v>
      </c>
      <c r="G33" s="6">
        <f>基本公式!$B$3*产出与消耗!M8*24*F33</f>
        <v>14.788256066699324</v>
      </c>
      <c r="R33">
        <v>6</v>
      </c>
      <c r="S33">
        <v>70000</v>
      </c>
      <c r="T33">
        <v>70000</v>
      </c>
      <c r="U33">
        <v>70000</v>
      </c>
      <c r="X33" s="23">
        <f>Y33*基本公式!$B$6</f>
        <v>0</v>
      </c>
      <c r="Y33">
        <v>0</v>
      </c>
    </row>
    <row r="34" spans="6:25">
      <c r="F34" s="5">
        <f>POWER(基本公式!$B$3,建筑!$A$21+1-建筑!A8)</f>
        <v>0.48767497911552976</v>
      </c>
      <c r="G34" s="6">
        <f>基本公式!$B$3*产出与消耗!M9*24*F34</f>
        <v>25.573675904818376</v>
      </c>
      <c r="R34">
        <v>7</v>
      </c>
      <c r="S34">
        <v>70000</v>
      </c>
      <c r="T34">
        <v>70000</v>
      </c>
      <c r="U34">
        <v>70000</v>
      </c>
      <c r="X34" s="23">
        <f>Y34*基本公式!$B$6</f>
        <v>0</v>
      </c>
      <c r="Y34">
        <v>0</v>
      </c>
    </row>
    <row r="35" spans="6:25">
      <c r="F35" s="5">
        <f>POWER(基本公式!$B$3,建筑!$A$21+1-建筑!A9)</f>
        <v>0.51334208327950503</v>
      </c>
      <c r="G35" s="6">
        <f>基本公式!$B$3*产出与消耗!M10*24*F35</f>
        <v>50.328057844722672</v>
      </c>
      <c r="R35">
        <v>8</v>
      </c>
      <c r="S35">
        <v>70000</v>
      </c>
      <c r="T35">
        <v>70000</v>
      </c>
      <c r="U35">
        <v>70000</v>
      </c>
      <c r="X35" s="23">
        <f>Y35*基本公式!$B$6</f>
        <v>0.57466666666666666</v>
      </c>
      <c r="Y35">
        <v>1</v>
      </c>
    </row>
    <row r="36" spans="6:25">
      <c r="F36" s="5">
        <f>POWER(基本公式!$B$3,建筑!$A$21+1-建筑!A10)</f>
        <v>0.54036008766263688</v>
      </c>
      <c r="G36" s="6">
        <f>基本公式!$B$3*产出与消耗!M11*24*F36</f>
        <v>86.241469990956844</v>
      </c>
      <c r="R36">
        <v>9</v>
      </c>
      <c r="S36">
        <v>70000</v>
      </c>
      <c r="T36">
        <v>70000</v>
      </c>
      <c r="U36">
        <v>70000</v>
      </c>
      <c r="X36" s="23">
        <f>Y36*基本公式!$B$6</f>
        <v>0.57466666666666666</v>
      </c>
      <c r="Y36">
        <v>1</v>
      </c>
    </row>
    <row r="37" spans="6:25">
      <c r="F37" s="5">
        <f>POWER(基本公式!$B$3,建筑!$A$21+1-建筑!A11)</f>
        <v>0.56880009227645989</v>
      </c>
      <c r="G37" s="6">
        <f>基本公式!$B$3*产出与消耗!M12*24*F37</f>
        <v>142.65506314293614</v>
      </c>
      <c r="R37">
        <v>10</v>
      </c>
      <c r="S37">
        <v>70000</v>
      </c>
      <c r="T37">
        <v>70000</v>
      </c>
      <c r="U37">
        <v>70000</v>
      </c>
      <c r="X37" s="23">
        <f>Y37*基本公式!$B$6</f>
        <v>1.1493333333333333</v>
      </c>
      <c r="Y37">
        <v>2</v>
      </c>
    </row>
    <row r="38" spans="6:25">
      <c r="F38" s="5">
        <f>POWER(基本公式!$B$3,建筑!$A$21+1-建筑!A12)</f>
        <v>0.5987369392383789</v>
      </c>
      <c r="G38" s="6">
        <f>基本公式!$B$3*产出与消耗!M13*24*F38</f>
        <v>245.72163986343068</v>
      </c>
      <c r="R38">
        <v>11</v>
      </c>
      <c r="S38">
        <v>70000</v>
      </c>
      <c r="T38">
        <v>70000</v>
      </c>
      <c r="U38">
        <v>70000</v>
      </c>
      <c r="X38" s="23">
        <f>Y38*基本公式!$B$6</f>
        <v>1.1493333333333333</v>
      </c>
      <c r="Y38">
        <v>2</v>
      </c>
    </row>
    <row r="39" spans="6:25">
      <c r="F39" s="5">
        <f>POWER(基本公式!$B$3,建筑!$A$21+1-建筑!A13)</f>
        <v>0.6302494097246093</v>
      </c>
      <c r="G39" s="6">
        <f>基本公式!$B$3*产出与消耗!M14*24*F39</f>
        <v>387.98153662646945</v>
      </c>
      <c r="R39">
        <v>12</v>
      </c>
      <c r="S39">
        <v>70000</v>
      </c>
      <c r="T39">
        <v>70000</v>
      </c>
      <c r="U39">
        <v>70000</v>
      </c>
      <c r="X39" s="23">
        <f>Y39*基本公式!$B$6</f>
        <v>1.724</v>
      </c>
      <c r="Y39">
        <v>3</v>
      </c>
    </row>
    <row r="40" spans="6:25">
      <c r="F40" s="5">
        <f>POWER(基本公式!$B$3,建筑!$A$21+1-建筑!A14)</f>
        <v>0.66342043128906247</v>
      </c>
      <c r="G40" s="6">
        <f>基本公式!$B$3*产出与消耗!M15*24*F40</f>
        <v>605.03943333562495</v>
      </c>
      <c r="R40">
        <v>13</v>
      </c>
      <c r="S40">
        <v>70000</v>
      </c>
      <c r="T40">
        <v>70000</v>
      </c>
      <c r="U40">
        <v>70000</v>
      </c>
      <c r="X40" s="23">
        <f>Y40*基本公式!$B$6</f>
        <v>1.724</v>
      </c>
      <c r="Y40">
        <v>3</v>
      </c>
    </row>
    <row r="41" spans="6:25">
      <c r="F41" s="5">
        <f>POWER(基本公式!$B$3,建筑!$A$21+1-建筑!A15)</f>
        <v>0.69833729609374995</v>
      </c>
      <c r="G41" s="6">
        <f>基本公式!$B$3*产出与消耗!M16*24*F41</f>
        <v>891.63705965249994</v>
      </c>
      <c r="R41">
        <v>14</v>
      </c>
      <c r="S41">
        <v>70000</v>
      </c>
      <c r="T41">
        <v>70000</v>
      </c>
      <c r="U41">
        <v>70000</v>
      </c>
      <c r="X41" s="23">
        <f>Y41*基本公式!$B$6</f>
        <v>2.2986666666666666</v>
      </c>
      <c r="Y41">
        <v>4</v>
      </c>
    </row>
    <row r="42" spans="6:25">
      <c r="F42" s="5">
        <f>POWER(基本公式!$B$3,建筑!$A$21+1-建筑!A16)</f>
        <v>0.73509189062499991</v>
      </c>
      <c r="G42" s="6">
        <f>基本公式!$B$3*产出与消耗!M17*24*F42</f>
        <v>1257.0071329687498</v>
      </c>
      <c r="R42">
        <v>15</v>
      </c>
      <c r="S42">
        <v>70000</v>
      </c>
      <c r="T42">
        <v>70000</v>
      </c>
      <c r="U42">
        <v>70000</v>
      </c>
      <c r="X42" s="23">
        <f>Y42*基本公式!$B$6</f>
        <v>2.2986666666666666</v>
      </c>
      <c r="Y42">
        <v>4</v>
      </c>
    </row>
    <row r="43" spans="6:25">
      <c r="F43" s="5">
        <f>POWER(基本公式!$B$3,建筑!$A$21+1-建筑!A17)</f>
        <v>0.77378093749999999</v>
      </c>
      <c r="G43" s="6">
        <f>基本公式!$B$3*产出与消耗!M18*24*F43</f>
        <v>1711.2939213749999</v>
      </c>
      <c r="R43">
        <v>16</v>
      </c>
      <c r="S43">
        <v>70000</v>
      </c>
      <c r="T43">
        <v>70000</v>
      </c>
      <c r="U43">
        <v>70000</v>
      </c>
      <c r="X43" s="23">
        <f>Y43*基本公式!$B$6</f>
        <v>2.8733333333333331</v>
      </c>
      <c r="Y43">
        <v>5</v>
      </c>
    </row>
    <row r="44" spans="6:25">
      <c r="F44" s="5">
        <f>POWER(基本公式!$B$3,建筑!$A$21+1-建筑!A18)</f>
        <v>0.81450624999999999</v>
      </c>
      <c r="G44" s="6">
        <f>基本公式!$B$3*产出与消耗!M19*24*F44</f>
        <v>2265.6305849999999</v>
      </c>
      <c r="R44">
        <v>17</v>
      </c>
      <c r="S44">
        <v>70000</v>
      </c>
      <c r="T44">
        <v>70000</v>
      </c>
      <c r="U44">
        <v>70000</v>
      </c>
      <c r="X44" s="23">
        <f>Y44*基本公式!$B$6</f>
        <v>2.8733333333333331</v>
      </c>
      <c r="Y44">
        <v>5</v>
      </c>
    </row>
    <row r="45" spans="6:25">
      <c r="F45" s="5">
        <f>POWER(基本公式!$B$3,建筑!$A$21+1-建筑!A19)</f>
        <v>0.85737499999999989</v>
      </c>
      <c r="G45" s="6">
        <f>基本公式!$B$3*产出与消耗!M20*24*F45</f>
        <v>2932.2224999999994</v>
      </c>
      <c r="R45">
        <v>18</v>
      </c>
      <c r="S45">
        <v>70000</v>
      </c>
      <c r="T45">
        <v>70000</v>
      </c>
      <c r="U45">
        <v>70000</v>
      </c>
      <c r="X45" s="23">
        <f>Y45*基本公式!$B$6</f>
        <v>3.448</v>
      </c>
      <c r="Y45">
        <v>6</v>
      </c>
    </row>
    <row r="46" spans="6:25">
      <c r="F46" s="5">
        <f>POWER(基本公式!$B$3,建筑!$A$21+1-建筑!A20)</f>
        <v>0.90249999999999997</v>
      </c>
      <c r="G46" s="6">
        <f>基本公式!$B$3*产出与消耗!M21*24*F46</f>
        <v>3724.436999999999</v>
      </c>
      <c r="R46">
        <v>19</v>
      </c>
      <c r="S46">
        <v>70000</v>
      </c>
      <c r="T46">
        <v>70000</v>
      </c>
      <c r="U46">
        <v>70000</v>
      </c>
      <c r="X46" s="23">
        <f>Y46*基本公式!$B$6</f>
        <v>4.0226666666666668</v>
      </c>
      <c r="Y46">
        <v>7</v>
      </c>
    </row>
    <row r="47" spans="6:25">
      <c r="F47" s="5">
        <f>POWER(基本公式!$B$3,建筑!$A$21+1-建筑!A21)</f>
        <v>0.95</v>
      </c>
      <c r="G47" s="6">
        <f>基本公式!$B$3*产出与消耗!M22*24*F47</f>
        <v>4656.8999999999996</v>
      </c>
      <c r="R47">
        <v>20</v>
      </c>
      <c r="S47">
        <v>70000</v>
      </c>
      <c r="T47">
        <v>70000</v>
      </c>
      <c r="U47">
        <v>70000</v>
      </c>
      <c r="X47" s="23">
        <f>Y47*基本公式!$B$6</f>
        <v>4.5973333333333333</v>
      </c>
      <c r="Y47">
        <v>8</v>
      </c>
    </row>
  </sheetData>
  <phoneticPr fontId="8" type="noConversion"/>
  <pageMargins left="0.69930555555555596" right="0.69930555555555596" top="0.75" bottom="0.75" header="0.3" footer="0.3"/>
  <pageSetup paperSize="9" orientation="portrait" verticalDpi="12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基本公式</vt:lpstr>
      <vt:lpstr>兵攻防</vt:lpstr>
      <vt:lpstr>产出与消耗</vt:lpstr>
      <vt:lpstr>建筑消耗</vt:lpstr>
      <vt:lpstr>建筑</vt:lpstr>
      <vt:lpstr>兵消耗</vt:lpstr>
      <vt:lpstr>科技</vt:lpstr>
      <vt:lpstr>武将</vt:lpstr>
      <vt:lpstr>武将基础数值</vt:lpstr>
      <vt:lpstr>大地图</vt:lpstr>
      <vt:lpstr>其他表格</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chendong</dc:creator>
  <cp:lastModifiedBy>tangjiaqi</cp:lastModifiedBy>
  <dcterms:created xsi:type="dcterms:W3CDTF">2013-09-23T14:57:23Z</dcterms:created>
  <dcterms:modified xsi:type="dcterms:W3CDTF">2013-09-27T10:41:18Z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2052-9.1.0.4249</vt:lpwstr>
  </property>
</Properties>
</file>