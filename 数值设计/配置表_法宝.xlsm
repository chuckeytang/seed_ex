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345" windowWidth="14805" windowHeight="7770" activeTab="1"/>
  </bookViews>
  <sheets>
    <sheet name="玩家卡牌配置表" sheetId="29" r:id="rId1"/>
    <sheet name="法宝人物匹配表" sheetId="2" r:id="rId2"/>
    <sheet name="S_Huayuan" sheetId="90" r:id="rId3"/>
    <sheet name="S_Ziqixiangyao" sheetId="91" r:id="rId4"/>
    <sheet name="S_Jinghua" sheetId="92" r:id="rId5"/>
    <sheet name="S_Wuhuanfazhen" sheetId="93" r:id="rId6"/>
    <sheet name="S_Jiashahuti" sheetId="94" r:id="rId7"/>
    <sheet name="S_Jingu" sheetId="95" r:id="rId8"/>
    <sheet name="S_Luanbangda" sheetId="96" r:id="rId9"/>
    <sheet name="S_Qianjinding" sheetId="97" r:id="rId10"/>
    <sheet name="S_Jitu" sheetId="98" r:id="rId11"/>
    <sheet name="S_Longlin" sheetId="99" r:id="rId12"/>
    <sheet name="S_Julongshuaiwei" sheetId="100" r:id="rId13"/>
    <sheet name="S_Dingpakongza" sheetId="101" r:id="rId14"/>
    <sheet name="S_Zhanpaojiashen" sheetId="102" r:id="rId15"/>
    <sheet name="S_Jifeng" sheetId="103" r:id="rId16"/>
    <sheet name="S_Fengzhen" sheetId="104" r:id="rId17"/>
    <sheet name="S_Yueyazhan" sheetId="105" r:id="rId18"/>
  </sheets>
  <externalReferences>
    <externalReference r:id="rId19"/>
  </externalReferences>
  <calcPr calcId="144525"/>
</workbook>
</file>

<file path=xl/calcChain.xml><?xml version="1.0" encoding="utf-8"?>
<calcChain xmlns="http://schemas.openxmlformats.org/spreadsheetml/2006/main">
  <c r="AO1" i="2" l="1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A3" i="105"/>
  <c r="A4" i="105"/>
  <c r="A5" i="105"/>
  <c r="A6" i="105"/>
  <c r="A7" i="105"/>
  <c r="A8" i="105"/>
  <c r="A9" i="105"/>
  <c r="A10" i="105"/>
  <c r="A11" i="105"/>
  <c r="A2" i="105"/>
  <c r="A11" i="104"/>
  <c r="A10" i="104"/>
  <c r="A9" i="104"/>
  <c r="A8" i="104"/>
  <c r="A7" i="104"/>
  <c r="A6" i="104"/>
  <c r="A5" i="104"/>
  <c r="A4" i="104"/>
  <c r="A3" i="104"/>
  <c r="A2" i="104"/>
  <c r="A3" i="103"/>
  <c r="A4" i="103"/>
  <c r="A5" i="103"/>
  <c r="A6" i="103"/>
  <c r="A7" i="103"/>
  <c r="A8" i="103"/>
  <c r="A9" i="103"/>
  <c r="A10" i="103"/>
  <c r="A11" i="103"/>
  <c r="A2" i="103"/>
  <c r="A3" i="102"/>
  <c r="A4" i="102"/>
  <c r="A5" i="102"/>
  <c r="A6" i="102"/>
  <c r="A7" i="102"/>
  <c r="A8" i="102"/>
  <c r="A9" i="102"/>
  <c r="A10" i="102"/>
  <c r="A11" i="102"/>
  <c r="A2" i="102"/>
  <c r="A3" i="101"/>
  <c r="A4" i="101"/>
  <c r="A5" i="101"/>
  <c r="A6" i="101"/>
  <c r="A7" i="101"/>
  <c r="A8" i="101"/>
  <c r="A9" i="101"/>
  <c r="A10" i="101"/>
  <c r="A11" i="101"/>
  <c r="A2" i="101"/>
  <c r="A11" i="100"/>
  <c r="A10" i="100"/>
  <c r="A9" i="100"/>
  <c r="A8" i="100"/>
  <c r="A7" i="100"/>
  <c r="A6" i="100"/>
  <c r="A5" i="100"/>
  <c r="A4" i="100"/>
  <c r="A3" i="100"/>
  <c r="A2" i="100"/>
  <c r="A11" i="99"/>
  <c r="A10" i="99"/>
  <c r="A9" i="99"/>
  <c r="A8" i="99"/>
  <c r="A7" i="99"/>
  <c r="A6" i="99"/>
  <c r="A5" i="99"/>
  <c r="A4" i="99"/>
  <c r="A3" i="99"/>
  <c r="A2" i="99"/>
  <c r="A11" i="98"/>
  <c r="A10" i="98"/>
  <c r="A9" i="98"/>
  <c r="A8" i="98"/>
  <c r="A7" i="98"/>
  <c r="A6" i="98"/>
  <c r="A5" i="98"/>
  <c r="A4" i="98"/>
  <c r="A3" i="98"/>
  <c r="A2" i="98"/>
  <c r="A11" i="97"/>
  <c r="A10" i="97"/>
  <c r="A9" i="97"/>
  <c r="A8" i="97"/>
  <c r="A7" i="97"/>
  <c r="A6" i="97"/>
  <c r="A5" i="97"/>
  <c r="A4" i="97"/>
  <c r="A3" i="97"/>
  <c r="A2" i="97"/>
  <c r="A11" i="96"/>
  <c r="A10" i="96"/>
  <c r="A9" i="96"/>
  <c r="A8" i="96"/>
  <c r="A7" i="96"/>
  <c r="A6" i="96"/>
  <c r="A5" i="96"/>
  <c r="A4" i="96"/>
  <c r="A3" i="96"/>
  <c r="A2" i="96"/>
  <c r="A11" i="95"/>
  <c r="A10" i="95"/>
  <c r="A9" i="95"/>
  <c r="A8" i="95"/>
  <c r="A7" i="95"/>
  <c r="A6" i="95"/>
  <c r="A5" i="95"/>
  <c r="A4" i="95"/>
  <c r="A3" i="95"/>
  <c r="A2" i="95"/>
  <c r="A11" i="94"/>
  <c r="A10" i="94"/>
  <c r="A9" i="94"/>
  <c r="A8" i="94"/>
  <c r="A7" i="94"/>
  <c r="A6" i="94"/>
  <c r="A5" i="94"/>
  <c r="A4" i="94"/>
  <c r="A3" i="94"/>
  <c r="A2" i="94"/>
  <c r="A11" i="93"/>
  <c r="A10" i="93"/>
  <c r="A9" i="93"/>
  <c r="A8" i="93"/>
  <c r="A7" i="93"/>
  <c r="A6" i="93"/>
  <c r="A5" i="93"/>
  <c r="A4" i="93"/>
  <c r="A3" i="93"/>
  <c r="A2" i="93"/>
  <c r="A11" i="92"/>
  <c r="A10" i="92"/>
  <c r="A9" i="92"/>
  <c r="A8" i="92"/>
  <c r="A7" i="92"/>
  <c r="A6" i="92"/>
  <c r="A5" i="92"/>
  <c r="A4" i="92"/>
  <c r="A3" i="92"/>
  <c r="A2" i="92"/>
  <c r="A11" i="91"/>
  <c r="A10" i="91"/>
  <c r="A9" i="91"/>
  <c r="A8" i="91"/>
  <c r="A7" i="91"/>
  <c r="A6" i="91"/>
  <c r="A5" i="91"/>
  <c r="A4" i="91"/>
  <c r="A3" i="91"/>
  <c r="A2" i="91"/>
  <c r="A11" i="90"/>
  <c r="A10" i="90"/>
  <c r="A9" i="90"/>
  <c r="A8" i="90"/>
  <c r="A7" i="90"/>
  <c r="A6" i="90"/>
  <c r="A5" i="90"/>
  <c r="A4" i="90"/>
  <c r="A3" i="90"/>
  <c r="A2" i="90"/>
  <c r="E2" i="90"/>
  <c r="E3" i="90"/>
  <c r="E4" i="90"/>
  <c r="E5" i="90"/>
  <c r="E6" i="90"/>
  <c r="E7" i="90"/>
  <c r="E8" i="90"/>
  <c r="E9" i="90"/>
  <c r="E10" i="90"/>
  <c r="E11" i="90"/>
  <c r="H4" i="91"/>
  <c r="H5" i="91"/>
  <c r="H6" i="91"/>
  <c r="H7" i="91"/>
  <c r="H8" i="91"/>
  <c r="H9" i="91"/>
  <c r="H10" i="91"/>
  <c r="H11" i="91"/>
  <c r="H1" i="91"/>
  <c r="E2" i="91"/>
  <c r="E3" i="91"/>
  <c r="E4" i="91"/>
  <c r="E5" i="91"/>
  <c r="E6" i="91"/>
  <c r="E7" i="91"/>
  <c r="E8" i="91"/>
  <c r="E9" i="91"/>
  <c r="E10" i="91"/>
  <c r="E11" i="91"/>
  <c r="H2" i="92"/>
  <c r="H3" i="92"/>
  <c r="H4" i="92"/>
  <c r="H5" i="92"/>
  <c r="H6" i="92"/>
  <c r="H7" i="92"/>
  <c r="H8" i="92"/>
  <c r="H9" i="92"/>
  <c r="H10" i="92"/>
  <c r="H11" i="92"/>
  <c r="H1" i="92"/>
  <c r="E2" i="92"/>
  <c r="E3" i="92"/>
  <c r="E4" i="92"/>
  <c r="E5" i="92"/>
  <c r="E6" i="92"/>
  <c r="E7" i="92"/>
  <c r="E8" i="92"/>
  <c r="E9" i="92"/>
  <c r="E10" i="92"/>
  <c r="E11" i="92"/>
  <c r="H2" i="93"/>
  <c r="H3" i="93"/>
  <c r="H4" i="93"/>
  <c r="H5" i="93"/>
  <c r="H6" i="93"/>
  <c r="H7" i="93"/>
  <c r="H8" i="93"/>
  <c r="H9" i="93"/>
  <c r="H10" i="93"/>
  <c r="H11" i="93"/>
  <c r="H1" i="93"/>
  <c r="E2" i="93"/>
  <c r="E3" i="93"/>
  <c r="E4" i="93"/>
  <c r="E5" i="93"/>
  <c r="E6" i="93"/>
  <c r="E7" i="93"/>
  <c r="E8" i="93"/>
  <c r="E9" i="93"/>
  <c r="E10" i="93"/>
  <c r="E11" i="93"/>
  <c r="H2" i="94"/>
  <c r="I2" i="94"/>
  <c r="H3" i="94"/>
  <c r="I3" i="94"/>
  <c r="H4" i="94"/>
  <c r="I4" i="94"/>
  <c r="H5" i="94"/>
  <c r="I5" i="94"/>
  <c r="H6" i="94"/>
  <c r="I6" i="94"/>
  <c r="H7" i="94"/>
  <c r="I7" i="94"/>
  <c r="H8" i="94"/>
  <c r="I8" i="94"/>
  <c r="H9" i="94"/>
  <c r="I9" i="94"/>
  <c r="H10" i="94"/>
  <c r="I10" i="94"/>
  <c r="H11" i="94"/>
  <c r="I11" i="94"/>
  <c r="I1" i="94"/>
  <c r="H1" i="94"/>
  <c r="E2" i="94"/>
  <c r="E3" i="94"/>
  <c r="E4" i="94"/>
  <c r="E5" i="94"/>
  <c r="E6" i="94"/>
  <c r="E7" i="94"/>
  <c r="E8" i="94"/>
  <c r="E9" i="94"/>
  <c r="E10" i="94"/>
  <c r="E11" i="94"/>
  <c r="H2" i="95"/>
  <c r="I2" i="95"/>
  <c r="H3" i="95"/>
  <c r="I3" i="95"/>
  <c r="H4" i="95"/>
  <c r="I4" i="95"/>
  <c r="H5" i="95"/>
  <c r="I5" i="95"/>
  <c r="H6" i="95"/>
  <c r="I6" i="95"/>
  <c r="H7" i="95"/>
  <c r="I7" i="95"/>
  <c r="H8" i="95"/>
  <c r="I8" i="95"/>
  <c r="H9" i="95"/>
  <c r="I9" i="95"/>
  <c r="H10" i="95"/>
  <c r="I10" i="95"/>
  <c r="H11" i="95"/>
  <c r="I11" i="95"/>
  <c r="I1" i="95"/>
  <c r="H1" i="95"/>
  <c r="E2" i="95"/>
  <c r="E3" i="95"/>
  <c r="E4" i="95"/>
  <c r="E5" i="95"/>
  <c r="E6" i="95"/>
  <c r="E7" i="95"/>
  <c r="E8" i="95"/>
  <c r="E9" i="95"/>
  <c r="E10" i="95"/>
  <c r="E11" i="95"/>
  <c r="H6" i="96"/>
  <c r="H7" i="96"/>
  <c r="H8" i="96"/>
  <c r="H9" i="96"/>
  <c r="H10" i="96"/>
  <c r="H11" i="96"/>
  <c r="H1" i="96"/>
  <c r="E2" i="96"/>
  <c r="E3" i="96"/>
  <c r="E4" i="96"/>
  <c r="E5" i="96"/>
  <c r="E6" i="96"/>
  <c r="E7" i="96"/>
  <c r="E8" i="96"/>
  <c r="E9" i="96"/>
  <c r="E10" i="96"/>
  <c r="E11" i="96"/>
  <c r="E2" i="97"/>
  <c r="E3" i="97"/>
  <c r="E4" i="97"/>
  <c r="E5" i="97"/>
  <c r="E6" i="97"/>
  <c r="E7" i="97"/>
  <c r="E8" i="97"/>
  <c r="E9" i="97"/>
  <c r="E10" i="97"/>
  <c r="E11" i="97"/>
  <c r="H2" i="97"/>
  <c r="H3" i="97"/>
  <c r="H4" i="97"/>
  <c r="H5" i="97"/>
  <c r="H6" i="97"/>
  <c r="H7" i="97"/>
  <c r="H8" i="97"/>
  <c r="H9" i="97"/>
  <c r="H10" i="97"/>
  <c r="H11" i="97"/>
  <c r="H1" i="97"/>
  <c r="H4" i="98"/>
  <c r="H5" i="98"/>
  <c r="H6" i="98"/>
  <c r="H7" i="98"/>
  <c r="H8" i="98"/>
  <c r="H9" i="98"/>
  <c r="H10" i="98"/>
  <c r="H11" i="98"/>
  <c r="H1" i="98"/>
  <c r="I1" i="99"/>
  <c r="H1" i="99"/>
  <c r="H1" i="100"/>
  <c r="H1" i="101"/>
  <c r="J1" i="102"/>
  <c r="I1" i="102"/>
  <c r="H1" i="102"/>
  <c r="I1" i="103"/>
  <c r="H1" i="103"/>
  <c r="I1" i="104"/>
  <c r="H1" i="104"/>
  <c r="H1" i="105"/>
  <c r="E2" i="98"/>
  <c r="E3" i="98"/>
  <c r="E4" i="98"/>
  <c r="E5" i="98"/>
  <c r="E6" i="98"/>
  <c r="E7" i="98"/>
  <c r="E8" i="98"/>
  <c r="E9" i="98"/>
  <c r="E10" i="98"/>
  <c r="E11" i="98"/>
  <c r="H2" i="99"/>
  <c r="I2" i="99"/>
  <c r="H3" i="99"/>
  <c r="I3" i="99"/>
  <c r="H4" i="99"/>
  <c r="I4" i="99"/>
  <c r="H5" i="99"/>
  <c r="I5" i="99"/>
  <c r="H6" i="99"/>
  <c r="I6" i="99"/>
  <c r="H7" i="99"/>
  <c r="I7" i="99"/>
  <c r="H8" i="99"/>
  <c r="I8" i="99"/>
  <c r="H9" i="99"/>
  <c r="I9" i="99"/>
  <c r="H10" i="99"/>
  <c r="I10" i="99"/>
  <c r="H11" i="99"/>
  <c r="I11" i="99"/>
  <c r="E2" i="99"/>
  <c r="E3" i="99"/>
  <c r="E4" i="99"/>
  <c r="E5" i="99"/>
  <c r="E6" i="99"/>
  <c r="E7" i="99"/>
  <c r="E8" i="99"/>
  <c r="E9" i="99"/>
  <c r="E10" i="99"/>
  <c r="E11" i="99"/>
  <c r="H2" i="100"/>
  <c r="H3" i="100"/>
  <c r="H4" i="100"/>
  <c r="H5" i="100"/>
  <c r="H6" i="100"/>
  <c r="H7" i="100"/>
  <c r="H8" i="100"/>
  <c r="H9" i="100"/>
  <c r="H10" i="100"/>
  <c r="H11" i="100"/>
  <c r="E2" i="100"/>
  <c r="E3" i="100"/>
  <c r="E4" i="100"/>
  <c r="E5" i="100"/>
  <c r="E6" i="100"/>
  <c r="E7" i="100"/>
  <c r="E8" i="100"/>
  <c r="E9" i="100"/>
  <c r="E10" i="100"/>
  <c r="E11" i="100"/>
  <c r="H4" i="101"/>
  <c r="H5" i="101"/>
  <c r="H6" i="101"/>
  <c r="H7" i="101"/>
  <c r="H8" i="101"/>
  <c r="H9" i="101"/>
  <c r="H10" i="101"/>
  <c r="H11" i="101"/>
  <c r="E2" i="101"/>
  <c r="E3" i="101"/>
  <c r="E4" i="101"/>
  <c r="E5" i="101"/>
  <c r="E6" i="101"/>
  <c r="E7" i="101"/>
  <c r="E8" i="101"/>
  <c r="E9" i="101"/>
  <c r="E10" i="101"/>
  <c r="E11" i="101"/>
  <c r="H2" i="102"/>
  <c r="I2" i="102"/>
  <c r="J2" i="102"/>
  <c r="H3" i="102"/>
  <c r="I3" i="102"/>
  <c r="J3" i="102"/>
  <c r="H4" i="102"/>
  <c r="I4" i="102"/>
  <c r="J4" i="102"/>
  <c r="H5" i="102"/>
  <c r="I5" i="102"/>
  <c r="J5" i="102"/>
  <c r="H6" i="102"/>
  <c r="I6" i="102"/>
  <c r="J6" i="102"/>
  <c r="H7" i="102"/>
  <c r="I7" i="102"/>
  <c r="J7" i="102"/>
  <c r="H8" i="102"/>
  <c r="I8" i="102"/>
  <c r="J8" i="102"/>
  <c r="H9" i="102"/>
  <c r="I9" i="102"/>
  <c r="J9" i="102"/>
  <c r="H10" i="102"/>
  <c r="I10" i="102"/>
  <c r="J10" i="102"/>
  <c r="H11" i="102"/>
  <c r="I11" i="102"/>
  <c r="J11" i="102"/>
  <c r="E2" i="102"/>
  <c r="E3" i="102"/>
  <c r="E4" i="102"/>
  <c r="E5" i="102"/>
  <c r="E6" i="102"/>
  <c r="E7" i="102"/>
  <c r="E8" i="102"/>
  <c r="E9" i="102"/>
  <c r="E10" i="102"/>
  <c r="E11" i="102"/>
  <c r="E2" i="103"/>
  <c r="H2" i="103"/>
  <c r="I2" i="103"/>
  <c r="E3" i="103"/>
  <c r="H3" i="103"/>
  <c r="I3" i="103"/>
  <c r="E4" i="103"/>
  <c r="H4" i="103"/>
  <c r="I4" i="103"/>
  <c r="E5" i="103"/>
  <c r="H5" i="103"/>
  <c r="I5" i="103"/>
  <c r="E6" i="103"/>
  <c r="H6" i="103"/>
  <c r="I6" i="103"/>
  <c r="E7" i="103"/>
  <c r="H7" i="103"/>
  <c r="I7" i="103"/>
  <c r="E8" i="103"/>
  <c r="H8" i="103"/>
  <c r="I8" i="103"/>
  <c r="E9" i="103"/>
  <c r="H9" i="103"/>
  <c r="I9" i="103"/>
  <c r="E10" i="103"/>
  <c r="H10" i="103"/>
  <c r="I10" i="103"/>
  <c r="E11" i="103"/>
  <c r="H11" i="103"/>
  <c r="I11" i="103"/>
  <c r="H2" i="104"/>
  <c r="I2" i="104"/>
  <c r="H3" i="104"/>
  <c r="I3" i="104"/>
  <c r="H4" i="104"/>
  <c r="I4" i="104"/>
  <c r="H5" i="104"/>
  <c r="I5" i="104"/>
  <c r="H6" i="104"/>
  <c r="I6" i="104"/>
  <c r="H7" i="104"/>
  <c r="I7" i="104"/>
  <c r="H8" i="104"/>
  <c r="I8" i="104"/>
  <c r="H9" i="104"/>
  <c r="I9" i="104"/>
  <c r="H10" i="104"/>
  <c r="I10" i="104"/>
  <c r="H11" i="104"/>
  <c r="I11" i="104"/>
  <c r="E2" i="104"/>
  <c r="E3" i="104"/>
  <c r="E4" i="104"/>
  <c r="E5" i="104"/>
  <c r="E6" i="104"/>
  <c r="E7" i="104"/>
  <c r="E8" i="104"/>
  <c r="E9" i="104"/>
  <c r="E10" i="104"/>
  <c r="E11" i="104"/>
  <c r="H4" i="105"/>
  <c r="H5" i="105"/>
  <c r="H6" i="105"/>
  <c r="H7" i="105"/>
  <c r="H8" i="105"/>
  <c r="H9" i="105"/>
  <c r="H10" i="105"/>
  <c r="H11" i="105"/>
  <c r="E11" i="105"/>
  <c r="E10" i="105"/>
  <c r="E9" i="105"/>
  <c r="E8" i="105"/>
  <c r="E7" i="105"/>
  <c r="E6" i="105"/>
  <c r="E5" i="105"/>
  <c r="E4" i="105"/>
  <c r="E3" i="105"/>
  <c r="E2" i="105"/>
  <c r="B2" i="105"/>
  <c r="C2" i="105"/>
  <c r="D2" i="105"/>
  <c r="B3" i="105"/>
  <c r="C3" i="105"/>
  <c r="D3" i="105"/>
  <c r="B4" i="105"/>
  <c r="C4" i="105"/>
  <c r="D4" i="105"/>
  <c r="B5" i="105"/>
  <c r="C5" i="105"/>
  <c r="D5" i="105"/>
  <c r="B6" i="105"/>
  <c r="C6" i="105"/>
  <c r="D6" i="105"/>
  <c r="B7" i="105"/>
  <c r="C7" i="105"/>
  <c r="D7" i="105"/>
  <c r="B8" i="105"/>
  <c r="C8" i="105"/>
  <c r="D8" i="105"/>
  <c r="B9" i="105"/>
  <c r="C9" i="105"/>
  <c r="D9" i="105"/>
  <c r="B10" i="105"/>
  <c r="C10" i="105"/>
  <c r="D10" i="105"/>
  <c r="B11" i="105"/>
  <c r="C11" i="105"/>
  <c r="D11" i="105"/>
  <c r="B2" i="104"/>
  <c r="C2" i="104"/>
  <c r="D2" i="104"/>
  <c r="B3" i="104"/>
  <c r="C3" i="104"/>
  <c r="D3" i="104"/>
  <c r="B4" i="104"/>
  <c r="C4" i="104"/>
  <c r="D4" i="104"/>
  <c r="B5" i="104"/>
  <c r="C5" i="104"/>
  <c r="D5" i="104"/>
  <c r="B6" i="104"/>
  <c r="C6" i="104"/>
  <c r="D6" i="104"/>
  <c r="B7" i="104"/>
  <c r="C7" i="104"/>
  <c r="D7" i="104"/>
  <c r="B8" i="104"/>
  <c r="C8" i="104"/>
  <c r="D8" i="104"/>
  <c r="B9" i="104"/>
  <c r="C9" i="104"/>
  <c r="D9" i="104"/>
  <c r="B10" i="104"/>
  <c r="C10" i="104"/>
  <c r="D10" i="104"/>
  <c r="B11" i="104"/>
  <c r="C11" i="104"/>
  <c r="D11" i="104"/>
  <c r="B2" i="103"/>
  <c r="C2" i="103"/>
  <c r="D2" i="103"/>
  <c r="B3" i="103"/>
  <c r="C3" i="103"/>
  <c r="D3" i="103"/>
  <c r="B4" i="103"/>
  <c r="C4" i="103"/>
  <c r="D4" i="103"/>
  <c r="B5" i="103"/>
  <c r="C5" i="103"/>
  <c r="D5" i="103"/>
  <c r="B6" i="103"/>
  <c r="C6" i="103"/>
  <c r="D6" i="103"/>
  <c r="B7" i="103"/>
  <c r="C7" i="103"/>
  <c r="D7" i="103"/>
  <c r="B8" i="103"/>
  <c r="C8" i="103"/>
  <c r="D8" i="103"/>
  <c r="B9" i="103"/>
  <c r="C9" i="103"/>
  <c r="D9" i="103"/>
  <c r="B10" i="103"/>
  <c r="C10" i="103"/>
  <c r="D10" i="103"/>
  <c r="B11" i="103"/>
  <c r="C11" i="103"/>
  <c r="D11" i="103"/>
  <c r="B2" i="102"/>
  <c r="C2" i="102"/>
  <c r="D2" i="102"/>
  <c r="B3" i="102"/>
  <c r="C3" i="102"/>
  <c r="D3" i="102"/>
  <c r="B4" i="102"/>
  <c r="C4" i="102"/>
  <c r="D4" i="102"/>
  <c r="B5" i="102"/>
  <c r="C5" i="102"/>
  <c r="D5" i="102"/>
  <c r="B6" i="102"/>
  <c r="C6" i="102"/>
  <c r="D6" i="102"/>
  <c r="B7" i="102"/>
  <c r="C7" i="102"/>
  <c r="D7" i="102"/>
  <c r="B8" i="102"/>
  <c r="C8" i="102"/>
  <c r="D8" i="102"/>
  <c r="B9" i="102"/>
  <c r="C9" i="102"/>
  <c r="D9" i="102"/>
  <c r="B10" i="102"/>
  <c r="C10" i="102"/>
  <c r="D10" i="102"/>
  <c r="B11" i="102"/>
  <c r="C11" i="102"/>
  <c r="D11" i="102"/>
  <c r="D11" i="101"/>
  <c r="C11" i="101"/>
  <c r="B11" i="101"/>
  <c r="D10" i="101"/>
  <c r="C10" i="101"/>
  <c r="B10" i="101"/>
  <c r="D9" i="101"/>
  <c r="C9" i="101"/>
  <c r="B9" i="101"/>
  <c r="D8" i="101"/>
  <c r="C8" i="101"/>
  <c r="B8" i="101"/>
  <c r="D7" i="101"/>
  <c r="C7" i="101"/>
  <c r="B7" i="101"/>
  <c r="D6" i="101"/>
  <c r="C6" i="101"/>
  <c r="B6" i="101"/>
  <c r="D5" i="101"/>
  <c r="C5" i="101"/>
  <c r="B5" i="101"/>
  <c r="D4" i="101"/>
  <c r="C4" i="101"/>
  <c r="B4" i="101"/>
  <c r="D3" i="101"/>
  <c r="C3" i="101"/>
  <c r="B3" i="101"/>
  <c r="D2" i="101"/>
  <c r="C2" i="101"/>
  <c r="B2" i="101"/>
  <c r="D11" i="100"/>
  <c r="C11" i="100"/>
  <c r="B11" i="100"/>
  <c r="D10" i="100"/>
  <c r="C10" i="100"/>
  <c r="B10" i="100"/>
  <c r="D9" i="100"/>
  <c r="C9" i="100"/>
  <c r="B9" i="100"/>
  <c r="D8" i="100"/>
  <c r="C8" i="100"/>
  <c r="B8" i="100"/>
  <c r="D7" i="100"/>
  <c r="C7" i="100"/>
  <c r="B7" i="100"/>
  <c r="D6" i="100"/>
  <c r="C6" i="100"/>
  <c r="B6" i="100"/>
  <c r="D5" i="100"/>
  <c r="C5" i="100"/>
  <c r="B5" i="100"/>
  <c r="D4" i="100"/>
  <c r="C4" i="100"/>
  <c r="B4" i="100"/>
  <c r="D3" i="100"/>
  <c r="C3" i="100"/>
  <c r="B3" i="100"/>
  <c r="D2" i="100"/>
  <c r="C2" i="100"/>
  <c r="B2" i="100"/>
  <c r="B2" i="99"/>
  <c r="C2" i="99"/>
  <c r="D2" i="99"/>
  <c r="B3" i="99"/>
  <c r="C3" i="99"/>
  <c r="D3" i="99"/>
  <c r="B4" i="99"/>
  <c r="C4" i="99"/>
  <c r="D4" i="99"/>
  <c r="B5" i="99"/>
  <c r="C5" i="99"/>
  <c r="D5" i="99"/>
  <c r="B6" i="99"/>
  <c r="C6" i="99"/>
  <c r="D6" i="99"/>
  <c r="B7" i="99"/>
  <c r="C7" i="99"/>
  <c r="D7" i="99"/>
  <c r="B8" i="99"/>
  <c r="C8" i="99"/>
  <c r="D8" i="99"/>
  <c r="B9" i="99"/>
  <c r="C9" i="99"/>
  <c r="D9" i="99"/>
  <c r="B10" i="99"/>
  <c r="C10" i="99"/>
  <c r="D10" i="99"/>
  <c r="B11" i="99"/>
  <c r="C11" i="99"/>
  <c r="D11" i="99"/>
  <c r="B2" i="98"/>
  <c r="C2" i="98"/>
  <c r="D2" i="98"/>
  <c r="B3" i="98"/>
  <c r="C3" i="98"/>
  <c r="D3" i="98"/>
  <c r="B4" i="98"/>
  <c r="C4" i="98"/>
  <c r="D4" i="98"/>
  <c r="B5" i="98"/>
  <c r="C5" i="98"/>
  <c r="D5" i="98"/>
  <c r="B6" i="98"/>
  <c r="C6" i="98"/>
  <c r="D6" i="98"/>
  <c r="B7" i="98"/>
  <c r="C7" i="98"/>
  <c r="D7" i="98"/>
  <c r="B8" i="98"/>
  <c r="C8" i="98"/>
  <c r="D8" i="98"/>
  <c r="B9" i="98"/>
  <c r="C9" i="98"/>
  <c r="D9" i="98"/>
  <c r="B10" i="98"/>
  <c r="C10" i="98"/>
  <c r="D10" i="98"/>
  <c r="B11" i="98"/>
  <c r="C11" i="98"/>
  <c r="D11" i="98"/>
  <c r="B2" i="97"/>
  <c r="C2" i="97"/>
  <c r="D2" i="97"/>
  <c r="B3" i="97"/>
  <c r="C3" i="97"/>
  <c r="D3" i="97"/>
  <c r="B4" i="97"/>
  <c r="C4" i="97"/>
  <c r="D4" i="97"/>
  <c r="B5" i="97"/>
  <c r="C5" i="97"/>
  <c r="D5" i="97"/>
  <c r="B6" i="97"/>
  <c r="C6" i="97"/>
  <c r="D6" i="97"/>
  <c r="B7" i="97"/>
  <c r="C7" i="97"/>
  <c r="D7" i="97"/>
  <c r="B8" i="97"/>
  <c r="C8" i="97"/>
  <c r="D8" i="97"/>
  <c r="B9" i="97"/>
  <c r="C9" i="97"/>
  <c r="D9" i="97"/>
  <c r="B10" i="97"/>
  <c r="C10" i="97"/>
  <c r="D10" i="97"/>
  <c r="B11" i="97"/>
  <c r="C11" i="97"/>
  <c r="D11" i="97"/>
  <c r="B2" i="96"/>
  <c r="C2" i="96"/>
  <c r="D2" i="96"/>
  <c r="B3" i="96"/>
  <c r="C3" i="96"/>
  <c r="D3" i="96"/>
  <c r="B4" i="96"/>
  <c r="C4" i="96"/>
  <c r="D4" i="96"/>
  <c r="B5" i="96"/>
  <c r="C5" i="96"/>
  <c r="D5" i="96"/>
  <c r="B6" i="96"/>
  <c r="C6" i="96"/>
  <c r="D6" i="96"/>
  <c r="B7" i="96"/>
  <c r="C7" i="96"/>
  <c r="D7" i="96"/>
  <c r="B8" i="96"/>
  <c r="C8" i="96"/>
  <c r="D8" i="96"/>
  <c r="B9" i="96"/>
  <c r="C9" i="96"/>
  <c r="D9" i="96"/>
  <c r="B10" i="96"/>
  <c r="C10" i="96"/>
  <c r="D10" i="96"/>
  <c r="B11" i="96"/>
  <c r="C11" i="96"/>
  <c r="D11" i="96"/>
  <c r="B2" i="95"/>
  <c r="C2" i="95"/>
  <c r="D2" i="95"/>
  <c r="B3" i="95"/>
  <c r="C3" i="95"/>
  <c r="D3" i="95"/>
  <c r="B4" i="95"/>
  <c r="C4" i="95"/>
  <c r="D4" i="95"/>
  <c r="B5" i="95"/>
  <c r="C5" i="95"/>
  <c r="D5" i="95"/>
  <c r="B6" i="95"/>
  <c r="C6" i="95"/>
  <c r="D6" i="95"/>
  <c r="B7" i="95"/>
  <c r="C7" i="95"/>
  <c r="D7" i="95"/>
  <c r="B8" i="95"/>
  <c r="C8" i="95"/>
  <c r="D8" i="95"/>
  <c r="B9" i="95"/>
  <c r="C9" i="95"/>
  <c r="D9" i="95"/>
  <c r="B10" i="95"/>
  <c r="C10" i="95"/>
  <c r="D10" i="95"/>
  <c r="B11" i="95"/>
  <c r="C11" i="95"/>
  <c r="D11" i="95"/>
  <c r="B2" i="94"/>
  <c r="C2" i="94"/>
  <c r="D2" i="94"/>
  <c r="B3" i="94"/>
  <c r="C3" i="94"/>
  <c r="D3" i="94"/>
  <c r="B4" i="94"/>
  <c r="C4" i="94"/>
  <c r="D4" i="94"/>
  <c r="B5" i="94"/>
  <c r="C5" i="94"/>
  <c r="D5" i="94"/>
  <c r="B6" i="94"/>
  <c r="C6" i="94"/>
  <c r="D6" i="94"/>
  <c r="B7" i="94"/>
  <c r="C7" i="94"/>
  <c r="D7" i="94"/>
  <c r="B8" i="94"/>
  <c r="C8" i="94"/>
  <c r="D8" i="94"/>
  <c r="B9" i="94"/>
  <c r="C9" i="94"/>
  <c r="D9" i="94"/>
  <c r="B10" i="94"/>
  <c r="C10" i="94"/>
  <c r="D10" i="94"/>
  <c r="B11" i="94"/>
  <c r="C11" i="94"/>
  <c r="D11" i="94"/>
  <c r="D2" i="93"/>
  <c r="D3" i="93"/>
  <c r="D4" i="93"/>
  <c r="D5" i="93"/>
  <c r="D6" i="93"/>
  <c r="D7" i="93"/>
  <c r="D8" i="93"/>
  <c r="D9" i="93"/>
  <c r="D10" i="93"/>
  <c r="D11" i="93"/>
  <c r="C2" i="93"/>
  <c r="C3" i="93"/>
  <c r="C4" i="93"/>
  <c r="C5" i="93"/>
  <c r="C6" i="93"/>
  <c r="C7" i="93"/>
  <c r="C8" i="93"/>
  <c r="C9" i="93"/>
  <c r="C10" i="93"/>
  <c r="C11" i="93"/>
  <c r="B2" i="93"/>
  <c r="B3" i="93"/>
  <c r="B4" i="93"/>
  <c r="B5" i="93"/>
  <c r="B6" i="93"/>
  <c r="B7" i="93"/>
  <c r="B8" i="93"/>
  <c r="B9" i="93"/>
  <c r="B10" i="93"/>
  <c r="B11" i="93"/>
  <c r="D2" i="92"/>
  <c r="D3" i="92"/>
  <c r="D4" i="92"/>
  <c r="D5" i="92"/>
  <c r="D6" i="92"/>
  <c r="D7" i="92"/>
  <c r="D8" i="92"/>
  <c r="D9" i="92"/>
  <c r="D10" i="92"/>
  <c r="D11" i="92"/>
  <c r="C2" i="92"/>
  <c r="C3" i="92"/>
  <c r="C4" i="92"/>
  <c r="C5" i="92"/>
  <c r="C6" i="92"/>
  <c r="C7" i="92"/>
  <c r="C8" i="92"/>
  <c r="C9" i="92"/>
  <c r="C10" i="92"/>
  <c r="C11" i="92"/>
  <c r="B2" i="92"/>
  <c r="B3" i="92"/>
  <c r="B4" i="92"/>
  <c r="B5" i="92"/>
  <c r="B6" i="92"/>
  <c r="B7" i="92"/>
  <c r="B8" i="92"/>
  <c r="B9" i="92"/>
  <c r="B10" i="92"/>
  <c r="B11" i="92"/>
  <c r="D11" i="91"/>
  <c r="D10" i="91"/>
  <c r="D9" i="91"/>
  <c r="D8" i="91"/>
  <c r="D7" i="91"/>
  <c r="D6" i="91"/>
  <c r="D5" i="91"/>
  <c r="D4" i="91"/>
  <c r="D3" i="91"/>
  <c r="D2" i="91"/>
  <c r="C11" i="91"/>
  <c r="C10" i="91"/>
  <c r="C9" i="91"/>
  <c r="C8" i="91"/>
  <c r="C7" i="91"/>
  <c r="C6" i="91"/>
  <c r="C5" i="91"/>
  <c r="C4" i="91"/>
  <c r="C3" i="91"/>
  <c r="C2" i="91"/>
  <c r="B2" i="91"/>
  <c r="B3" i="91"/>
  <c r="B4" i="91"/>
  <c r="B5" i="91"/>
  <c r="B6" i="91"/>
  <c r="B7" i="91"/>
  <c r="B8" i="91"/>
  <c r="B9" i="91"/>
  <c r="B10" i="91"/>
  <c r="B11" i="91"/>
  <c r="H2" i="96" l="1"/>
  <c r="H2" i="105" l="1"/>
  <c r="H2" i="98"/>
  <c r="H2" i="101"/>
  <c r="H4" i="96" l="1"/>
  <c r="H2" i="91" l="1"/>
  <c r="H5" i="96" l="1"/>
  <c r="H3" i="96" l="1"/>
  <c r="H3" i="98"/>
  <c r="H3" i="101"/>
  <c r="H3" i="105"/>
  <c r="H3" i="91" l="1"/>
  <c r="H11" i="90" l="1"/>
  <c r="H10" i="90"/>
  <c r="H9" i="90"/>
  <c r="H8" i="90"/>
  <c r="H7" i="90"/>
  <c r="H6" i="90"/>
  <c r="H5" i="90"/>
  <c r="D11" i="90"/>
  <c r="D10" i="90"/>
  <c r="D9" i="90"/>
  <c r="D8" i="90"/>
  <c r="D7" i="90"/>
  <c r="D6" i="90"/>
  <c r="D5" i="90"/>
  <c r="D4" i="90"/>
  <c r="D3" i="90"/>
  <c r="D2" i="90"/>
  <c r="C11" i="90"/>
  <c r="C10" i="90"/>
  <c r="C9" i="90"/>
  <c r="C8" i="90"/>
  <c r="C7" i="90"/>
  <c r="C6" i="90"/>
  <c r="C5" i="90"/>
  <c r="C4" i="90"/>
  <c r="C3" i="90"/>
  <c r="C2" i="90"/>
  <c r="B2" i="90"/>
  <c r="B3" i="90"/>
  <c r="B4" i="90"/>
  <c r="B5" i="90"/>
  <c r="B6" i="90"/>
  <c r="B7" i="90"/>
  <c r="B8" i="90"/>
  <c r="B9" i="90"/>
  <c r="B10" i="90"/>
  <c r="B11" i="90"/>
  <c r="H4" i="90" l="1"/>
  <c r="H2" i="90"/>
  <c r="H3" i="90"/>
</calcChain>
</file>

<file path=xl/sharedStrings.xml><?xml version="1.0" encoding="utf-8"?>
<sst xmlns="http://schemas.openxmlformats.org/spreadsheetml/2006/main" count="146" uniqueCount="46">
  <si>
    <t>Level</t>
    <phoneticPr fontId="1" type="noConversion"/>
  </si>
  <si>
    <t>Juqi</t>
    <phoneticPr fontId="1" type="noConversion"/>
  </si>
  <si>
    <t>TangSangzang</t>
    <phoneticPr fontId="1" type="noConversion"/>
  </si>
  <si>
    <t>SunWukong</t>
    <phoneticPr fontId="1" type="noConversion"/>
  </si>
  <si>
    <t>ZhuBajie</t>
    <phoneticPr fontId="1" type="noConversion"/>
  </si>
  <si>
    <t>ShaHeshang</t>
    <phoneticPr fontId="1" type="noConversion"/>
  </si>
  <si>
    <t>XiaoBailong</t>
    <phoneticPr fontId="1" type="noConversion"/>
  </si>
  <si>
    <t>Name</t>
    <phoneticPr fontId="1" type="noConversion"/>
  </si>
  <si>
    <t>Desc</t>
    <phoneticPr fontId="1" type="noConversion"/>
  </si>
  <si>
    <t>TangSangzang</t>
    <phoneticPr fontId="1" type="noConversion"/>
  </si>
  <si>
    <t>SunWukong</t>
    <phoneticPr fontId="1" type="noConversion"/>
  </si>
  <si>
    <t>LiuBoxin</t>
    <phoneticPr fontId="1" type="noConversion"/>
  </si>
  <si>
    <t>HuXianfeng</t>
    <phoneticPr fontId="1" type="noConversion"/>
  </si>
  <si>
    <t>PlayerCardID</t>
    <phoneticPr fontId="1" type="noConversion"/>
  </si>
  <si>
    <t>唐三藏</t>
  </si>
  <si>
    <t>孙悟空</t>
  </si>
  <si>
    <t>猪八戒</t>
  </si>
  <si>
    <t>沙和尚</t>
  </si>
  <si>
    <t>白龙马</t>
  </si>
  <si>
    <t>猎户刘伯钦</t>
  </si>
  <si>
    <t>悟空六意</t>
  </si>
  <si>
    <t>龟丞相</t>
  </si>
  <si>
    <t>凌虚子</t>
  </si>
  <si>
    <t>黑熊精</t>
  </si>
  <si>
    <t>虎先锋</t>
  </si>
  <si>
    <t>黄风怪</t>
  </si>
  <si>
    <t>ZhuBajie</t>
    <phoneticPr fontId="1" type="noConversion"/>
  </si>
  <si>
    <t>BaiLongma</t>
    <phoneticPr fontId="1" type="noConversion"/>
  </si>
  <si>
    <t>WukongLiuyi</t>
    <phoneticPr fontId="1" type="noConversion"/>
  </si>
  <si>
    <t>GuiChengxiang</t>
    <phoneticPr fontId="1" type="noConversion"/>
  </si>
  <si>
    <t>LingXuzi</t>
    <phoneticPr fontId="1" type="noConversion"/>
  </si>
  <si>
    <t>HeiXiongjing</t>
    <phoneticPr fontId="1" type="noConversion"/>
  </si>
  <si>
    <t>HuangFengguai</t>
    <phoneticPr fontId="1" type="noConversion"/>
  </si>
  <si>
    <t>CardLevelNeed</t>
    <phoneticPr fontId="1" type="noConversion"/>
  </si>
  <si>
    <t>Fabao</t>
    <phoneticPr fontId="1" type="noConversion"/>
  </si>
  <si>
    <t>Type</t>
    <phoneticPr fontId="1" type="noConversion"/>
  </si>
  <si>
    <t>Type</t>
    <phoneticPr fontId="1" type="noConversion"/>
  </si>
  <si>
    <t>DebufRound</t>
    <phoneticPr fontId="1" type="noConversion"/>
  </si>
  <si>
    <t>BuffRound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</si>
  <si>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</si>
  <si>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</si>
  <si>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</si>
  <si>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</si>
  <si>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</si>
  <si>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</si>
  <si>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Renwu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</si>
</sst>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</xdr:row>
          <xdr:rowOff>28575</xdr:rowOff>
        </xdr:from>
        <xdr:to>
          <xdr:col>6</xdr:col>
          <xdr:colOff>609600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计与公式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J1" t="str">
            <v>Gongji</v>
          </cell>
          <cell r="L1" t="str">
            <v>Juqi</v>
          </cell>
          <cell r="N1" t="str">
            <v>Fanshi</v>
          </cell>
          <cell r="S1" t="str">
            <v>GongjiBuff</v>
          </cell>
          <cell r="U1" t="str">
            <v>BaojiBuff</v>
          </cell>
          <cell r="W1" t="str">
            <v>FangyuBuff</v>
          </cell>
          <cell r="Y1" t="str">
            <v>JuqiBuff</v>
          </cell>
          <cell r="AD1" t="str">
            <v>TiliDebuff</v>
          </cell>
          <cell r="AF1" t="str">
            <v>GongjiDebuff</v>
          </cell>
          <cell r="AH1" t="str">
            <v>BaojiDebuff</v>
          </cell>
          <cell r="AR1" t="str">
            <v>Qungong</v>
          </cell>
          <cell r="AX1" t="str">
            <v>Baojiguanghuan</v>
          </cell>
          <cell r="AZ1" t="str">
            <v>Kuangreguanghuan</v>
          </cell>
        </row>
        <row r="4">
          <cell r="F4" t="str">
            <v>化缘</v>
          </cell>
          <cell r="G4">
            <v>1</v>
          </cell>
          <cell r="H4">
            <v>1</v>
          </cell>
          <cell r="I4" t="str">
            <v>Juqi</v>
          </cell>
          <cell r="L4">
            <v>43</v>
          </cell>
        </row>
        <row r="5">
          <cell r="F5" t="str">
            <v>化缘</v>
          </cell>
          <cell r="G5">
            <v>2</v>
          </cell>
          <cell r="H5">
            <v>2</v>
          </cell>
          <cell r="I5" t="str">
            <v>Juqi</v>
          </cell>
          <cell r="L5">
            <v>202</v>
          </cell>
        </row>
        <row r="6">
          <cell r="F6" t="str">
            <v>化缘</v>
          </cell>
          <cell r="G6">
            <v>3</v>
          </cell>
          <cell r="H6">
            <v>4</v>
          </cell>
          <cell r="I6" t="str">
            <v>Juqi</v>
          </cell>
          <cell r="L6">
            <v>1541</v>
          </cell>
        </row>
        <row r="7">
          <cell r="F7" t="str">
            <v>化缘</v>
          </cell>
          <cell r="G7">
            <v>4</v>
          </cell>
        </row>
        <row r="8">
          <cell r="F8" t="str">
            <v>化缘</v>
          </cell>
          <cell r="G8">
            <v>5</v>
          </cell>
        </row>
        <row r="9">
          <cell r="F9" t="str">
            <v>神僧请缘</v>
          </cell>
          <cell r="G9">
            <v>6</v>
          </cell>
        </row>
        <row r="10">
          <cell r="F10" t="str">
            <v>神僧请缘</v>
          </cell>
          <cell r="G10">
            <v>7</v>
          </cell>
        </row>
        <row r="11">
          <cell r="F11" t="str">
            <v>神僧请缘</v>
          </cell>
          <cell r="G11">
            <v>8</v>
          </cell>
        </row>
        <row r="12">
          <cell r="F12" t="str">
            <v>神僧请缘</v>
          </cell>
          <cell r="G12">
            <v>9</v>
          </cell>
        </row>
        <row r="13">
          <cell r="F13" t="str">
            <v>神僧请缘</v>
          </cell>
          <cell r="G13">
            <v>10</v>
          </cell>
        </row>
        <row r="15">
          <cell r="F15" t="str">
            <v>紫气降妖</v>
          </cell>
          <cell r="G15">
            <v>1</v>
          </cell>
          <cell r="H15">
            <v>3</v>
          </cell>
          <cell r="I15" t="str">
            <v>Fanshi</v>
          </cell>
          <cell r="N15">
            <v>533</v>
          </cell>
        </row>
        <row r="16">
          <cell r="F16" t="str">
            <v>紫气降妖</v>
          </cell>
          <cell r="G16">
            <v>2</v>
          </cell>
          <cell r="H16">
            <v>5</v>
          </cell>
          <cell r="I16" t="str">
            <v>Fanshi</v>
          </cell>
          <cell r="N16">
            <v>5060</v>
          </cell>
        </row>
        <row r="17">
          <cell r="F17" t="str">
            <v>紫气降妖</v>
          </cell>
          <cell r="G17">
            <v>3</v>
          </cell>
        </row>
        <row r="18">
          <cell r="F18" t="str">
            <v>紫气降妖</v>
          </cell>
          <cell r="G18">
            <v>4</v>
          </cell>
        </row>
        <row r="19">
          <cell r="F19" t="str">
            <v>紫气降妖</v>
          </cell>
          <cell r="G19">
            <v>5</v>
          </cell>
        </row>
        <row r="20">
          <cell r="F20" t="str">
            <v>紫气佛光</v>
          </cell>
          <cell r="G20">
            <v>6</v>
          </cell>
        </row>
        <row r="21">
          <cell r="F21" t="str">
            <v>紫气佛光</v>
          </cell>
          <cell r="G21">
            <v>7</v>
          </cell>
        </row>
        <row r="22">
          <cell r="F22" t="str">
            <v>紫气佛光</v>
          </cell>
          <cell r="G22">
            <v>8</v>
          </cell>
        </row>
        <row r="23">
          <cell r="F23" t="str">
            <v>紫气佛光</v>
          </cell>
          <cell r="G23">
            <v>9</v>
          </cell>
        </row>
        <row r="24">
          <cell r="F24" t="str">
            <v>紫气佛光</v>
          </cell>
          <cell r="G24">
            <v>10</v>
          </cell>
        </row>
        <row r="26">
          <cell r="F26" t="str">
            <v>净化</v>
          </cell>
          <cell r="G26">
            <v>1</v>
          </cell>
          <cell r="H26">
            <v>1</v>
          </cell>
          <cell r="I26" t="str">
            <v>Fanshi</v>
          </cell>
          <cell r="AD26">
            <v>-14</v>
          </cell>
        </row>
        <row r="27">
          <cell r="F27" t="str">
            <v>净化</v>
          </cell>
          <cell r="G27">
            <v>2</v>
          </cell>
          <cell r="H27">
            <v>2</v>
          </cell>
          <cell r="I27" t="str">
            <v>Fanshi</v>
          </cell>
          <cell r="AD27">
            <v>-68</v>
          </cell>
        </row>
        <row r="28">
          <cell r="F28" t="str">
            <v>净化</v>
          </cell>
          <cell r="G28">
            <v>3</v>
          </cell>
          <cell r="H28">
            <v>3</v>
          </cell>
          <cell r="I28" t="str">
            <v>Fanshi</v>
          </cell>
          <cell r="AD28">
            <v>-177</v>
          </cell>
        </row>
        <row r="29">
          <cell r="F29" t="str">
            <v>净化</v>
          </cell>
          <cell r="G29">
            <v>4</v>
          </cell>
          <cell r="H29">
            <v>5</v>
          </cell>
          <cell r="I29" t="str">
            <v>Fanshi</v>
          </cell>
          <cell r="AD29">
            <v>-1686</v>
          </cell>
        </row>
        <row r="30">
          <cell r="F30" t="str">
            <v>净化</v>
          </cell>
          <cell r="G30">
            <v>5</v>
          </cell>
        </row>
        <row r="31">
          <cell r="F31" t="str">
            <v>超度</v>
          </cell>
          <cell r="G31">
            <v>6</v>
          </cell>
        </row>
        <row r="32">
          <cell r="F32" t="str">
            <v>超度</v>
          </cell>
          <cell r="G32">
            <v>7</v>
          </cell>
        </row>
        <row r="33">
          <cell r="F33" t="str">
            <v>超度</v>
          </cell>
          <cell r="G33">
            <v>8</v>
          </cell>
        </row>
        <row r="34">
          <cell r="F34" t="str">
            <v>超度</v>
          </cell>
          <cell r="G34">
            <v>9</v>
          </cell>
        </row>
        <row r="35">
          <cell r="F35" t="str">
            <v>超度</v>
          </cell>
          <cell r="G35">
            <v>10</v>
          </cell>
        </row>
        <row r="37">
          <cell r="F37" t="str">
            <v>五环法阵</v>
          </cell>
          <cell r="G37">
            <v>1</v>
          </cell>
          <cell r="H37">
            <v>4</v>
          </cell>
          <cell r="I37" t="str">
            <v>Gongji</v>
          </cell>
          <cell r="AR37">
            <v>385</v>
          </cell>
        </row>
        <row r="38">
          <cell r="F38" t="str">
            <v>五环法阵</v>
          </cell>
          <cell r="G38">
            <v>2</v>
          </cell>
        </row>
        <row r="39">
          <cell r="F39" t="str">
            <v>五环法阵</v>
          </cell>
          <cell r="G39">
            <v>3</v>
          </cell>
        </row>
        <row r="40">
          <cell r="F40" t="str">
            <v>五环法阵</v>
          </cell>
          <cell r="G40">
            <v>4</v>
          </cell>
        </row>
        <row r="41">
          <cell r="F41" t="str">
            <v>五环法阵</v>
          </cell>
          <cell r="G41">
            <v>5</v>
          </cell>
        </row>
        <row r="42">
          <cell r="F42" t="str">
            <v>九环佛阵</v>
          </cell>
          <cell r="G42">
            <v>6</v>
          </cell>
        </row>
        <row r="43">
          <cell r="F43" t="str">
            <v>九环佛阵</v>
          </cell>
          <cell r="G43">
            <v>7</v>
          </cell>
        </row>
        <row r="44">
          <cell r="F44" t="str">
            <v>九环佛阵</v>
          </cell>
          <cell r="G44">
            <v>8</v>
          </cell>
        </row>
        <row r="45">
          <cell r="F45" t="str">
            <v>九环佛阵</v>
          </cell>
          <cell r="G45">
            <v>9</v>
          </cell>
        </row>
        <row r="46">
          <cell r="F46" t="str">
            <v>九环佛阵</v>
          </cell>
          <cell r="G46">
            <v>10</v>
          </cell>
        </row>
        <row r="48">
          <cell r="F48" t="str">
            <v>袈裟护体</v>
          </cell>
          <cell r="G48">
            <v>1</v>
          </cell>
          <cell r="H48">
            <v>1</v>
          </cell>
          <cell r="I48" t="str">
            <v>Juqi</v>
          </cell>
          <cell r="L48">
            <v>25</v>
          </cell>
          <cell r="W48">
            <v>3</v>
          </cell>
        </row>
        <row r="49">
          <cell r="F49" t="str">
            <v>袈裟护体</v>
          </cell>
          <cell r="G49">
            <v>2</v>
          </cell>
          <cell r="H49">
            <v>2</v>
          </cell>
          <cell r="I49" t="str">
            <v>Juqi</v>
          </cell>
          <cell r="L49">
            <v>82</v>
          </cell>
          <cell r="W49">
            <v>20</v>
          </cell>
        </row>
        <row r="50">
          <cell r="F50" t="str">
            <v>袈裟护体</v>
          </cell>
          <cell r="G50">
            <v>3</v>
          </cell>
        </row>
        <row r="51">
          <cell r="F51" t="str">
            <v>袈裟护体</v>
          </cell>
          <cell r="G51">
            <v>4</v>
          </cell>
        </row>
        <row r="52">
          <cell r="F52" t="str">
            <v>袈裟护体</v>
          </cell>
          <cell r="G52">
            <v>5</v>
          </cell>
        </row>
        <row r="53">
          <cell r="F53" t="str">
            <v>观音护体</v>
          </cell>
          <cell r="G53">
            <v>6</v>
          </cell>
        </row>
        <row r="54">
          <cell r="F54" t="str">
            <v>观音护体</v>
          </cell>
          <cell r="G54">
            <v>7</v>
          </cell>
        </row>
        <row r="55">
          <cell r="F55" t="str">
            <v>观音护体</v>
          </cell>
          <cell r="G55">
            <v>8</v>
          </cell>
        </row>
        <row r="56">
          <cell r="F56" t="str">
            <v>观音护体</v>
          </cell>
          <cell r="G56">
            <v>9</v>
          </cell>
        </row>
        <row r="57">
          <cell r="F57" t="str">
            <v>观音护体</v>
          </cell>
          <cell r="G57">
            <v>10</v>
          </cell>
        </row>
        <row r="59">
          <cell r="F59" t="str">
            <v>金箍</v>
          </cell>
          <cell r="G59">
            <v>1</v>
          </cell>
          <cell r="H59">
            <v>1</v>
          </cell>
          <cell r="I59" t="str">
            <v>Fanshi</v>
          </cell>
          <cell r="N59">
            <v>31</v>
          </cell>
          <cell r="AF59">
            <v>-2</v>
          </cell>
        </row>
        <row r="60">
          <cell r="F60" t="str">
            <v>金箍</v>
          </cell>
          <cell r="G60">
            <v>2</v>
          </cell>
          <cell r="H60">
            <v>2</v>
          </cell>
          <cell r="I60" t="str">
            <v>Fanshi</v>
          </cell>
          <cell r="N60">
            <v>142</v>
          </cell>
          <cell r="AF60">
            <v>-10</v>
          </cell>
        </row>
        <row r="61">
          <cell r="F61" t="str">
            <v>金箍</v>
          </cell>
          <cell r="G61">
            <v>3</v>
          </cell>
        </row>
        <row r="62">
          <cell r="F62" t="str">
            <v>金箍</v>
          </cell>
          <cell r="G62">
            <v>4</v>
          </cell>
        </row>
        <row r="63">
          <cell r="F63" t="str">
            <v>金箍</v>
          </cell>
          <cell r="G63">
            <v>5</v>
          </cell>
        </row>
        <row r="64">
          <cell r="F64" t="str">
            <v>紧箍</v>
          </cell>
          <cell r="G64">
            <v>6</v>
          </cell>
        </row>
        <row r="65">
          <cell r="F65" t="str">
            <v>紧箍</v>
          </cell>
          <cell r="G65">
            <v>7</v>
          </cell>
        </row>
        <row r="66">
          <cell r="F66" t="str">
            <v>紧箍</v>
          </cell>
          <cell r="G66">
            <v>8</v>
          </cell>
        </row>
        <row r="67">
          <cell r="F67" t="str">
            <v>禁箍</v>
          </cell>
          <cell r="G67">
            <v>9</v>
          </cell>
        </row>
        <row r="68">
          <cell r="F68" t="str">
            <v>禁箍</v>
          </cell>
          <cell r="G68">
            <v>10</v>
          </cell>
        </row>
        <row r="70">
          <cell r="F70" t="str">
            <v>乱棒打</v>
          </cell>
          <cell r="G70">
            <v>1</v>
          </cell>
          <cell r="H70">
            <v>1</v>
          </cell>
          <cell r="I70" t="str">
            <v>Gongji</v>
          </cell>
          <cell r="J70">
            <v>43</v>
          </cell>
        </row>
        <row r="71">
          <cell r="F71" t="str">
            <v>乱棒打</v>
          </cell>
          <cell r="G71">
            <v>2</v>
          </cell>
          <cell r="H71">
            <v>2</v>
          </cell>
          <cell r="I71" t="str">
            <v>Gongji</v>
          </cell>
          <cell r="J71">
            <v>202</v>
          </cell>
        </row>
        <row r="72">
          <cell r="F72" t="str">
            <v>乱棒打</v>
          </cell>
          <cell r="G72">
            <v>3</v>
          </cell>
          <cell r="H72">
            <v>3</v>
          </cell>
          <cell r="I72" t="str">
            <v>Gongji</v>
          </cell>
          <cell r="J72">
            <v>533</v>
          </cell>
        </row>
        <row r="73">
          <cell r="F73" t="str">
            <v>乱棒打</v>
          </cell>
          <cell r="G73">
            <v>4</v>
          </cell>
          <cell r="H73">
            <v>5</v>
          </cell>
          <cell r="I73" t="str">
            <v>Gongji</v>
          </cell>
          <cell r="J73">
            <v>5060</v>
          </cell>
        </row>
        <row r="74">
          <cell r="F74" t="str">
            <v>乱棒打</v>
          </cell>
          <cell r="G74">
            <v>5</v>
          </cell>
        </row>
        <row r="75">
          <cell r="F75" t="str">
            <v>万棍打</v>
          </cell>
          <cell r="G75">
            <v>6</v>
          </cell>
        </row>
        <row r="76">
          <cell r="F76" t="str">
            <v>万棍打</v>
          </cell>
          <cell r="G76">
            <v>7</v>
          </cell>
        </row>
        <row r="77">
          <cell r="F77" t="str">
            <v>万棍打</v>
          </cell>
          <cell r="G77">
            <v>8</v>
          </cell>
        </row>
        <row r="78">
          <cell r="F78" t="str">
            <v>万棍打</v>
          </cell>
          <cell r="G78">
            <v>9</v>
          </cell>
        </row>
        <row r="79">
          <cell r="F79" t="str">
            <v>万棍打</v>
          </cell>
          <cell r="G79">
            <v>10</v>
          </cell>
        </row>
        <row r="81">
          <cell r="F81" t="str">
            <v>千斤鼎</v>
          </cell>
          <cell r="G81">
            <v>1</v>
          </cell>
          <cell r="H81">
            <v>4</v>
          </cell>
          <cell r="I81" t="str">
            <v>Gongji</v>
          </cell>
          <cell r="AR81">
            <v>385</v>
          </cell>
        </row>
        <row r="82">
          <cell r="F82" t="str">
            <v>千斤鼎</v>
          </cell>
          <cell r="G82">
            <v>2</v>
          </cell>
        </row>
        <row r="83">
          <cell r="F83" t="str">
            <v>千斤鼎</v>
          </cell>
          <cell r="G83">
            <v>3</v>
          </cell>
        </row>
        <row r="84">
          <cell r="F84" t="str">
            <v>千斤鼎</v>
          </cell>
          <cell r="G84">
            <v>4</v>
          </cell>
        </row>
        <row r="85">
          <cell r="F85" t="str">
            <v>千斤鼎</v>
          </cell>
          <cell r="G85">
            <v>5</v>
          </cell>
        </row>
        <row r="86">
          <cell r="F86" t="str">
            <v>定海神针</v>
          </cell>
          <cell r="G86">
            <v>6</v>
          </cell>
        </row>
        <row r="87">
          <cell r="F87" t="str">
            <v>定海神针</v>
          </cell>
          <cell r="G87">
            <v>7</v>
          </cell>
        </row>
        <row r="88">
          <cell r="F88" t="str">
            <v>定海神针</v>
          </cell>
          <cell r="G88">
            <v>8</v>
          </cell>
        </row>
        <row r="89">
          <cell r="F89" t="str">
            <v>定海神针</v>
          </cell>
          <cell r="G89">
            <v>9</v>
          </cell>
        </row>
        <row r="90">
          <cell r="F90" t="str">
            <v>定海神针</v>
          </cell>
          <cell r="G90">
            <v>10</v>
          </cell>
        </row>
        <row r="92">
          <cell r="F92" t="str">
            <v>激突</v>
          </cell>
          <cell r="G92">
            <v>1</v>
          </cell>
          <cell r="H92">
            <v>1</v>
          </cell>
          <cell r="I92" t="str">
            <v>Gongji</v>
          </cell>
          <cell r="J92">
            <v>43</v>
          </cell>
        </row>
        <row r="93">
          <cell r="F93" t="str">
            <v>激突</v>
          </cell>
          <cell r="G93">
            <v>2</v>
          </cell>
          <cell r="H93">
            <v>2</v>
          </cell>
          <cell r="I93" t="str">
            <v>Gongji</v>
          </cell>
          <cell r="J93">
            <v>202</v>
          </cell>
        </row>
        <row r="94">
          <cell r="F94" t="str">
            <v>激突</v>
          </cell>
          <cell r="G94">
            <v>3</v>
          </cell>
        </row>
        <row r="95">
          <cell r="F95" t="str">
            <v>激突</v>
          </cell>
          <cell r="G95">
            <v>4</v>
          </cell>
        </row>
        <row r="96">
          <cell r="F96" t="str">
            <v>激突</v>
          </cell>
          <cell r="G96">
            <v>5</v>
          </cell>
        </row>
        <row r="97">
          <cell r="F97" t="str">
            <v>银枪乱舞</v>
          </cell>
          <cell r="G97">
            <v>6</v>
          </cell>
        </row>
        <row r="98">
          <cell r="F98" t="str">
            <v>银枪乱舞</v>
          </cell>
          <cell r="G98">
            <v>7</v>
          </cell>
        </row>
        <row r="99">
          <cell r="F99" t="str">
            <v>银枪乱舞</v>
          </cell>
          <cell r="G99">
            <v>8</v>
          </cell>
        </row>
        <row r="100">
          <cell r="F100" t="str">
            <v>银枪乱舞</v>
          </cell>
          <cell r="G100">
            <v>9</v>
          </cell>
        </row>
        <row r="101">
          <cell r="F101" t="str">
            <v>银枪乱舞</v>
          </cell>
          <cell r="G101">
            <v>10</v>
          </cell>
        </row>
        <row r="103">
          <cell r="F103" t="str">
            <v>龙鳞</v>
          </cell>
          <cell r="G103">
            <v>1</v>
          </cell>
          <cell r="H103">
            <v>1</v>
          </cell>
          <cell r="I103" t="str">
            <v>Juqi</v>
          </cell>
          <cell r="W103">
            <v>2</v>
          </cell>
          <cell r="Y103">
            <v>5</v>
          </cell>
        </row>
        <row r="104">
          <cell r="F104" t="str">
            <v>龙鳞</v>
          </cell>
          <cell r="G104">
            <v>2</v>
          </cell>
          <cell r="H104">
            <v>2</v>
          </cell>
          <cell r="I104" t="str">
            <v>Juqi</v>
          </cell>
          <cell r="W104">
            <v>10</v>
          </cell>
          <cell r="Y104">
            <v>24</v>
          </cell>
        </row>
        <row r="105">
          <cell r="F105" t="str">
            <v>龙鳞</v>
          </cell>
          <cell r="G105">
            <v>3</v>
          </cell>
          <cell r="H105">
            <v>4</v>
          </cell>
          <cell r="I105" t="str">
            <v>Juqi</v>
          </cell>
          <cell r="W105">
            <v>50</v>
          </cell>
          <cell r="Y105">
            <v>207</v>
          </cell>
        </row>
        <row r="106">
          <cell r="F106" t="str">
            <v>龙鳞</v>
          </cell>
          <cell r="G106">
            <v>4</v>
          </cell>
        </row>
        <row r="107">
          <cell r="F107" t="str">
            <v>龙鳞</v>
          </cell>
          <cell r="G107">
            <v>5</v>
          </cell>
        </row>
        <row r="108">
          <cell r="F108" t="str">
            <v>白龙护体</v>
          </cell>
          <cell r="G108">
            <v>6</v>
          </cell>
        </row>
        <row r="109">
          <cell r="F109" t="str">
            <v>白龙护体</v>
          </cell>
          <cell r="G109">
            <v>7</v>
          </cell>
        </row>
        <row r="110">
          <cell r="F110" t="str">
            <v>白龙护体</v>
          </cell>
          <cell r="G110">
            <v>8</v>
          </cell>
        </row>
        <row r="111">
          <cell r="F111" t="str">
            <v>白龙护体</v>
          </cell>
          <cell r="G111">
            <v>9</v>
          </cell>
        </row>
        <row r="112">
          <cell r="F112" t="str">
            <v>白龙护体</v>
          </cell>
          <cell r="G112">
            <v>10</v>
          </cell>
        </row>
        <row r="114">
          <cell r="F114" t="str">
            <v>巨龙甩尾</v>
          </cell>
          <cell r="G114">
            <v>1</v>
          </cell>
          <cell r="H114">
            <v>3</v>
          </cell>
          <cell r="I114" t="str">
            <v>Gongji</v>
          </cell>
          <cell r="AR114">
            <v>133</v>
          </cell>
        </row>
        <row r="115">
          <cell r="F115" t="str">
            <v>巨龙甩尾</v>
          </cell>
          <cell r="G115">
            <v>2</v>
          </cell>
          <cell r="H115">
            <v>5</v>
          </cell>
          <cell r="I115" t="str">
            <v>Gongji</v>
          </cell>
          <cell r="AR115">
            <v>1265</v>
          </cell>
        </row>
        <row r="116">
          <cell r="F116" t="str">
            <v>巨龙甩尾</v>
          </cell>
          <cell r="G116">
            <v>3</v>
          </cell>
        </row>
        <row r="117">
          <cell r="F117" t="str">
            <v>巨龙甩尾</v>
          </cell>
          <cell r="G117">
            <v>4</v>
          </cell>
        </row>
        <row r="118">
          <cell r="F118" t="str">
            <v>巨龙甩尾</v>
          </cell>
          <cell r="G118">
            <v>5</v>
          </cell>
        </row>
        <row r="119">
          <cell r="F119" t="str">
            <v>翻云覆雨</v>
          </cell>
          <cell r="G119">
            <v>6</v>
          </cell>
        </row>
        <row r="120">
          <cell r="F120" t="str">
            <v>翻云覆雨</v>
          </cell>
          <cell r="G120">
            <v>7</v>
          </cell>
        </row>
        <row r="121">
          <cell r="F121" t="str">
            <v>翻云覆雨</v>
          </cell>
          <cell r="G121">
            <v>8</v>
          </cell>
        </row>
        <row r="122">
          <cell r="F122" t="str">
            <v>翻云覆雨</v>
          </cell>
          <cell r="G122">
            <v>9</v>
          </cell>
        </row>
        <row r="123">
          <cell r="F123" t="str">
            <v>翻云覆雨</v>
          </cell>
          <cell r="G123">
            <v>10</v>
          </cell>
        </row>
        <row r="125">
          <cell r="F125" t="str">
            <v>钉钯空砸</v>
          </cell>
          <cell r="G125">
            <v>1</v>
          </cell>
          <cell r="H125">
            <v>1</v>
          </cell>
          <cell r="I125" t="str">
            <v>Gongji</v>
          </cell>
          <cell r="J125">
            <v>43</v>
          </cell>
        </row>
        <row r="126">
          <cell r="F126" t="str">
            <v>钉钯空砸</v>
          </cell>
          <cell r="G126">
            <v>2</v>
          </cell>
          <cell r="H126">
            <v>2</v>
          </cell>
          <cell r="I126" t="str">
            <v>Gongji</v>
          </cell>
          <cell r="J126">
            <v>202</v>
          </cell>
        </row>
        <row r="127">
          <cell r="F127" t="str">
            <v>钉钯空砸</v>
          </cell>
          <cell r="G127">
            <v>3</v>
          </cell>
        </row>
        <row r="128">
          <cell r="F128" t="str">
            <v>钉钯空砸</v>
          </cell>
          <cell r="G128">
            <v>4</v>
          </cell>
        </row>
        <row r="129">
          <cell r="F129" t="str">
            <v>钉钯横扫</v>
          </cell>
          <cell r="G129">
            <v>5</v>
          </cell>
        </row>
        <row r="130">
          <cell r="F130" t="str">
            <v>钉钯横扫</v>
          </cell>
          <cell r="G130">
            <v>6</v>
          </cell>
        </row>
        <row r="131">
          <cell r="F131" t="str">
            <v>钉钯横扫</v>
          </cell>
          <cell r="G131">
            <v>7</v>
          </cell>
        </row>
        <row r="132">
          <cell r="F132" t="str">
            <v>钉耙乱斩</v>
          </cell>
          <cell r="G132">
            <v>8</v>
          </cell>
        </row>
        <row r="133">
          <cell r="F133" t="str">
            <v>钉耙乱斩</v>
          </cell>
          <cell r="G133">
            <v>9</v>
          </cell>
        </row>
        <row r="134">
          <cell r="F134" t="str">
            <v>钉耙乱斩</v>
          </cell>
          <cell r="G134">
            <v>10</v>
          </cell>
        </row>
        <row r="136">
          <cell r="F136" t="str">
            <v>战袍加身</v>
          </cell>
          <cell r="G136">
            <v>1</v>
          </cell>
          <cell r="H136">
            <v>1</v>
          </cell>
          <cell r="I136" t="str">
            <v>Juqi</v>
          </cell>
          <cell r="S136">
            <v>4</v>
          </cell>
          <cell r="U136">
            <v>0.02</v>
          </cell>
          <cell r="W136">
            <v>3</v>
          </cell>
        </row>
        <row r="137">
          <cell r="F137" t="str">
            <v>战袍加身</v>
          </cell>
          <cell r="G137">
            <v>2</v>
          </cell>
          <cell r="H137">
            <v>2</v>
          </cell>
          <cell r="I137" t="str">
            <v>Juqi</v>
          </cell>
          <cell r="S137">
            <v>12</v>
          </cell>
          <cell r="U137">
            <v>0.1</v>
          </cell>
          <cell r="W137">
            <v>12</v>
          </cell>
        </row>
        <row r="138">
          <cell r="F138" t="str">
            <v>战袍加身</v>
          </cell>
          <cell r="G138">
            <v>3</v>
          </cell>
        </row>
        <row r="139">
          <cell r="F139" t="str">
            <v>战袍加身</v>
          </cell>
          <cell r="G139">
            <v>4</v>
          </cell>
        </row>
        <row r="140">
          <cell r="F140" t="str">
            <v>战袍加身</v>
          </cell>
          <cell r="G140">
            <v>5</v>
          </cell>
        </row>
        <row r="141">
          <cell r="F141" t="str">
            <v>元帅降临</v>
          </cell>
          <cell r="G141">
            <v>6</v>
          </cell>
        </row>
        <row r="142">
          <cell r="F142" t="str">
            <v>元帅降临</v>
          </cell>
          <cell r="G142">
            <v>7</v>
          </cell>
        </row>
        <row r="143">
          <cell r="F143" t="str">
            <v>元帅降临</v>
          </cell>
          <cell r="G143">
            <v>8</v>
          </cell>
        </row>
        <row r="144">
          <cell r="F144" t="str">
            <v>元帅降临</v>
          </cell>
          <cell r="G144">
            <v>9</v>
          </cell>
        </row>
        <row r="145">
          <cell r="F145" t="str">
            <v>元帅降临</v>
          </cell>
          <cell r="G145">
            <v>10</v>
          </cell>
        </row>
        <row r="147">
          <cell r="F147" t="str">
            <v>疾风</v>
          </cell>
          <cell r="G147">
            <v>1</v>
          </cell>
          <cell r="H147">
            <v>1</v>
          </cell>
          <cell r="I147" t="str">
            <v>Fanshi</v>
          </cell>
          <cell r="N147">
            <v>41</v>
          </cell>
          <cell r="AH147">
            <v>-0.02</v>
          </cell>
        </row>
        <row r="148">
          <cell r="F148" t="str">
            <v>疾风</v>
          </cell>
          <cell r="G148">
            <v>2</v>
          </cell>
          <cell r="H148">
            <v>2</v>
          </cell>
          <cell r="I148" t="str">
            <v>Fanshi</v>
          </cell>
          <cell r="N148">
            <v>172</v>
          </cell>
          <cell r="AH148">
            <v>-0.05</v>
          </cell>
        </row>
        <row r="149">
          <cell r="F149" t="str">
            <v>疾风</v>
          </cell>
          <cell r="G149">
            <v>3</v>
          </cell>
          <cell r="H149">
            <v>3</v>
          </cell>
          <cell r="I149" t="str">
            <v>Fanshi</v>
          </cell>
          <cell r="N149">
            <v>421</v>
          </cell>
          <cell r="AH149">
            <v>-7.0000000000000007E-2</v>
          </cell>
        </row>
        <row r="150">
          <cell r="F150" t="str">
            <v>疾风</v>
          </cell>
          <cell r="G150">
            <v>4</v>
          </cell>
          <cell r="H150">
            <v>5</v>
          </cell>
          <cell r="I150" t="str">
            <v>Fanshi</v>
          </cell>
          <cell r="N150">
            <v>3540</v>
          </cell>
          <cell r="AH150">
            <v>-0.1</v>
          </cell>
        </row>
        <row r="151">
          <cell r="F151" t="str">
            <v>烈风</v>
          </cell>
          <cell r="G151">
            <v>5</v>
          </cell>
        </row>
        <row r="152">
          <cell r="F152" t="str">
            <v>烈风</v>
          </cell>
          <cell r="G152">
            <v>6</v>
          </cell>
        </row>
        <row r="153">
          <cell r="F153" t="str">
            <v>烈风</v>
          </cell>
          <cell r="G153">
            <v>7</v>
          </cell>
        </row>
        <row r="154">
          <cell r="F154" t="str">
            <v>神风</v>
          </cell>
          <cell r="G154">
            <v>8</v>
          </cell>
        </row>
        <row r="155">
          <cell r="F155" t="str">
            <v>神风</v>
          </cell>
          <cell r="G155">
            <v>9</v>
          </cell>
        </row>
        <row r="156">
          <cell r="F156" t="str">
            <v>神风</v>
          </cell>
          <cell r="G156">
            <v>10</v>
          </cell>
        </row>
        <row r="158">
          <cell r="F158" t="str">
            <v>风阵</v>
          </cell>
          <cell r="G158">
            <v>1</v>
          </cell>
          <cell r="H158">
            <v>4</v>
          </cell>
          <cell r="I158" t="str">
            <v>Juqi</v>
          </cell>
          <cell r="AX158">
            <v>0.06</v>
          </cell>
          <cell r="AZ158">
            <v>9.2999999999999999E-2</v>
          </cell>
        </row>
        <row r="159">
          <cell r="F159" t="str">
            <v>风阵</v>
          </cell>
          <cell r="G159">
            <v>2</v>
          </cell>
        </row>
        <row r="160">
          <cell r="F160" t="str">
            <v>风阵</v>
          </cell>
          <cell r="G160">
            <v>3</v>
          </cell>
        </row>
        <row r="161">
          <cell r="F161" t="str">
            <v>风阵</v>
          </cell>
          <cell r="G161">
            <v>4</v>
          </cell>
        </row>
        <row r="162">
          <cell r="F162" t="str">
            <v>风阵</v>
          </cell>
          <cell r="G162">
            <v>5</v>
          </cell>
        </row>
        <row r="163">
          <cell r="F163" t="str">
            <v>风牢</v>
          </cell>
          <cell r="G163">
            <v>6</v>
          </cell>
        </row>
        <row r="164">
          <cell r="F164" t="str">
            <v>风牢</v>
          </cell>
          <cell r="G164">
            <v>7</v>
          </cell>
        </row>
        <row r="165">
          <cell r="F165" t="str">
            <v>风牢</v>
          </cell>
          <cell r="G165">
            <v>8</v>
          </cell>
        </row>
        <row r="166">
          <cell r="F166" t="str">
            <v>风牢</v>
          </cell>
          <cell r="G166">
            <v>9</v>
          </cell>
        </row>
        <row r="167">
          <cell r="F167" t="str">
            <v>风牢</v>
          </cell>
          <cell r="G167">
            <v>10</v>
          </cell>
        </row>
        <row r="169">
          <cell r="F169" t="str">
            <v>月牙斩</v>
          </cell>
          <cell r="G169">
            <v>1</v>
          </cell>
          <cell r="H169">
            <v>1</v>
          </cell>
          <cell r="I169" t="str">
            <v>Gongji</v>
          </cell>
          <cell r="J169">
            <v>43</v>
          </cell>
        </row>
        <row r="170">
          <cell r="F170" t="str">
            <v>月牙斩</v>
          </cell>
          <cell r="G170">
            <v>2</v>
          </cell>
          <cell r="H170">
            <v>2</v>
          </cell>
          <cell r="I170" t="str">
            <v>Gongji</v>
          </cell>
          <cell r="J170">
            <v>202</v>
          </cell>
        </row>
        <row r="171">
          <cell r="F171" t="str">
            <v>月牙斩</v>
          </cell>
          <cell r="G171">
            <v>3</v>
          </cell>
        </row>
        <row r="172">
          <cell r="F172" t="str">
            <v>月牙斩</v>
          </cell>
          <cell r="G172">
            <v>4</v>
          </cell>
        </row>
        <row r="173">
          <cell r="F173" t="str">
            <v>月牙斩</v>
          </cell>
          <cell r="G173">
            <v>5</v>
          </cell>
        </row>
        <row r="174">
          <cell r="F174" t="str">
            <v>落月</v>
          </cell>
          <cell r="G174">
            <v>6</v>
          </cell>
        </row>
        <row r="175">
          <cell r="F175" t="str">
            <v>落月</v>
          </cell>
          <cell r="G175">
            <v>7</v>
          </cell>
        </row>
        <row r="176">
          <cell r="F176" t="str">
            <v>落月</v>
          </cell>
          <cell r="G176">
            <v>8</v>
          </cell>
        </row>
        <row r="177">
          <cell r="F177" t="str">
            <v>落月</v>
          </cell>
          <cell r="G177">
            <v>9</v>
          </cell>
        </row>
        <row r="178">
          <cell r="F178" t="str">
            <v>落月</v>
          </cell>
          <cell r="G178">
            <v>10</v>
          </cell>
        </row>
      </sheetData>
      <sheetData sheetId="7" refreshError="1"/>
      <sheetData sheetId="8">
        <row r="1">
          <cell r="B1" t="str">
            <v>F_Zijinboyu</v>
          </cell>
          <cell r="C1" t="str">
            <v>F_Jiuhuanxizhang</v>
          </cell>
          <cell r="D1" t="str">
            <v>F_Jinnanjiasha</v>
          </cell>
          <cell r="E1" t="str">
            <v>F_Jinguzhou</v>
          </cell>
          <cell r="F1" t="str">
            <v>F_Jingubang</v>
          </cell>
          <cell r="G1" t="str">
            <v>F_Yulongyinqiang</v>
          </cell>
          <cell r="H1" t="str">
            <v>F_Longling</v>
          </cell>
          <cell r="I1" t="str">
            <v>F_Jiuchidingpa</v>
          </cell>
          <cell r="J1" t="str">
            <v>F_Yuanshuaizhanpao</v>
          </cell>
          <cell r="K1" t="str">
            <v>F_Dingfengzhu</v>
          </cell>
          <cell r="L1" t="str">
            <v>F_Yueyachan</v>
          </cell>
          <cell r="M1" t="str">
            <v>F_Xiangmochu</v>
          </cell>
          <cell r="N1" t="str">
            <v>F_Xuanhuabanfu</v>
          </cell>
          <cell r="O1" t="str">
            <v>F_Xianbingpipa</v>
          </cell>
          <cell r="P1" t="str">
            <v>F_Tiangwangbaojian</v>
          </cell>
          <cell r="Q1" t="str">
            <v>F_Chilong</v>
          </cell>
          <cell r="R1" t="str">
            <v>F_Baopan</v>
          </cell>
          <cell r="S1" t="str">
            <v>F_Yinshu</v>
          </cell>
          <cell r="T1" t="str">
            <v>F_Huojianqiang</v>
          </cell>
          <cell r="U1" t="str">
            <v>F_Qiankunquan</v>
          </cell>
          <cell r="V1" t="str">
            <v>F_Huntianling</v>
          </cell>
          <cell r="W1" t="str">
            <v>F_Fenghuolun</v>
          </cell>
          <cell r="X1" t="str">
            <v>F_Zhetianpan</v>
          </cell>
          <cell r="Y1" t="str">
            <v>F_Dunlongzhu</v>
          </cell>
          <cell r="Z1" t="str">
            <v>F_Wugoushuangjian</v>
          </cell>
          <cell r="AA1" t="str">
            <v>F_Qiqiaolinglongta</v>
          </cell>
          <cell r="AB1" t="str">
            <v>F_Sanjianliangrendao</v>
          </cell>
          <cell r="AC1" t="str">
            <v>F_Tianquanya</v>
          </cell>
          <cell r="AD1" t="str">
            <v>F_Jingangzhuo</v>
          </cell>
          <cell r="AE1" t="str">
            <v>F_Yujingping</v>
          </cell>
          <cell r="AF1" t="str">
            <v>F_Qianshouguanyin</v>
          </cell>
          <cell r="AG1" t="str">
            <v>F_Yudilongpao</v>
          </cell>
          <cell r="AH1" t="str">
            <v>F_Lingxiaobaodian</v>
          </cell>
          <cell r="AI1" t="str">
            <v>F_Wangmuhongling</v>
          </cell>
          <cell r="AJ1" t="str">
            <v>F_Yaochi</v>
          </cell>
          <cell r="AK1" t="str">
            <v>F_Foguang</v>
          </cell>
          <cell r="AL1" t="str">
            <v>F_Rulainianzhu</v>
          </cell>
          <cell r="AM1" t="str">
            <v>F_Jinshenwuzhi</v>
          </cell>
          <cell r="AN1" t="str">
            <v>F_Lianhuatai</v>
          </cell>
        </row>
      </sheetData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3"/>
  <sheetViews>
    <sheetView workbookViewId="0">
      <selection activeCell="D19" sqref="D19"/>
    </sheetView>
  </sheetViews>
  <sheetFormatPr defaultRowHeight="13.5" x14ac:dyDescent="0.15"/>
  <cols>
    <col min="1" max="1" width="12.5" customWidth="1"/>
  </cols>
  <sheetData>
    <row r="1" spans="1:3" x14ac:dyDescent="0.15">
      <c r="A1" t="s">
        <v>13</v>
      </c>
      <c r="B1" t="s">
        <v>7</v>
      </c>
      <c r="C1" t="s">
        <v>8</v>
      </c>
    </row>
    <row r="2" spans="1:3" x14ac:dyDescent="0.15">
      <c r="A2">
        <v>1</v>
      </c>
      <c r="B2" t="s">
        <v>9</v>
      </c>
      <c r="C2" t="s">
        <v>14</v>
      </c>
    </row>
    <row r="3" spans="1:3" x14ac:dyDescent="0.15">
      <c r="A3">
        <v>2</v>
      </c>
      <c r="B3" t="s">
        <v>10</v>
      </c>
      <c r="C3" t="s">
        <v>15</v>
      </c>
    </row>
    <row r="4" spans="1:3" x14ac:dyDescent="0.15">
      <c r="A4">
        <v>3</v>
      </c>
      <c r="B4" t="s">
        <v>26</v>
      </c>
      <c r="C4" t="s">
        <v>16</v>
      </c>
    </row>
    <row r="5" spans="1:3" x14ac:dyDescent="0.15">
      <c r="A5">
        <v>4</v>
      </c>
      <c r="B5" t="s">
        <v>5</v>
      </c>
      <c r="C5" t="s">
        <v>17</v>
      </c>
    </row>
    <row r="6" spans="1:3" x14ac:dyDescent="0.15">
      <c r="A6">
        <v>5</v>
      </c>
      <c r="B6" t="s">
        <v>27</v>
      </c>
      <c r="C6" t="s">
        <v>18</v>
      </c>
    </row>
    <row r="7" spans="1:3" x14ac:dyDescent="0.15">
      <c r="A7">
        <v>6</v>
      </c>
      <c r="B7" t="s">
        <v>11</v>
      </c>
      <c r="C7" t="s">
        <v>19</v>
      </c>
    </row>
    <row r="8" spans="1:3" x14ac:dyDescent="0.15">
      <c r="A8">
        <v>7</v>
      </c>
      <c r="B8" t="s">
        <v>28</v>
      </c>
      <c r="C8" t="s">
        <v>20</v>
      </c>
    </row>
    <row r="9" spans="1:3" x14ac:dyDescent="0.15">
      <c r="A9">
        <v>8</v>
      </c>
      <c r="B9" t="s">
        <v>29</v>
      </c>
      <c r="C9" t="s">
        <v>21</v>
      </c>
    </row>
    <row r="10" spans="1:3" x14ac:dyDescent="0.15">
      <c r="A10">
        <v>9</v>
      </c>
      <c r="B10" t="s">
        <v>30</v>
      </c>
      <c r="C10" t="s">
        <v>22</v>
      </c>
    </row>
    <row r="11" spans="1:3" x14ac:dyDescent="0.15">
      <c r="A11">
        <v>10</v>
      </c>
      <c r="B11" t="s">
        <v>31</v>
      </c>
      <c r="C11" t="s">
        <v>23</v>
      </c>
    </row>
    <row r="12" spans="1:3" x14ac:dyDescent="0.15">
      <c r="A12">
        <v>11</v>
      </c>
      <c r="B12" t="s">
        <v>12</v>
      </c>
      <c r="C12" t="s">
        <v>24</v>
      </c>
    </row>
    <row r="13" spans="1:3" x14ac:dyDescent="0.15">
      <c r="A13">
        <v>12</v>
      </c>
      <c r="B13" t="s">
        <v>32</v>
      </c>
      <c r="C13" t="s">
        <v>25</v>
      </c>
    </row>
  </sheetData>
  <phoneticPr fontId="1" type="noConversion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SV">
                <anchor moveWithCells="1" sizeWithCells="1">
                  <from>
                    <xdr:col>5</xdr:col>
                    <xdr:colOff>304800</xdr:colOff>
                    <xdr:row>2</xdr:row>
                    <xdr:rowOff>28575</xdr:rowOff>
                  </from>
                  <to>
                    <xdr:col>6</xdr:col>
                    <xdr:colOff>609600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"/>
  <sheetViews>
    <sheetView tabSelected="1" workbookViewId="0">
      <selection activeCell="B1" sqref="B1"/>
    </sheetView>
  </sheetViews>
  <sheetFormatPr defaultRowHeight="13.5" x14ac:dyDescent="0.15"/>
  <cols>
    <col min="1" max="1" width="14" customWidth="1"/>
    <col min="2" max="2" width="11" customWidth="1"/>
    <col min="3" max="3" width="14.125" customWidth="1"/>
    <col min="4" max="4" width="17.75" customWidth="1"/>
  </cols>
  <sheetData>
    <row r="1" spans="1:41" x14ac:dyDescent="0.15">
      <c r="A1" t="s">
        <v>45</v>
      </c>
      <c r="B1" t="str">
        <f>[1]法宝人物匹配!B1</f>
        <v>F_Zijinboyu</v>
      </c>
      <c r="C1" t="str">
        <f>[1]法宝人物匹配!C1</f>
        <v>F_Jiuhuanxizhang</v>
      </c>
      <c r="D1" t="str">
        <f>[1]法宝人物匹配!D1</f>
        <v>F_Jinnanjiasha</v>
      </c>
      <c r="E1" t="str">
        <f>[1]法宝人物匹配!E1</f>
        <v>F_Jinguzhou</v>
      </c>
      <c r="F1" t="str">
        <f>[1]法宝人物匹配!F1</f>
        <v>F_Jingubang</v>
      </c>
      <c r="G1" t="str">
        <f>[1]法宝人物匹配!G1</f>
        <v>F_Yulongyinqiang</v>
      </c>
      <c r="H1" t="str">
        <f>[1]法宝人物匹配!H1</f>
        <v>F_Longling</v>
      </c>
      <c r="I1" t="str">
        <f>[1]法宝人物匹配!I1</f>
        <v>F_Jiuchidingpa</v>
      </c>
      <c r="J1" t="str">
        <f>[1]法宝人物匹配!J1</f>
        <v>F_Yuanshuaizhanpao</v>
      </c>
      <c r="K1" t="str">
        <f>[1]法宝人物匹配!K1</f>
        <v>F_Dingfengzhu</v>
      </c>
      <c r="L1" t="str">
        <f>[1]法宝人物匹配!L1</f>
        <v>F_Yueyachan</v>
      </c>
      <c r="M1" t="str">
        <f>[1]法宝人物匹配!M1</f>
        <v>F_Xiangmochu</v>
      </c>
      <c r="N1" t="str">
        <f>[1]法宝人物匹配!N1</f>
        <v>F_Xuanhuabanfu</v>
      </c>
      <c r="O1" t="str">
        <f>[1]法宝人物匹配!O1</f>
        <v>F_Xianbingpipa</v>
      </c>
      <c r="P1" t="str">
        <f>[1]法宝人物匹配!P1</f>
        <v>F_Tiangwangbaojian</v>
      </c>
      <c r="Q1" t="str">
        <f>[1]法宝人物匹配!Q1</f>
        <v>F_Chilong</v>
      </c>
      <c r="R1" t="str">
        <f>[1]法宝人物匹配!R1</f>
        <v>F_Baopan</v>
      </c>
      <c r="S1" t="str">
        <f>[1]法宝人物匹配!S1</f>
        <v>F_Yinshu</v>
      </c>
      <c r="T1" t="str">
        <f>[1]法宝人物匹配!T1</f>
        <v>F_Huojianqiang</v>
      </c>
      <c r="U1" t="str">
        <f>[1]法宝人物匹配!U1</f>
        <v>F_Qiankunquan</v>
      </c>
      <c r="V1" t="str">
        <f>[1]法宝人物匹配!V1</f>
        <v>F_Huntianling</v>
      </c>
      <c r="W1" t="str">
        <f>[1]法宝人物匹配!W1</f>
        <v>F_Fenghuolun</v>
      </c>
      <c r="X1" t="str">
        <f>[1]法宝人物匹配!X1</f>
        <v>F_Zhetianpan</v>
      </c>
      <c r="Y1" t="str">
        <f>[1]法宝人物匹配!Y1</f>
        <v>F_Dunlongzhu</v>
      </c>
      <c r="Z1" t="str">
        <f>[1]法宝人物匹配!Z1</f>
        <v>F_Wugoushuangjian</v>
      </c>
      <c r="AA1" t="str">
        <f>[1]法宝人物匹配!AA1</f>
        <v>F_Qiqiaolinglongta</v>
      </c>
      <c r="AB1" t="str">
        <f>[1]法宝人物匹配!AB1</f>
        <v>F_Sanjianliangrendao</v>
      </c>
      <c r="AC1" t="str">
        <f>[1]法宝人物匹配!AC1</f>
        <v>F_Tianquanya</v>
      </c>
      <c r="AD1" t="str">
        <f>[1]法宝人物匹配!AD1</f>
        <v>F_Jingangzhuo</v>
      </c>
      <c r="AE1" t="str">
        <f>[1]法宝人物匹配!AE1</f>
        <v>F_Yujingping</v>
      </c>
      <c r="AF1" t="str">
        <f>[1]法宝人物匹配!AF1</f>
        <v>F_Qianshouguanyin</v>
      </c>
      <c r="AG1" t="str">
        <f>[1]法宝人物匹配!AG1</f>
        <v>F_Yudilongpao</v>
      </c>
      <c r="AH1" t="str">
        <f>[1]法宝人物匹配!AH1</f>
        <v>F_Lingxiaobaodian</v>
      </c>
      <c r="AI1" t="str">
        <f>[1]法宝人物匹配!AI1</f>
        <v>F_Wangmuhongling</v>
      </c>
      <c r="AJ1" t="str">
        <f>[1]法宝人物匹配!AJ1</f>
        <v>F_Yaochi</v>
      </c>
      <c r="AK1" t="str">
        <f>[1]法宝人物匹配!AK1</f>
        <v>F_Foguang</v>
      </c>
      <c r="AL1" t="str">
        <f>[1]法宝人物匹配!AL1</f>
        <v>F_Rulainianzhu</v>
      </c>
      <c r="AM1" t="str">
        <f>[1]法宝人物匹配!AM1</f>
        <v>F_Jinshenwuzhi</v>
      </c>
      <c r="AN1" t="str">
        <f>[1]法宝人物匹配!AN1</f>
        <v>F_Lianhuatai</v>
      </c>
      <c r="AO1">
        <f>[1]法宝人物匹配!AO1</f>
        <v>0</v>
      </c>
    </row>
    <row r="2" spans="1:41" x14ac:dyDescent="0.15">
      <c r="A2" t="s">
        <v>2</v>
      </c>
    </row>
    <row r="3" spans="1:41" x14ac:dyDescent="0.15">
      <c r="A3" t="s">
        <v>3</v>
      </c>
    </row>
    <row r="4" spans="1:41" x14ac:dyDescent="0.15">
      <c r="A4" t="s">
        <v>4</v>
      </c>
    </row>
    <row r="5" spans="1:41" x14ac:dyDescent="0.15">
      <c r="A5" t="s">
        <v>5</v>
      </c>
    </row>
    <row r="6" spans="1:41" x14ac:dyDescent="0.15">
      <c r="A6" t="s">
        <v>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2" sqref="A2:A11"/>
    </sheetView>
  </sheetViews>
  <sheetFormatPr defaultRowHeight="13.5" x14ac:dyDescent="0.15"/>
  <cols>
    <col min="1" max="2" width="10.875" customWidth="1"/>
    <col min="4" max="4" width="14" customWidth="1"/>
    <col min="5" max="5" width="9" customWidth="1"/>
  </cols>
  <sheetData>
    <row r="1" spans="1:8" x14ac:dyDescent="0.15">
      <c r="A1" t="s">
        <v>34</v>
      </c>
      <c r="B1" t="s">
        <v>7</v>
      </c>
      <c r="C1" t="s">
        <v>0</v>
      </c>
      <c r="D1" t="s">
        <v>33</v>
      </c>
      <c r="E1" t="s">
        <v>43</v>
      </c>
      <c r="F1" t="s">
        <v>38</v>
      </c>
      <c r="G1" t="s">
        <v>37</v>
      </c>
      <c r="H1" t="s">
        <v>1</v>
      </c>
    </row>
    <row r="2" spans="1:8" x14ac:dyDescent="0.15">
      <c r="A2" t="str">
        <f>[1]法宝人物匹配!$B$1</f>
        <v>F_Zijinboyu</v>
      </c>
      <c r="B2" t="str">
        <f>[1]技能设计!$F$4</f>
        <v>化缘</v>
      </c>
      <c r="C2">
        <f>[1]技能设计!$G$4</f>
        <v>1</v>
      </c>
      <c r="D2">
        <f>[1]技能设计!$H$4</f>
        <v>1</v>
      </c>
      <c r="E2" t="str">
        <f>[1]技能设计!$I$4</f>
        <v>Juqi</v>
      </c>
      <c r="F2">
        <v>3</v>
      </c>
      <c r="G2">
        <v>3</v>
      </c>
      <c r="H2">
        <f ca="1">[1]技能设计!$L$4</f>
        <v>43</v>
      </c>
    </row>
    <row r="3" spans="1:8" x14ac:dyDescent="0.15">
      <c r="A3" t="str">
        <f>[1]法宝人物匹配!$B$1</f>
        <v>F_Zijinboyu</v>
      </c>
      <c r="B3" t="str">
        <f>[1]技能设计!$F$5</f>
        <v>化缘</v>
      </c>
      <c r="C3">
        <f>[1]技能设计!$G$5</f>
        <v>2</v>
      </c>
      <c r="D3">
        <f>[1]技能设计!$H$5</f>
        <v>2</v>
      </c>
      <c r="E3" t="str">
        <f>[1]技能设计!$I$5</f>
        <v>Juqi</v>
      </c>
      <c r="F3">
        <v>3</v>
      </c>
      <c r="G3">
        <v>3</v>
      </c>
      <c r="H3">
        <f ca="1">[1]技能设计!$L$5</f>
        <v>202</v>
      </c>
    </row>
    <row r="4" spans="1:8" x14ac:dyDescent="0.15">
      <c r="A4" t="str">
        <f>[1]法宝人物匹配!$B$1</f>
        <v>F_Zijinboyu</v>
      </c>
      <c r="B4" t="str">
        <f>[1]技能设计!$F$6</f>
        <v>化缘</v>
      </c>
      <c r="C4">
        <f>[1]技能设计!$G$6</f>
        <v>3</v>
      </c>
      <c r="D4">
        <f>[1]技能设计!$H$6</f>
        <v>4</v>
      </c>
      <c r="E4" t="str">
        <f>[1]技能设计!$I$6</f>
        <v>Juqi</v>
      </c>
      <c r="F4">
        <v>3</v>
      </c>
      <c r="G4">
        <v>3</v>
      </c>
      <c r="H4">
        <f ca="1">[1]技能设计!$L$6</f>
        <v>1541</v>
      </c>
    </row>
    <row r="5" spans="1:8" x14ac:dyDescent="0.15">
      <c r="A5" t="str">
        <f>[1]法宝人物匹配!$B$1</f>
        <v>F_Zijinboyu</v>
      </c>
      <c r="B5" t="str">
        <f>[1]技能设计!$F$7</f>
        <v>化缘</v>
      </c>
      <c r="C5">
        <f>[1]技能设计!$G$7</f>
        <v>4</v>
      </c>
      <c r="D5">
        <f>[1]技能设计!$H$7</f>
        <v>0</v>
      </c>
      <c r="E5">
        <f>[1]技能设计!$I$7</f>
        <v>0</v>
      </c>
      <c r="F5">
        <v>3</v>
      </c>
      <c r="G5">
        <v>3</v>
      </c>
      <c r="H5">
        <f>[1]技能设计!$L$7</f>
        <v>0</v>
      </c>
    </row>
    <row r="6" spans="1:8" x14ac:dyDescent="0.15">
      <c r="A6" t="str">
        <f>[1]法宝人物匹配!$B$1</f>
        <v>F_Zijinboyu</v>
      </c>
      <c r="B6" t="str">
        <f>[1]技能设计!$F$8</f>
        <v>化缘</v>
      </c>
      <c r="C6">
        <f>[1]技能设计!$G$8</f>
        <v>5</v>
      </c>
      <c r="D6">
        <f>[1]技能设计!$H$8</f>
        <v>0</v>
      </c>
      <c r="E6">
        <f>[1]技能设计!$I$8</f>
        <v>0</v>
      </c>
      <c r="F6">
        <v>3</v>
      </c>
      <c r="G6">
        <v>3</v>
      </c>
      <c r="H6">
        <f>[1]技能设计!$L$8</f>
        <v>0</v>
      </c>
    </row>
    <row r="7" spans="1:8" x14ac:dyDescent="0.15">
      <c r="A7" t="str">
        <f>[1]法宝人物匹配!$B$1</f>
        <v>F_Zijinboyu</v>
      </c>
      <c r="B7" t="str">
        <f>[1]技能设计!$F$9</f>
        <v>神僧请缘</v>
      </c>
      <c r="C7">
        <f>[1]技能设计!$G$9</f>
        <v>6</v>
      </c>
      <c r="D7">
        <f>[1]技能设计!$H$9</f>
        <v>0</v>
      </c>
      <c r="E7">
        <f>[1]技能设计!$I$9</f>
        <v>0</v>
      </c>
      <c r="F7">
        <v>3</v>
      </c>
      <c r="G7">
        <v>3</v>
      </c>
      <c r="H7">
        <f>[1]技能设计!$L$9</f>
        <v>0</v>
      </c>
    </row>
    <row r="8" spans="1:8" x14ac:dyDescent="0.15">
      <c r="A8" t="str">
        <f>[1]法宝人物匹配!$B$1</f>
        <v>F_Zijinboyu</v>
      </c>
      <c r="B8" t="str">
        <f>[1]技能设计!$F$10</f>
        <v>神僧请缘</v>
      </c>
      <c r="C8">
        <f>[1]技能设计!$G$10</f>
        <v>7</v>
      </c>
      <c r="D8">
        <f>[1]技能设计!$H$10</f>
        <v>0</v>
      </c>
      <c r="E8">
        <f>[1]技能设计!$I$10</f>
        <v>0</v>
      </c>
      <c r="F8">
        <v>3</v>
      </c>
      <c r="G8">
        <v>3</v>
      </c>
      <c r="H8">
        <f>[1]技能设计!$L$10</f>
        <v>0</v>
      </c>
    </row>
    <row r="9" spans="1:8" x14ac:dyDescent="0.15">
      <c r="A9" t="str">
        <f>[1]法宝人物匹配!$B$1</f>
        <v>F_Zijinboyu</v>
      </c>
      <c r="B9" t="str">
        <f>[1]技能设计!$F$11</f>
        <v>神僧请缘</v>
      </c>
      <c r="C9">
        <f>[1]技能设计!$G$11</f>
        <v>8</v>
      </c>
      <c r="D9">
        <f>[1]技能设计!$H$11</f>
        <v>0</v>
      </c>
      <c r="E9">
        <f>[1]技能设计!$I$11</f>
        <v>0</v>
      </c>
      <c r="F9">
        <v>3</v>
      </c>
      <c r="G9">
        <v>3</v>
      </c>
      <c r="H9">
        <f>[1]技能设计!$L$11</f>
        <v>0</v>
      </c>
    </row>
    <row r="10" spans="1:8" x14ac:dyDescent="0.15">
      <c r="A10" t="str">
        <f>[1]法宝人物匹配!$B$1</f>
        <v>F_Zijinboyu</v>
      </c>
      <c r="B10" t="str">
        <f>[1]技能设计!$F$12</f>
        <v>神僧请缘</v>
      </c>
      <c r="C10">
        <f>[1]技能设计!$G$12</f>
        <v>9</v>
      </c>
      <c r="D10">
        <f>[1]技能设计!$H$12</f>
        <v>0</v>
      </c>
      <c r="E10">
        <f>[1]技能设计!$I$12</f>
        <v>0</v>
      </c>
      <c r="F10">
        <v>3</v>
      </c>
      <c r="G10">
        <v>3</v>
      </c>
      <c r="H10">
        <f>[1]技能设计!$L$12</f>
        <v>0</v>
      </c>
    </row>
    <row r="11" spans="1:8" x14ac:dyDescent="0.15">
      <c r="A11" t="str">
        <f>[1]法宝人物匹配!$B$1</f>
        <v>F_Zijinboyu</v>
      </c>
      <c r="B11" t="str">
        <f>[1]技能设计!$F$13</f>
        <v>神僧请缘</v>
      </c>
      <c r="C11">
        <f>[1]技能设计!$G$13</f>
        <v>10</v>
      </c>
      <c r="D11">
        <f>[1]技能设计!$H$13</f>
        <v>0</v>
      </c>
      <c r="E11">
        <f>[1]技能设计!$I$13</f>
        <v>0</v>
      </c>
      <c r="F11">
        <v>3</v>
      </c>
      <c r="G11">
        <v>3</v>
      </c>
      <c r="H11">
        <f>[1]技能设计!$L$13</f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2" sqref="A2:A11"/>
    </sheetView>
  </sheetViews>
  <sheetFormatPr defaultRowHeight="13.5" x14ac:dyDescent="0.15"/>
  <sheetData>
    <row r="1" spans="1:8" x14ac:dyDescent="0.15">
      <c r="A1" t="s">
        <v>34</v>
      </c>
      <c r="B1" t="s">
        <v>7</v>
      </c>
      <c r="C1" t="s">
        <v>0</v>
      </c>
      <c r="D1" t="s">
        <v>33</v>
      </c>
      <c r="E1" t="s">
        <v>44</v>
      </c>
      <c r="F1" t="s">
        <v>38</v>
      </c>
      <c r="G1" t="s">
        <v>37</v>
      </c>
      <c r="H1" t="str">
        <f>[1]技能设计!$N$1</f>
        <v>Fanshi</v>
      </c>
    </row>
    <row r="2" spans="1:8" x14ac:dyDescent="0.15">
      <c r="A2" t="str">
        <f>[1]法宝人物匹配!$B$1</f>
        <v>F_Zijinboyu</v>
      </c>
      <c r="B2" t="str">
        <f>[1]技能设计!$F$15</f>
        <v>紫气降妖</v>
      </c>
      <c r="C2">
        <f>[1]技能设计!$G$15</f>
        <v>1</v>
      </c>
      <c r="D2">
        <f>[1]技能设计!$H$15</f>
        <v>3</v>
      </c>
      <c r="E2" t="str">
        <f>[1]技能设计!$I$15</f>
        <v>Fanshi</v>
      </c>
      <c r="F2">
        <v>3</v>
      </c>
      <c r="G2">
        <v>3</v>
      </c>
      <c r="H2">
        <f ca="1">[1]技能设计!$N$15</f>
        <v>533</v>
      </c>
    </row>
    <row r="3" spans="1:8" x14ac:dyDescent="0.15">
      <c r="A3" t="str">
        <f>[1]法宝人物匹配!$B$1</f>
        <v>F_Zijinboyu</v>
      </c>
      <c r="B3" t="str">
        <f>[1]技能设计!$F$16</f>
        <v>紫气降妖</v>
      </c>
      <c r="C3">
        <f>[1]技能设计!$G$16</f>
        <v>2</v>
      </c>
      <c r="D3">
        <f>[1]技能设计!$H$16</f>
        <v>5</v>
      </c>
      <c r="E3" t="str">
        <f>[1]技能设计!$I$16</f>
        <v>Fanshi</v>
      </c>
      <c r="F3">
        <v>3</v>
      </c>
      <c r="G3">
        <v>3</v>
      </c>
      <c r="H3">
        <f ca="1">[1]技能设计!$N$16</f>
        <v>5060</v>
      </c>
    </row>
    <row r="4" spans="1:8" x14ac:dyDescent="0.15">
      <c r="A4" t="str">
        <f>[1]法宝人物匹配!$B$1</f>
        <v>F_Zijinboyu</v>
      </c>
      <c r="B4" t="str">
        <f>[1]技能设计!$F$17</f>
        <v>紫气降妖</v>
      </c>
      <c r="C4">
        <f>[1]技能设计!$G$17</f>
        <v>3</v>
      </c>
      <c r="D4">
        <f>[1]技能设计!$H$17</f>
        <v>0</v>
      </c>
      <c r="E4">
        <f>[1]技能设计!$I$17</f>
        <v>0</v>
      </c>
      <c r="F4">
        <v>3</v>
      </c>
      <c r="G4">
        <v>3</v>
      </c>
      <c r="H4">
        <f>[1]技能设计!$N$17</f>
        <v>0</v>
      </c>
    </row>
    <row r="5" spans="1:8" x14ac:dyDescent="0.15">
      <c r="A5" t="str">
        <f>[1]法宝人物匹配!$B$1</f>
        <v>F_Zijinboyu</v>
      </c>
      <c r="B5" t="str">
        <f>[1]技能设计!$F$18</f>
        <v>紫气降妖</v>
      </c>
      <c r="C5">
        <f>[1]技能设计!$G$18</f>
        <v>4</v>
      </c>
      <c r="D5">
        <f>[1]技能设计!$H$18</f>
        <v>0</v>
      </c>
      <c r="E5">
        <f>[1]技能设计!$I$18</f>
        <v>0</v>
      </c>
      <c r="F5">
        <v>3</v>
      </c>
      <c r="G5">
        <v>3</v>
      </c>
      <c r="H5">
        <f>[1]技能设计!$N$18</f>
        <v>0</v>
      </c>
    </row>
    <row r="6" spans="1:8" x14ac:dyDescent="0.15">
      <c r="A6" t="str">
        <f>[1]法宝人物匹配!$B$1</f>
        <v>F_Zijinboyu</v>
      </c>
      <c r="B6" t="str">
        <f>[1]技能设计!$F$19</f>
        <v>紫气降妖</v>
      </c>
      <c r="C6">
        <f>[1]技能设计!$G$19</f>
        <v>5</v>
      </c>
      <c r="D6">
        <f>[1]技能设计!$H$19</f>
        <v>0</v>
      </c>
      <c r="E6">
        <f>[1]技能设计!$I$19</f>
        <v>0</v>
      </c>
      <c r="F6">
        <v>3</v>
      </c>
      <c r="G6">
        <v>3</v>
      </c>
      <c r="H6">
        <f>[1]技能设计!$N$19</f>
        <v>0</v>
      </c>
    </row>
    <row r="7" spans="1:8" x14ac:dyDescent="0.15">
      <c r="A7" t="str">
        <f>[1]法宝人物匹配!$B$1</f>
        <v>F_Zijinboyu</v>
      </c>
      <c r="B7" t="str">
        <f>[1]技能设计!$F$20</f>
        <v>紫气佛光</v>
      </c>
      <c r="C7">
        <f>[1]技能设计!$G$20</f>
        <v>6</v>
      </c>
      <c r="D7">
        <f>[1]技能设计!$H$20</f>
        <v>0</v>
      </c>
      <c r="E7">
        <f>[1]技能设计!$I$20</f>
        <v>0</v>
      </c>
      <c r="F7">
        <v>3</v>
      </c>
      <c r="G7">
        <v>3</v>
      </c>
      <c r="H7">
        <f>[1]技能设计!$N$20</f>
        <v>0</v>
      </c>
    </row>
    <row r="8" spans="1:8" x14ac:dyDescent="0.15">
      <c r="A8" t="str">
        <f>[1]法宝人物匹配!$B$1</f>
        <v>F_Zijinboyu</v>
      </c>
      <c r="B8" t="str">
        <f>[1]技能设计!$F$21</f>
        <v>紫气佛光</v>
      </c>
      <c r="C8">
        <f>[1]技能设计!$G$21</f>
        <v>7</v>
      </c>
      <c r="D8">
        <f>[1]技能设计!$H$21</f>
        <v>0</v>
      </c>
      <c r="E8">
        <f>[1]技能设计!$I$21</f>
        <v>0</v>
      </c>
      <c r="F8">
        <v>3</v>
      </c>
      <c r="G8">
        <v>3</v>
      </c>
      <c r="H8">
        <f>[1]技能设计!$N$21</f>
        <v>0</v>
      </c>
    </row>
    <row r="9" spans="1:8" x14ac:dyDescent="0.15">
      <c r="A9" t="str">
        <f>[1]法宝人物匹配!$B$1</f>
        <v>F_Zijinboyu</v>
      </c>
      <c r="B9" t="str">
        <f>[1]技能设计!$F$22</f>
        <v>紫气佛光</v>
      </c>
      <c r="C9">
        <f>[1]技能设计!$G$22</f>
        <v>8</v>
      </c>
      <c r="D9">
        <f>[1]技能设计!$H$22</f>
        <v>0</v>
      </c>
      <c r="E9">
        <f>[1]技能设计!$I$22</f>
        <v>0</v>
      </c>
      <c r="F9">
        <v>3</v>
      </c>
      <c r="G9">
        <v>3</v>
      </c>
      <c r="H9">
        <f>[1]技能设计!$N$22</f>
        <v>0</v>
      </c>
    </row>
    <row r="10" spans="1:8" x14ac:dyDescent="0.15">
      <c r="A10" t="str">
        <f>[1]法宝人物匹配!$B$1</f>
        <v>F_Zijinboyu</v>
      </c>
      <c r="B10" t="str">
        <f>[1]技能设计!$F$23</f>
        <v>紫气佛光</v>
      </c>
      <c r="C10">
        <f>[1]技能设计!$G$23</f>
        <v>9</v>
      </c>
      <c r="D10">
        <f>[1]技能设计!$H$23</f>
        <v>0</v>
      </c>
      <c r="E10">
        <f>[1]技能设计!$I$23</f>
        <v>0</v>
      </c>
      <c r="F10">
        <v>3</v>
      </c>
      <c r="G10">
        <v>3</v>
      </c>
      <c r="H10">
        <f>[1]技能设计!$N$23</f>
        <v>0</v>
      </c>
    </row>
    <row r="11" spans="1:8" x14ac:dyDescent="0.15">
      <c r="A11" t="str">
        <f>[1]法宝人物匹配!$B$1</f>
        <v>F_Zijinboyu</v>
      </c>
      <c r="B11" t="str">
        <f>[1]技能设计!$F$24</f>
        <v>紫气佛光</v>
      </c>
      <c r="C11">
        <f>[1]技能设计!$G$24</f>
        <v>10</v>
      </c>
      <c r="D11">
        <f>[1]技能设计!$H$24</f>
        <v>0</v>
      </c>
      <c r="E11">
        <f>[1]技能设计!$I$24</f>
        <v>0</v>
      </c>
      <c r="F11">
        <v>3</v>
      </c>
      <c r="G11">
        <v>3</v>
      </c>
      <c r="H11">
        <f>[1]技能设计!$N$24</f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3" sqref="A3:A11"/>
    </sheetView>
  </sheetViews>
  <sheetFormatPr defaultRowHeight="13.5" x14ac:dyDescent="0.15"/>
  <sheetData>
    <row r="1" spans="1:8" x14ac:dyDescent="0.15">
      <c r="A1" t="s">
        <v>34</v>
      </c>
      <c r="B1" t="s">
        <v>7</v>
      </c>
      <c r="C1" t="s">
        <v>0</v>
      </c>
      <c r="D1" t="s">
        <v>33</v>
      </c>
      <c r="E1" t="s">
        <v>43</v>
      </c>
      <c r="F1" t="s">
        <v>38</v>
      </c>
      <c r="G1" t="s">
        <v>37</v>
      </c>
      <c r="H1" t="str">
        <f>[1]技能设计!$AD$1</f>
        <v>TiliDebuff</v>
      </c>
    </row>
    <row r="2" spans="1:8" x14ac:dyDescent="0.15">
      <c r="A2" t="str">
        <f>[1]法宝人物匹配!$C$1</f>
        <v>F_Jiuhuanxizhang</v>
      </c>
      <c r="B2" t="str">
        <f>[1]技能设计!$F$26</f>
        <v>净化</v>
      </c>
      <c r="C2">
        <f>[1]技能设计!$G$26</f>
        <v>1</v>
      </c>
      <c r="D2">
        <f>[1]技能设计!$H$26</f>
        <v>1</v>
      </c>
      <c r="E2" t="str">
        <f>[1]技能设计!$I$26</f>
        <v>Fanshi</v>
      </c>
      <c r="F2">
        <v>3</v>
      </c>
      <c r="G2">
        <v>3</v>
      </c>
      <c r="H2">
        <f>[1]技能设计!$AD$26</f>
        <v>-14</v>
      </c>
    </row>
    <row r="3" spans="1:8" x14ac:dyDescent="0.15">
      <c r="A3" t="str">
        <f>[1]法宝人物匹配!$C$1</f>
        <v>F_Jiuhuanxizhang</v>
      </c>
      <c r="B3" t="str">
        <f>[1]技能设计!$F$27</f>
        <v>净化</v>
      </c>
      <c r="C3">
        <f>[1]技能设计!$G$27</f>
        <v>2</v>
      </c>
      <c r="D3">
        <f>[1]技能设计!$H$27</f>
        <v>2</v>
      </c>
      <c r="E3" t="str">
        <f>[1]技能设计!$I$27</f>
        <v>Fanshi</v>
      </c>
      <c r="F3">
        <v>3</v>
      </c>
      <c r="G3">
        <v>3</v>
      </c>
      <c r="H3">
        <f>[1]技能设计!$AD$27</f>
        <v>-68</v>
      </c>
    </row>
    <row r="4" spans="1:8" x14ac:dyDescent="0.15">
      <c r="A4" t="str">
        <f>[1]法宝人物匹配!$C$1</f>
        <v>F_Jiuhuanxizhang</v>
      </c>
      <c r="B4" t="str">
        <f>[1]技能设计!$F$28</f>
        <v>净化</v>
      </c>
      <c r="C4">
        <f>[1]技能设计!$G$28</f>
        <v>3</v>
      </c>
      <c r="D4">
        <f>[1]技能设计!$H$28</f>
        <v>3</v>
      </c>
      <c r="E4" t="str">
        <f>[1]技能设计!$I$28</f>
        <v>Fanshi</v>
      </c>
      <c r="F4">
        <v>3</v>
      </c>
      <c r="G4">
        <v>3</v>
      </c>
      <c r="H4">
        <f>[1]技能设计!$AD$28</f>
        <v>-177</v>
      </c>
    </row>
    <row r="5" spans="1:8" x14ac:dyDescent="0.15">
      <c r="A5" t="str">
        <f>[1]法宝人物匹配!$C$1</f>
        <v>F_Jiuhuanxizhang</v>
      </c>
      <c r="B5" t="str">
        <f>[1]技能设计!$F$29</f>
        <v>净化</v>
      </c>
      <c r="C5">
        <f>[1]技能设计!$G$29</f>
        <v>4</v>
      </c>
      <c r="D5">
        <f>[1]技能设计!$H$29</f>
        <v>5</v>
      </c>
      <c r="E5" t="str">
        <f>[1]技能设计!$I$29</f>
        <v>Fanshi</v>
      </c>
      <c r="F5">
        <v>3</v>
      </c>
      <c r="G5">
        <v>3</v>
      </c>
      <c r="H5">
        <f>[1]技能设计!$AD$29</f>
        <v>-1686</v>
      </c>
    </row>
    <row r="6" spans="1:8" x14ac:dyDescent="0.15">
      <c r="A6" t="str">
        <f>[1]法宝人物匹配!$C$1</f>
        <v>F_Jiuhuanxizhang</v>
      </c>
      <c r="B6" t="str">
        <f>[1]技能设计!$F$30</f>
        <v>净化</v>
      </c>
      <c r="C6">
        <f>[1]技能设计!$G$30</f>
        <v>5</v>
      </c>
      <c r="D6">
        <f>[1]技能设计!$H$30</f>
        <v>0</v>
      </c>
      <c r="E6">
        <f>[1]技能设计!$I$30</f>
        <v>0</v>
      </c>
      <c r="F6">
        <v>3</v>
      </c>
      <c r="G6">
        <v>3</v>
      </c>
      <c r="H6">
        <f>[1]技能设计!$AD$30</f>
        <v>0</v>
      </c>
    </row>
    <row r="7" spans="1:8" x14ac:dyDescent="0.15">
      <c r="A7" t="str">
        <f>[1]法宝人物匹配!$C$1</f>
        <v>F_Jiuhuanxizhang</v>
      </c>
      <c r="B7" t="str">
        <f>[1]技能设计!$F$31</f>
        <v>超度</v>
      </c>
      <c r="C7">
        <f>[1]技能设计!$G$31</f>
        <v>6</v>
      </c>
      <c r="D7">
        <f>[1]技能设计!$H$31</f>
        <v>0</v>
      </c>
      <c r="E7">
        <f>[1]技能设计!$I$31</f>
        <v>0</v>
      </c>
      <c r="F7">
        <v>3</v>
      </c>
      <c r="G7">
        <v>3</v>
      </c>
      <c r="H7">
        <f>[1]技能设计!$AD$31</f>
        <v>0</v>
      </c>
    </row>
    <row r="8" spans="1:8" x14ac:dyDescent="0.15">
      <c r="A8" t="str">
        <f>[1]法宝人物匹配!$C$1</f>
        <v>F_Jiuhuanxizhang</v>
      </c>
      <c r="B8" t="str">
        <f>[1]技能设计!$F$32</f>
        <v>超度</v>
      </c>
      <c r="C8">
        <f>[1]技能设计!$G$32</f>
        <v>7</v>
      </c>
      <c r="D8">
        <f>[1]技能设计!$H$32</f>
        <v>0</v>
      </c>
      <c r="E8">
        <f>[1]技能设计!$I$32</f>
        <v>0</v>
      </c>
      <c r="F8">
        <v>3</v>
      </c>
      <c r="G8">
        <v>3</v>
      </c>
      <c r="H8">
        <f>[1]技能设计!$AD$32</f>
        <v>0</v>
      </c>
    </row>
    <row r="9" spans="1:8" x14ac:dyDescent="0.15">
      <c r="A9" t="str">
        <f>[1]法宝人物匹配!$C$1</f>
        <v>F_Jiuhuanxizhang</v>
      </c>
      <c r="B9" t="str">
        <f>[1]技能设计!$F$33</f>
        <v>超度</v>
      </c>
      <c r="C9">
        <f>[1]技能设计!$G$33</f>
        <v>8</v>
      </c>
      <c r="D9">
        <f>[1]技能设计!$H$33</f>
        <v>0</v>
      </c>
      <c r="E9">
        <f>[1]技能设计!$I$33</f>
        <v>0</v>
      </c>
      <c r="F9">
        <v>3</v>
      </c>
      <c r="G9">
        <v>3</v>
      </c>
      <c r="H9">
        <f>[1]技能设计!$AD$33</f>
        <v>0</v>
      </c>
    </row>
    <row r="10" spans="1:8" x14ac:dyDescent="0.15">
      <c r="A10" t="str">
        <f>[1]法宝人物匹配!$C$1</f>
        <v>F_Jiuhuanxizhang</v>
      </c>
      <c r="B10" t="str">
        <f>[1]技能设计!$F$34</f>
        <v>超度</v>
      </c>
      <c r="C10">
        <f>[1]技能设计!$G$34</f>
        <v>9</v>
      </c>
      <c r="D10">
        <f>[1]技能设计!$H$34</f>
        <v>0</v>
      </c>
      <c r="E10">
        <f>[1]技能设计!$I$34</f>
        <v>0</v>
      </c>
      <c r="F10">
        <v>3</v>
      </c>
      <c r="G10">
        <v>3</v>
      </c>
      <c r="H10">
        <f>[1]技能设计!$AD$34</f>
        <v>0</v>
      </c>
    </row>
    <row r="11" spans="1:8" x14ac:dyDescent="0.15">
      <c r="A11" t="str">
        <f>[1]法宝人物匹配!$C$1</f>
        <v>F_Jiuhuanxizhang</v>
      </c>
      <c r="B11" t="str">
        <f>[1]技能设计!$F$35</f>
        <v>超度</v>
      </c>
      <c r="C11">
        <f>[1]技能设计!$G$35</f>
        <v>10</v>
      </c>
      <c r="D11">
        <f>[1]技能设计!$H$35</f>
        <v>0</v>
      </c>
      <c r="E11">
        <f>[1]技能设计!$I$35</f>
        <v>0</v>
      </c>
      <c r="F11">
        <v>3</v>
      </c>
      <c r="G11">
        <v>3</v>
      </c>
      <c r="H11">
        <f>[1]技能设计!$AD$35</f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8" sqref="A8"/>
    </sheetView>
  </sheetViews>
  <sheetFormatPr defaultRowHeight="13.5" x14ac:dyDescent="0.15"/>
  <sheetData>
    <row r="1" spans="1:8" x14ac:dyDescent="0.15">
      <c r="A1" t="s">
        <v>34</v>
      </c>
      <c r="B1" t="s">
        <v>7</v>
      </c>
      <c r="C1" t="s">
        <v>0</v>
      </c>
      <c r="D1" t="s">
        <v>33</v>
      </c>
      <c r="E1" t="s">
        <v>41</v>
      </c>
      <c r="F1" t="s">
        <v>38</v>
      </c>
      <c r="G1" t="s">
        <v>37</v>
      </c>
      <c r="H1" t="str">
        <f>[1]技能设计!$AR$1</f>
        <v>Qungong</v>
      </c>
    </row>
    <row r="2" spans="1:8" x14ac:dyDescent="0.15">
      <c r="A2" t="str">
        <f>[1]法宝人物匹配!$C$1</f>
        <v>F_Jiuhuanxizhang</v>
      </c>
      <c r="B2" t="str">
        <f>[1]技能设计!$F$37</f>
        <v>五环法阵</v>
      </c>
      <c r="C2">
        <f>[1]技能设计!$G$37</f>
        <v>1</v>
      </c>
      <c r="D2">
        <f>[1]技能设计!$H$37</f>
        <v>4</v>
      </c>
      <c r="E2" t="str">
        <f>[1]技能设计!$I$37</f>
        <v>Gongji</v>
      </c>
      <c r="F2">
        <v>3</v>
      </c>
      <c r="G2">
        <v>3</v>
      </c>
      <c r="H2">
        <f>[1]技能设计!$AR$37</f>
        <v>385</v>
      </c>
    </row>
    <row r="3" spans="1:8" x14ac:dyDescent="0.15">
      <c r="A3" t="str">
        <f>[1]法宝人物匹配!$C$1</f>
        <v>F_Jiuhuanxizhang</v>
      </c>
      <c r="B3" t="str">
        <f>[1]技能设计!$F$38</f>
        <v>五环法阵</v>
      </c>
      <c r="C3">
        <f>[1]技能设计!$G$38</f>
        <v>2</v>
      </c>
      <c r="D3">
        <f>[1]技能设计!$H$38</f>
        <v>0</v>
      </c>
      <c r="E3">
        <f>[1]技能设计!$I$38</f>
        <v>0</v>
      </c>
      <c r="F3">
        <v>3</v>
      </c>
      <c r="G3">
        <v>3</v>
      </c>
      <c r="H3">
        <f>[1]技能设计!$AR$38</f>
        <v>0</v>
      </c>
    </row>
    <row r="4" spans="1:8" x14ac:dyDescent="0.15">
      <c r="A4" t="str">
        <f>[1]法宝人物匹配!$C$1</f>
        <v>F_Jiuhuanxizhang</v>
      </c>
      <c r="B4" t="str">
        <f>[1]技能设计!$F$39</f>
        <v>五环法阵</v>
      </c>
      <c r="C4">
        <f>[1]技能设计!$G$39</f>
        <v>3</v>
      </c>
      <c r="D4">
        <f>[1]技能设计!$H$39</f>
        <v>0</v>
      </c>
      <c r="E4">
        <f>[1]技能设计!$I$39</f>
        <v>0</v>
      </c>
      <c r="F4">
        <v>3</v>
      </c>
      <c r="G4">
        <v>3</v>
      </c>
      <c r="H4">
        <f>[1]技能设计!$AR$39</f>
        <v>0</v>
      </c>
    </row>
    <row r="5" spans="1:8" x14ac:dyDescent="0.15">
      <c r="A5" t="str">
        <f>[1]法宝人物匹配!$C$1</f>
        <v>F_Jiuhuanxizhang</v>
      </c>
      <c r="B5" t="str">
        <f>[1]技能设计!$F$40</f>
        <v>五环法阵</v>
      </c>
      <c r="C5">
        <f>[1]技能设计!$G$40</f>
        <v>4</v>
      </c>
      <c r="D5">
        <f>[1]技能设计!$H$40</f>
        <v>0</v>
      </c>
      <c r="E5">
        <f>[1]技能设计!$I$40</f>
        <v>0</v>
      </c>
      <c r="F5">
        <v>3</v>
      </c>
      <c r="G5">
        <v>3</v>
      </c>
      <c r="H5">
        <f>[1]技能设计!$AR$40</f>
        <v>0</v>
      </c>
    </row>
    <row r="6" spans="1:8" x14ac:dyDescent="0.15">
      <c r="A6" t="str">
        <f>[1]法宝人物匹配!$C$1</f>
        <v>F_Jiuhuanxizhang</v>
      </c>
      <c r="B6" t="str">
        <f>[1]技能设计!$F$41</f>
        <v>五环法阵</v>
      </c>
      <c r="C6">
        <f>[1]技能设计!$G$41</f>
        <v>5</v>
      </c>
      <c r="D6">
        <f>[1]技能设计!$H$41</f>
        <v>0</v>
      </c>
      <c r="E6">
        <f>[1]技能设计!$I$41</f>
        <v>0</v>
      </c>
      <c r="F6">
        <v>3</v>
      </c>
      <c r="G6">
        <v>3</v>
      </c>
      <c r="H6">
        <f>[1]技能设计!$AR$41</f>
        <v>0</v>
      </c>
    </row>
    <row r="7" spans="1:8" x14ac:dyDescent="0.15">
      <c r="A7" t="str">
        <f>[1]法宝人物匹配!$C$1</f>
        <v>F_Jiuhuanxizhang</v>
      </c>
      <c r="B7" t="str">
        <f>[1]技能设计!$F$42</f>
        <v>九环佛阵</v>
      </c>
      <c r="C7">
        <f>[1]技能设计!$G$42</f>
        <v>6</v>
      </c>
      <c r="D7">
        <f>[1]技能设计!$H$42</f>
        <v>0</v>
      </c>
      <c r="E7">
        <f>[1]技能设计!$I$42</f>
        <v>0</v>
      </c>
      <c r="F7">
        <v>3</v>
      </c>
      <c r="G7">
        <v>3</v>
      </c>
      <c r="H7">
        <f>[1]技能设计!$AR$42</f>
        <v>0</v>
      </c>
    </row>
    <row r="8" spans="1:8" x14ac:dyDescent="0.15">
      <c r="A8" t="str">
        <f>[1]法宝人物匹配!$C$1</f>
        <v>F_Jiuhuanxizhang</v>
      </c>
      <c r="B8" t="str">
        <f>[1]技能设计!$F$43</f>
        <v>九环佛阵</v>
      </c>
      <c r="C8">
        <f>[1]技能设计!$G$43</f>
        <v>7</v>
      </c>
      <c r="D8">
        <f>[1]技能设计!$H$43</f>
        <v>0</v>
      </c>
      <c r="E8">
        <f>[1]技能设计!$I$43</f>
        <v>0</v>
      </c>
      <c r="F8">
        <v>3</v>
      </c>
      <c r="G8">
        <v>3</v>
      </c>
      <c r="H8">
        <f>[1]技能设计!$AR$43</f>
        <v>0</v>
      </c>
    </row>
    <row r="9" spans="1:8" x14ac:dyDescent="0.15">
      <c r="A9" t="str">
        <f>[1]法宝人物匹配!$C$1</f>
        <v>F_Jiuhuanxizhang</v>
      </c>
      <c r="B9" t="str">
        <f>[1]技能设计!$F$44</f>
        <v>九环佛阵</v>
      </c>
      <c r="C9">
        <f>[1]技能设计!$G$44</f>
        <v>8</v>
      </c>
      <c r="D9">
        <f>[1]技能设计!$H$44</f>
        <v>0</v>
      </c>
      <c r="E9">
        <f>[1]技能设计!$I$44</f>
        <v>0</v>
      </c>
      <c r="F9">
        <v>3</v>
      </c>
      <c r="G9">
        <v>3</v>
      </c>
      <c r="H9">
        <f>[1]技能设计!$AR$44</f>
        <v>0</v>
      </c>
    </row>
    <row r="10" spans="1:8" x14ac:dyDescent="0.15">
      <c r="A10" t="str">
        <f>[1]法宝人物匹配!$C$1</f>
        <v>F_Jiuhuanxizhang</v>
      </c>
      <c r="B10" t="str">
        <f>[1]技能设计!$F$45</f>
        <v>九环佛阵</v>
      </c>
      <c r="C10">
        <f>[1]技能设计!$G$45</f>
        <v>9</v>
      </c>
      <c r="D10">
        <f>[1]技能设计!$H$45</f>
        <v>0</v>
      </c>
      <c r="E10">
        <f>[1]技能设计!$I$45</f>
        <v>0</v>
      </c>
      <c r="F10">
        <v>3</v>
      </c>
      <c r="G10">
        <v>3</v>
      </c>
      <c r="H10">
        <f>[1]技能设计!$AR$45</f>
        <v>0</v>
      </c>
    </row>
    <row r="11" spans="1:8" x14ac:dyDescent="0.15">
      <c r="A11" t="str">
        <f>[1]法宝人物匹配!$C$1</f>
        <v>F_Jiuhuanxizhang</v>
      </c>
      <c r="B11" t="str">
        <f>[1]技能设计!$F$46</f>
        <v>九环佛阵</v>
      </c>
      <c r="C11">
        <f>[1]技能设计!$G$46</f>
        <v>10</v>
      </c>
      <c r="D11">
        <f>[1]技能设计!$H$46</f>
        <v>0</v>
      </c>
      <c r="E11">
        <f>[1]技能设计!$I$46</f>
        <v>0</v>
      </c>
      <c r="F11">
        <v>3</v>
      </c>
      <c r="G11">
        <v>3</v>
      </c>
      <c r="H11">
        <f>[1]技能设计!$AR$46</f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I11"/>
  <sheetViews>
    <sheetView workbookViewId="0">
      <selection activeCell="A3" sqref="A3:A11"/>
    </sheetView>
  </sheetViews>
  <sheetFormatPr defaultRowHeight="13.5" x14ac:dyDescent="0.15"/>
  <sheetData>
    <row r="1" spans="1:9" x14ac:dyDescent="0.15">
      <c r="A1" t="s">
        <v>34</v>
      </c>
      <c r="B1" t="s">
        <v>7</v>
      </c>
      <c r="C1" t="s">
        <v>0</v>
      </c>
      <c r="D1" t="s">
        <v>33</v>
      </c>
      <c r="E1" t="s">
        <v>43</v>
      </c>
      <c r="F1" t="s">
        <v>38</v>
      </c>
      <c r="G1" t="s">
        <v>37</v>
      </c>
      <c r="H1" t="str">
        <f>[1]技能设计!$L$1</f>
        <v>Juqi</v>
      </c>
      <c r="I1" t="str">
        <f>[1]技能设计!$W$1</f>
        <v>FangyuBuff</v>
      </c>
    </row>
    <row r="2" spans="1:9" x14ac:dyDescent="0.15">
      <c r="A2" t="str">
        <f>[1]法宝人物匹配!$D$1</f>
        <v>F_Jinnanjiasha</v>
      </c>
      <c r="B2" t="str">
        <f>[1]技能设计!$F$48</f>
        <v>袈裟护体</v>
      </c>
      <c r="C2">
        <f>[1]技能设计!$G$48</f>
        <v>1</v>
      </c>
      <c r="D2">
        <f>[1]技能设计!$H$48</f>
        <v>1</v>
      </c>
      <c r="E2" t="str">
        <f>[1]技能设计!$I$48</f>
        <v>Juqi</v>
      </c>
      <c r="F2">
        <v>3</v>
      </c>
      <c r="G2">
        <v>3</v>
      </c>
      <c r="H2">
        <f>[1]技能设计!$L$48</f>
        <v>25</v>
      </c>
      <c r="I2">
        <f>[1]技能设计!$W$48</f>
        <v>3</v>
      </c>
    </row>
    <row r="3" spans="1:9" x14ac:dyDescent="0.15">
      <c r="A3" t="str">
        <f>[1]法宝人物匹配!$D$1</f>
        <v>F_Jinnanjiasha</v>
      </c>
      <c r="B3" t="str">
        <f>[1]技能设计!$F$49</f>
        <v>袈裟护体</v>
      </c>
      <c r="C3">
        <f>[1]技能设计!$G$49</f>
        <v>2</v>
      </c>
      <c r="D3">
        <f>[1]技能设计!$H$49</f>
        <v>2</v>
      </c>
      <c r="E3" t="str">
        <f>[1]技能设计!$I$49</f>
        <v>Juqi</v>
      </c>
      <c r="F3">
        <v>3</v>
      </c>
      <c r="G3">
        <v>3</v>
      </c>
      <c r="H3">
        <f>[1]技能设计!$L$49</f>
        <v>82</v>
      </c>
      <c r="I3">
        <f>[1]技能设计!$W$49</f>
        <v>20</v>
      </c>
    </row>
    <row r="4" spans="1:9" x14ac:dyDescent="0.15">
      <c r="A4" t="str">
        <f>[1]法宝人物匹配!$D$1</f>
        <v>F_Jinnanjiasha</v>
      </c>
      <c r="B4" t="str">
        <f>[1]技能设计!$F$50</f>
        <v>袈裟护体</v>
      </c>
      <c r="C4">
        <f>[1]技能设计!$G$50</f>
        <v>3</v>
      </c>
      <c r="D4">
        <f>[1]技能设计!$H$50</f>
        <v>0</v>
      </c>
      <c r="E4">
        <f>[1]技能设计!$I$50</f>
        <v>0</v>
      </c>
      <c r="F4">
        <v>3</v>
      </c>
      <c r="G4">
        <v>3</v>
      </c>
      <c r="H4">
        <f>[1]技能设计!$L$50</f>
        <v>0</v>
      </c>
      <c r="I4">
        <f>[1]技能设计!$W$50</f>
        <v>0</v>
      </c>
    </row>
    <row r="5" spans="1:9" x14ac:dyDescent="0.15">
      <c r="A5" t="str">
        <f>[1]法宝人物匹配!$D$1</f>
        <v>F_Jinnanjiasha</v>
      </c>
      <c r="B5" t="str">
        <f>[1]技能设计!$F$51</f>
        <v>袈裟护体</v>
      </c>
      <c r="C5">
        <f>[1]技能设计!$G$51</f>
        <v>4</v>
      </c>
      <c r="D5">
        <f>[1]技能设计!$H$51</f>
        <v>0</v>
      </c>
      <c r="E5">
        <f>[1]技能设计!$I$51</f>
        <v>0</v>
      </c>
      <c r="F5">
        <v>3</v>
      </c>
      <c r="G5">
        <v>3</v>
      </c>
      <c r="H5">
        <f>[1]技能设计!$L$51</f>
        <v>0</v>
      </c>
      <c r="I5">
        <f>[1]技能设计!$W$51</f>
        <v>0</v>
      </c>
    </row>
    <row r="6" spans="1:9" x14ac:dyDescent="0.15">
      <c r="A6" t="str">
        <f>[1]法宝人物匹配!$D$1</f>
        <v>F_Jinnanjiasha</v>
      </c>
      <c r="B6" t="str">
        <f>[1]技能设计!$F$52</f>
        <v>袈裟护体</v>
      </c>
      <c r="C6">
        <f>[1]技能设计!$G$52</f>
        <v>5</v>
      </c>
      <c r="D6">
        <f>[1]技能设计!$H$52</f>
        <v>0</v>
      </c>
      <c r="E6">
        <f>[1]技能设计!$I$52</f>
        <v>0</v>
      </c>
      <c r="F6">
        <v>3</v>
      </c>
      <c r="G6">
        <v>3</v>
      </c>
      <c r="H6">
        <f>[1]技能设计!$L$52</f>
        <v>0</v>
      </c>
      <c r="I6">
        <f>[1]技能设计!$W$52</f>
        <v>0</v>
      </c>
    </row>
    <row r="7" spans="1:9" x14ac:dyDescent="0.15">
      <c r="A7" t="str">
        <f>[1]法宝人物匹配!$D$1</f>
        <v>F_Jinnanjiasha</v>
      </c>
      <c r="B7" t="str">
        <f>[1]技能设计!$F$53</f>
        <v>观音护体</v>
      </c>
      <c r="C7">
        <f>[1]技能设计!$G$53</f>
        <v>6</v>
      </c>
      <c r="D7">
        <f>[1]技能设计!$H$53</f>
        <v>0</v>
      </c>
      <c r="E7">
        <f>[1]技能设计!$I$53</f>
        <v>0</v>
      </c>
      <c r="F7">
        <v>3</v>
      </c>
      <c r="G7">
        <v>3</v>
      </c>
      <c r="H7">
        <f>[1]技能设计!$L$53</f>
        <v>0</v>
      </c>
      <c r="I7">
        <f>[1]技能设计!$W$53</f>
        <v>0</v>
      </c>
    </row>
    <row r="8" spans="1:9" x14ac:dyDescent="0.15">
      <c r="A8" t="str">
        <f>[1]法宝人物匹配!$D$1</f>
        <v>F_Jinnanjiasha</v>
      </c>
      <c r="B8" t="str">
        <f>[1]技能设计!$F$54</f>
        <v>观音护体</v>
      </c>
      <c r="C8">
        <f>[1]技能设计!$G$54</f>
        <v>7</v>
      </c>
      <c r="D8">
        <f>[1]技能设计!$H$54</f>
        <v>0</v>
      </c>
      <c r="E8">
        <f>[1]技能设计!$I$54</f>
        <v>0</v>
      </c>
      <c r="F8">
        <v>3</v>
      </c>
      <c r="G8">
        <v>3</v>
      </c>
      <c r="H8">
        <f>[1]技能设计!$L$54</f>
        <v>0</v>
      </c>
      <c r="I8">
        <f>[1]技能设计!$W$54</f>
        <v>0</v>
      </c>
    </row>
    <row r="9" spans="1:9" x14ac:dyDescent="0.15">
      <c r="A9" t="str">
        <f>[1]法宝人物匹配!$D$1</f>
        <v>F_Jinnanjiasha</v>
      </c>
      <c r="B9" t="str">
        <f>[1]技能设计!$F$55</f>
        <v>观音护体</v>
      </c>
      <c r="C9">
        <f>[1]技能设计!$G$55</f>
        <v>8</v>
      </c>
      <c r="D9">
        <f>[1]技能设计!$H$55</f>
        <v>0</v>
      </c>
      <c r="E9">
        <f>[1]技能设计!$I$55</f>
        <v>0</v>
      </c>
      <c r="F9">
        <v>3</v>
      </c>
      <c r="G9">
        <v>3</v>
      </c>
      <c r="H9">
        <f>[1]技能设计!$L$55</f>
        <v>0</v>
      </c>
      <c r="I9">
        <f>[1]技能设计!$W$55</f>
        <v>0</v>
      </c>
    </row>
    <row r="10" spans="1:9" x14ac:dyDescent="0.15">
      <c r="A10" t="str">
        <f>[1]法宝人物匹配!$D$1</f>
        <v>F_Jinnanjiasha</v>
      </c>
      <c r="B10" t="str">
        <f>[1]技能设计!$F$56</f>
        <v>观音护体</v>
      </c>
      <c r="C10">
        <f>[1]技能设计!$G$56</f>
        <v>9</v>
      </c>
      <c r="D10">
        <f>[1]技能设计!$H$56</f>
        <v>0</v>
      </c>
      <c r="E10">
        <f>[1]技能设计!$I$56</f>
        <v>0</v>
      </c>
      <c r="F10">
        <v>3</v>
      </c>
      <c r="G10">
        <v>3</v>
      </c>
      <c r="H10">
        <f>[1]技能设计!$L$56</f>
        <v>0</v>
      </c>
      <c r="I10">
        <f>[1]技能设计!$W$56</f>
        <v>0</v>
      </c>
    </row>
    <row r="11" spans="1:9" x14ac:dyDescent="0.15">
      <c r="A11" t="str">
        <f>[1]法宝人物匹配!$D$1</f>
        <v>F_Jinnanjiasha</v>
      </c>
      <c r="B11" t="str">
        <f>[1]技能设计!$F$57</f>
        <v>观音护体</v>
      </c>
      <c r="C11">
        <f>[1]技能设计!$G$57</f>
        <v>10</v>
      </c>
      <c r="D11">
        <f>[1]技能设计!$H$57</f>
        <v>0</v>
      </c>
      <c r="E11">
        <f>[1]技能设计!$I$57</f>
        <v>0</v>
      </c>
      <c r="F11">
        <v>3</v>
      </c>
      <c r="G11">
        <v>3</v>
      </c>
      <c r="H11">
        <f>[1]技能设计!$L$57</f>
        <v>0</v>
      </c>
      <c r="I11">
        <f>[1]技能设计!$W$57</f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I11"/>
  <sheetViews>
    <sheetView workbookViewId="0">
      <selection activeCell="A3" sqref="A3:A11"/>
    </sheetView>
  </sheetViews>
  <sheetFormatPr defaultRowHeight="13.5" x14ac:dyDescent="0.15"/>
  <sheetData>
    <row r="1" spans="1:9" x14ac:dyDescent="0.15">
      <c r="A1" t="s">
        <v>34</v>
      </c>
      <c r="B1" t="s">
        <v>7</v>
      </c>
      <c r="C1" t="s">
        <v>0</v>
      </c>
      <c r="D1" t="s">
        <v>33</v>
      </c>
      <c r="E1" t="s">
        <v>43</v>
      </c>
      <c r="F1" t="s">
        <v>38</v>
      </c>
      <c r="G1" t="s">
        <v>37</v>
      </c>
      <c r="H1" t="str">
        <f>[1]技能设计!$N$1</f>
        <v>Fanshi</v>
      </c>
      <c r="I1" t="str">
        <f>[1]技能设计!$AF$1</f>
        <v>GongjiDebuff</v>
      </c>
    </row>
    <row r="2" spans="1:9" x14ac:dyDescent="0.15">
      <c r="A2" t="str">
        <f>[1]法宝人物匹配!$E$1</f>
        <v>F_Jinguzhou</v>
      </c>
      <c r="B2" t="str">
        <f>[1]技能设计!$F$59</f>
        <v>金箍</v>
      </c>
      <c r="C2">
        <f>[1]技能设计!$G$59</f>
        <v>1</v>
      </c>
      <c r="D2">
        <f>[1]技能设计!$H$59</f>
        <v>1</v>
      </c>
      <c r="E2" t="str">
        <f>[1]技能设计!$I$59</f>
        <v>Fanshi</v>
      </c>
      <c r="F2">
        <v>3</v>
      </c>
      <c r="G2">
        <v>3</v>
      </c>
      <c r="H2">
        <f>[1]技能设计!$N$59</f>
        <v>31</v>
      </c>
      <c r="I2">
        <f>[1]技能设计!$AF$59</f>
        <v>-2</v>
      </c>
    </row>
    <row r="3" spans="1:9" x14ac:dyDescent="0.15">
      <c r="A3" t="str">
        <f>[1]法宝人物匹配!$E$1</f>
        <v>F_Jinguzhou</v>
      </c>
      <c r="B3" t="str">
        <f>[1]技能设计!$F$60</f>
        <v>金箍</v>
      </c>
      <c r="C3">
        <f>[1]技能设计!$G$60</f>
        <v>2</v>
      </c>
      <c r="D3">
        <f>[1]技能设计!$H$60</f>
        <v>2</v>
      </c>
      <c r="E3" t="str">
        <f>[1]技能设计!$I$60</f>
        <v>Fanshi</v>
      </c>
      <c r="F3">
        <v>3</v>
      </c>
      <c r="G3">
        <v>3</v>
      </c>
      <c r="H3">
        <f>[1]技能设计!$N$60</f>
        <v>142</v>
      </c>
      <c r="I3">
        <f>[1]技能设计!$AF$60</f>
        <v>-10</v>
      </c>
    </row>
    <row r="4" spans="1:9" x14ac:dyDescent="0.15">
      <c r="A4" t="str">
        <f>[1]法宝人物匹配!$E$1</f>
        <v>F_Jinguzhou</v>
      </c>
      <c r="B4" t="str">
        <f>[1]技能设计!$F$61</f>
        <v>金箍</v>
      </c>
      <c r="C4">
        <f>[1]技能设计!$G$61</f>
        <v>3</v>
      </c>
      <c r="D4">
        <f>[1]技能设计!$H$61</f>
        <v>0</v>
      </c>
      <c r="E4">
        <f>[1]技能设计!$I$61</f>
        <v>0</v>
      </c>
      <c r="F4">
        <v>3</v>
      </c>
      <c r="G4">
        <v>3</v>
      </c>
      <c r="H4">
        <f>[1]技能设计!$N$61</f>
        <v>0</v>
      </c>
      <c r="I4">
        <f>[1]技能设计!$AF$61</f>
        <v>0</v>
      </c>
    </row>
    <row r="5" spans="1:9" x14ac:dyDescent="0.15">
      <c r="A5" t="str">
        <f>[1]法宝人物匹配!$E$1</f>
        <v>F_Jinguzhou</v>
      </c>
      <c r="B5" t="str">
        <f>[1]技能设计!$F$62</f>
        <v>金箍</v>
      </c>
      <c r="C5">
        <f>[1]技能设计!$G$62</f>
        <v>4</v>
      </c>
      <c r="D5">
        <f>[1]技能设计!$H$62</f>
        <v>0</v>
      </c>
      <c r="E5">
        <f>[1]技能设计!$I$62</f>
        <v>0</v>
      </c>
      <c r="F5">
        <v>3</v>
      </c>
      <c r="G5">
        <v>3</v>
      </c>
      <c r="H5">
        <f>[1]技能设计!$N$62</f>
        <v>0</v>
      </c>
      <c r="I5">
        <f>[1]技能设计!$AF$62</f>
        <v>0</v>
      </c>
    </row>
    <row r="6" spans="1:9" x14ac:dyDescent="0.15">
      <c r="A6" t="str">
        <f>[1]法宝人物匹配!$E$1</f>
        <v>F_Jinguzhou</v>
      </c>
      <c r="B6" t="str">
        <f>[1]技能设计!$F$63</f>
        <v>金箍</v>
      </c>
      <c r="C6">
        <f>[1]技能设计!$G$63</f>
        <v>5</v>
      </c>
      <c r="D6">
        <f>[1]技能设计!$H$63</f>
        <v>0</v>
      </c>
      <c r="E6">
        <f>[1]技能设计!$I$63</f>
        <v>0</v>
      </c>
      <c r="F6">
        <v>3</v>
      </c>
      <c r="G6">
        <v>3</v>
      </c>
      <c r="H6">
        <f>[1]技能设计!$N$63</f>
        <v>0</v>
      </c>
      <c r="I6">
        <f>[1]技能设计!$AF$63</f>
        <v>0</v>
      </c>
    </row>
    <row r="7" spans="1:9" x14ac:dyDescent="0.15">
      <c r="A7" t="str">
        <f>[1]法宝人物匹配!$E$1</f>
        <v>F_Jinguzhou</v>
      </c>
      <c r="B7" t="str">
        <f>[1]技能设计!$F$64</f>
        <v>紧箍</v>
      </c>
      <c r="C7">
        <f>[1]技能设计!$G$64</f>
        <v>6</v>
      </c>
      <c r="D7">
        <f>[1]技能设计!$H$64</f>
        <v>0</v>
      </c>
      <c r="E7">
        <f>[1]技能设计!$I$64</f>
        <v>0</v>
      </c>
      <c r="F7">
        <v>3</v>
      </c>
      <c r="G7">
        <v>3</v>
      </c>
      <c r="H7">
        <f>[1]技能设计!$N$64</f>
        <v>0</v>
      </c>
      <c r="I7">
        <f>[1]技能设计!$AF$64</f>
        <v>0</v>
      </c>
    </row>
    <row r="8" spans="1:9" x14ac:dyDescent="0.15">
      <c r="A8" t="str">
        <f>[1]法宝人物匹配!$E$1</f>
        <v>F_Jinguzhou</v>
      </c>
      <c r="B8" t="str">
        <f>[1]技能设计!$F$65</f>
        <v>紧箍</v>
      </c>
      <c r="C8">
        <f>[1]技能设计!$G$65</f>
        <v>7</v>
      </c>
      <c r="D8">
        <f>[1]技能设计!$H$65</f>
        <v>0</v>
      </c>
      <c r="E8">
        <f>[1]技能设计!$I$65</f>
        <v>0</v>
      </c>
      <c r="F8">
        <v>3</v>
      </c>
      <c r="G8">
        <v>3</v>
      </c>
      <c r="H8">
        <f>[1]技能设计!$N$65</f>
        <v>0</v>
      </c>
      <c r="I8">
        <f>[1]技能设计!$AF$65</f>
        <v>0</v>
      </c>
    </row>
    <row r="9" spans="1:9" x14ac:dyDescent="0.15">
      <c r="A9" t="str">
        <f>[1]法宝人物匹配!$E$1</f>
        <v>F_Jinguzhou</v>
      </c>
      <c r="B9" t="str">
        <f>[1]技能设计!$F$66</f>
        <v>紧箍</v>
      </c>
      <c r="C9">
        <f>[1]技能设计!$G$66</f>
        <v>8</v>
      </c>
      <c r="D9">
        <f>[1]技能设计!$H$66</f>
        <v>0</v>
      </c>
      <c r="E9">
        <f>[1]技能设计!$I$66</f>
        <v>0</v>
      </c>
      <c r="F9">
        <v>3</v>
      </c>
      <c r="G9">
        <v>3</v>
      </c>
      <c r="H9">
        <f>[1]技能设计!$N$66</f>
        <v>0</v>
      </c>
      <c r="I9">
        <f>[1]技能设计!$AF$66</f>
        <v>0</v>
      </c>
    </row>
    <row r="10" spans="1:9" x14ac:dyDescent="0.15">
      <c r="A10" t="str">
        <f>[1]法宝人物匹配!$E$1</f>
        <v>F_Jinguzhou</v>
      </c>
      <c r="B10" t="str">
        <f>[1]技能设计!$F$67</f>
        <v>禁箍</v>
      </c>
      <c r="C10">
        <f>[1]技能设计!$G$67</f>
        <v>9</v>
      </c>
      <c r="D10">
        <f>[1]技能设计!$H$67</f>
        <v>0</v>
      </c>
      <c r="E10">
        <f>[1]技能设计!$I$67</f>
        <v>0</v>
      </c>
      <c r="F10">
        <v>3</v>
      </c>
      <c r="G10">
        <v>3</v>
      </c>
      <c r="H10">
        <f>[1]技能设计!$N$67</f>
        <v>0</v>
      </c>
      <c r="I10">
        <f>[1]技能设计!$AF$67</f>
        <v>0</v>
      </c>
    </row>
    <row r="11" spans="1:9" x14ac:dyDescent="0.15">
      <c r="A11" t="str">
        <f>[1]法宝人物匹配!$E$1</f>
        <v>F_Jinguzhou</v>
      </c>
      <c r="B11" t="str">
        <f>[1]技能设计!$F$68</f>
        <v>禁箍</v>
      </c>
      <c r="C11">
        <f>[1]技能设计!$G$68</f>
        <v>10</v>
      </c>
      <c r="D11">
        <f>[1]技能设计!$H$68</f>
        <v>0</v>
      </c>
      <c r="E11">
        <f>[1]技能设计!$I$68</f>
        <v>0</v>
      </c>
      <c r="F11">
        <v>3</v>
      </c>
      <c r="G11">
        <v>3</v>
      </c>
      <c r="H11">
        <f>[1]技能设计!$N$68</f>
        <v>0</v>
      </c>
      <c r="I11">
        <f>[1]技能设计!$AF$68</f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C10" sqref="C10"/>
    </sheetView>
  </sheetViews>
  <sheetFormatPr defaultRowHeight="13.5" x14ac:dyDescent="0.15"/>
  <sheetData>
    <row r="1" spans="1:8" x14ac:dyDescent="0.15">
      <c r="A1" t="s">
        <v>34</v>
      </c>
      <c r="B1" t="s">
        <v>7</v>
      </c>
      <c r="C1" t="s">
        <v>0</v>
      </c>
      <c r="D1" t="s">
        <v>33</v>
      </c>
      <c r="E1" t="s">
        <v>41</v>
      </c>
      <c r="F1" t="s">
        <v>38</v>
      </c>
      <c r="G1" t="s">
        <v>37</v>
      </c>
      <c r="H1" t="str">
        <f>[1]技能设计!$J$1</f>
        <v>Gongji</v>
      </c>
    </row>
    <row r="2" spans="1:8" x14ac:dyDescent="0.15">
      <c r="A2" t="str">
        <f>[1]法宝人物匹配!$F$1</f>
        <v>F_Jingubang</v>
      </c>
      <c r="B2" t="str">
        <f>[1]技能设计!$F$70</f>
        <v>乱棒打</v>
      </c>
      <c r="C2">
        <f>[1]技能设计!$G$70</f>
        <v>1</v>
      </c>
      <c r="D2">
        <f>[1]技能设计!$H$70</f>
        <v>1</v>
      </c>
      <c r="E2" t="str">
        <f>[1]技能设计!$I$70</f>
        <v>Gongji</v>
      </c>
      <c r="F2">
        <v>3</v>
      </c>
      <c r="G2">
        <v>3</v>
      </c>
      <c r="H2">
        <f ca="1">[1]技能设计!$J$70</f>
        <v>43</v>
      </c>
    </row>
    <row r="3" spans="1:8" x14ac:dyDescent="0.15">
      <c r="A3" t="str">
        <f>[1]法宝人物匹配!$F$1</f>
        <v>F_Jingubang</v>
      </c>
      <c r="B3" t="str">
        <f>[1]技能设计!$F$71</f>
        <v>乱棒打</v>
      </c>
      <c r="C3">
        <f>[1]技能设计!$G$71</f>
        <v>2</v>
      </c>
      <c r="D3">
        <f>[1]技能设计!$H$71</f>
        <v>2</v>
      </c>
      <c r="E3" t="str">
        <f>[1]技能设计!$I$71</f>
        <v>Gongji</v>
      </c>
      <c r="F3">
        <v>3</v>
      </c>
      <c r="G3">
        <v>3</v>
      </c>
      <c r="H3">
        <f ca="1">[1]技能设计!$J$71</f>
        <v>202</v>
      </c>
    </row>
    <row r="4" spans="1:8" x14ac:dyDescent="0.15">
      <c r="A4" t="str">
        <f>[1]法宝人物匹配!$F$1</f>
        <v>F_Jingubang</v>
      </c>
      <c r="B4" t="str">
        <f>[1]技能设计!$F$72</f>
        <v>乱棒打</v>
      </c>
      <c r="C4">
        <f>[1]技能设计!$G$72</f>
        <v>3</v>
      </c>
      <c r="D4">
        <f>[1]技能设计!$H$72</f>
        <v>3</v>
      </c>
      <c r="E4" t="str">
        <f>[1]技能设计!$I$72</f>
        <v>Gongji</v>
      </c>
      <c r="F4">
        <v>3</v>
      </c>
      <c r="G4">
        <v>3</v>
      </c>
      <c r="H4">
        <f ca="1">[1]技能设计!$J$72</f>
        <v>533</v>
      </c>
    </row>
    <row r="5" spans="1:8" x14ac:dyDescent="0.15">
      <c r="A5" t="str">
        <f>[1]法宝人物匹配!$F$1</f>
        <v>F_Jingubang</v>
      </c>
      <c r="B5" t="str">
        <f>[1]技能设计!$F$73</f>
        <v>乱棒打</v>
      </c>
      <c r="C5">
        <f>[1]技能设计!$G$73</f>
        <v>4</v>
      </c>
      <c r="D5">
        <f>[1]技能设计!$H$73</f>
        <v>5</v>
      </c>
      <c r="E5" t="str">
        <f>[1]技能设计!$I$73</f>
        <v>Gongji</v>
      </c>
      <c r="F5">
        <v>3</v>
      </c>
      <c r="G5">
        <v>3</v>
      </c>
      <c r="H5">
        <f ca="1">[1]技能设计!$J$73</f>
        <v>5060</v>
      </c>
    </row>
    <row r="6" spans="1:8" x14ac:dyDescent="0.15">
      <c r="A6" t="str">
        <f>[1]法宝人物匹配!$F$1</f>
        <v>F_Jingubang</v>
      </c>
      <c r="B6" t="str">
        <f>[1]技能设计!$F$74</f>
        <v>乱棒打</v>
      </c>
      <c r="C6">
        <f>[1]技能设计!$G$74</f>
        <v>5</v>
      </c>
      <c r="D6">
        <f>[1]技能设计!$H$74</f>
        <v>0</v>
      </c>
      <c r="E6">
        <f>[1]技能设计!$I$74</f>
        <v>0</v>
      </c>
      <c r="F6">
        <v>3</v>
      </c>
      <c r="G6">
        <v>3</v>
      </c>
      <c r="H6">
        <f>[1]技能设计!$J$74</f>
        <v>0</v>
      </c>
    </row>
    <row r="7" spans="1:8" x14ac:dyDescent="0.15">
      <c r="A7" t="str">
        <f>[1]法宝人物匹配!$F$1</f>
        <v>F_Jingubang</v>
      </c>
      <c r="B7" t="str">
        <f>[1]技能设计!$F$75</f>
        <v>万棍打</v>
      </c>
      <c r="C7">
        <f>[1]技能设计!$G$75</f>
        <v>6</v>
      </c>
      <c r="D7">
        <f>[1]技能设计!$H$75</f>
        <v>0</v>
      </c>
      <c r="E7">
        <f>[1]技能设计!$I$75</f>
        <v>0</v>
      </c>
      <c r="F7">
        <v>3</v>
      </c>
      <c r="G7">
        <v>3</v>
      </c>
      <c r="H7">
        <f>[1]技能设计!$J$75</f>
        <v>0</v>
      </c>
    </row>
    <row r="8" spans="1:8" x14ac:dyDescent="0.15">
      <c r="A8" t="str">
        <f>[1]法宝人物匹配!$F$1</f>
        <v>F_Jingubang</v>
      </c>
      <c r="B8" t="str">
        <f>[1]技能设计!$F$76</f>
        <v>万棍打</v>
      </c>
      <c r="C8">
        <f>[1]技能设计!$G$76</f>
        <v>7</v>
      </c>
      <c r="D8">
        <f>[1]技能设计!$H$76</f>
        <v>0</v>
      </c>
      <c r="E8">
        <f>[1]技能设计!$I$76</f>
        <v>0</v>
      </c>
      <c r="F8">
        <v>3</v>
      </c>
      <c r="G8">
        <v>3</v>
      </c>
      <c r="H8">
        <f>[1]技能设计!$J$76</f>
        <v>0</v>
      </c>
    </row>
    <row r="9" spans="1:8" x14ac:dyDescent="0.15">
      <c r="A9" t="str">
        <f>[1]法宝人物匹配!$F$1</f>
        <v>F_Jingubang</v>
      </c>
      <c r="B9" t="str">
        <f>[1]技能设计!$F$77</f>
        <v>万棍打</v>
      </c>
      <c r="C9">
        <f>[1]技能设计!$G$77</f>
        <v>8</v>
      </c>
      <c r="D9">
        <f>[1]技能设计!$H$77</f>
        <v>0</v>
      </c>
      <c r="E9">
        <f>[1]技能设计!$I$77</f>
        <v>0</v>
      </c>
      <c r="F9">
        <v>3</v>
      </c>
      <c r="G9">
        <v>3</v>
      </c>
      <c r="H9">
        <f>[1]技能设计!$J$77</f>
        <v>0</v>
      </c>
    </row>
    <row r="10" spans="1:8" x14ac:dyDescent="0.15">
      <c r="A10" t="str">
        <f>[1]法宝人物匹配!$F$1</f>
        <v>F_Jingubang</v>
      </c>
      <c r="B10" t="str">
        <f>[1]技能设计!$F$78</f>
        <v>万棍打</v>
      </c>
      <c r="C10">
        <f>[1]技能设计!$G$78</f>
        <v>9</v>
      </c>
      <c r="D10">
        <f>[1]技能设计!$H$78</f>
        <v>0</v>
      </c>
      <c r="E10">
        <f>[1]技能设计!$I$78</f>
        <v>0</v>
      </c>
      <c r="F10">
        <v>3</v>
      </c>
      <c r="G10">
        <v>3</v>
      </c>
      <c r="H10">
        <f>[1]技能设计!$J$78</f>
        <v>0</v>
      </c>
    </row>
    <row r="11" spans="1:8" x14ac:dyDescent="0.15">
      <c r="A11" t="str">
        <f>[1]法宝人物匹配!$F$1</f>
        <v>F_Jingubang</v>
      </c>
      <c r="B11" t="str">
        <f>[1]技能设计!$F$79</f>
        <v>万棍打</v>
      </c>
      <c r="C11">
        <f>[1]技能设计!$G$79</f>
        <v>10</v>
      </c>
      <c r="D11">
        <f>[1]技能设计!$H$79</f>
        <v>0</v>
      </c>
      <c r="E11">
        <f>[1]技能设计!$I$79</f>
        <v>0</v>
      </c>
      <c r="F11">
        <v>3</v>
      </c>
      <c r="G11">
        <v>3</v>
      </c>
      <c r="H11">
        <f>[1]技能设计!$J$79</f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3" sqref="A3:A11"/>
    </sheetView>
  </sheetViews>
  <sheetFormatPr defaultRowHeight="13.5" x14ac:dyDescent="0.15"/>
  <sheetData>
    <row r="1" spans="1:8" x14ac:dyDescent="0.15">
      <c r="A1" t="s">
        <v>34</v>
      </c>
      <c r="B1" t="s">
        <v>7</v>
      </c>
      <c r="C1" t="s">
        <v>0</v>
      </c>
      <c r="D1" t="s">
        <v>33</v>
      </c>
      <c r="E1" t="s">
        <v>43</v>
      </c>
      <c r="F1" t="s">
        <v>38</v>
      </c>
      <c r="G1" t="s">
        <v>37</v>
      </c>
      <c r="H1" t="str">
        <f>[1]技能设计!$AR$1</f>
        <v>Qungong</v>
      </c>
    </row>
    <row r="2" spans="1:8" x14ac:dyDescent="0.15">
      <c r="A2" t="str">
        <f>[1]法宝人物匹配!$F$1</f>
        <v>F_Jingubang</v>
      </c>
      <c r="B2" t="str">
        <f>[1]技能设计!$F$81</f>
        <v>千斤鼎</v>
      </c>
      <c r="C2">
        <f>[1]技能设计!$G$81</f>
        <v>1</v>
      </c>
      <c r="D2">
        <f>[1]技能设计!$H$81</f>
        <v>4</v>
      </c>
      <c r="E2" t="str">
        <f>[1]技能设计!$I$81</f>
        <v>Gongji</v>
      </c>
      <c r="F2">
        <v>3</v>
      </c>
      <c r="G2">
        <v>3</v>
      </c>
      <c r="H2">
        <f>[1]技能设计!$AR$81</f>
        <v>385</v>
      </c>
    </row>
    <row r="3" spans="1:8" x14ac:dyDescent="0.15">
      <c r="A3" t="str">
        <f>[1]法宝人物匹配!$F$1</f>
        <v>F_Jingubang</v>
      </c>
      <c r="B3" t="str">
        <f>[1]技能设计!$F$82</f>
        <v>千斤鼎</v>
      </c>
      <c r="C3">
        <f>[1]技能设计!$G$82</f>
        <v>2</v>
      </c>
      <c r="D3">
        <f>[1]技能设计!$H$82</f>
        <v>0</v>
      </c>
      <c r="E3">
        <f>[1]技能设计!$I$82</f>
        <v>0</v>
      </c>
      <c r="F3">
        <v>3</v>
      </c>
      <c r="G3">
        <v>3</v>
      </c>
      <c r="H3">
        <f>[1]技能设计!$AR$82</f>
        <v>0</v>
      </c>
    </row>
    <row r="4" spans="1:8" x14ac:dyDescent="0.15">
      <c r="A4" t="str">
        <f>[1]法宝人物匹配!$F$1</f>
        <v>F_Jingubang</v>
      </c>
      <c r="B4" t="str">
        <f>[1]技能设计!$F$83</f>
        <v>千斤鼎</v>
      </c>
      <c r="C4">
        <f>[1]技能设计!$G$83</f>
        <v>3</v>
      </c>
      <c r="D4">
        <f>[1]技能设计!$H$83</f>
        <v>0</v>
      </c>
      <c r="E4">
        <f>[1]技能设计!$I$83</f>
        <v>0</v>
      </c>
      <c r="F4">
        <v>3</v>
      </c>
      <c r="G4">
        <v>3</v>
      </c>
      <c r="H4">
        <f>[1]技能设计!$AR$83</f>
        <v>0</v>
      </c>
    </row>
    <row r="5" spans="1:8" x14ac:dyDescent="0.15">
      <c r="A5" t="str">
        <f>[1]法宝人物匹配!$F$1</f>
        <v>F_Jingubang</v>
      </c>
      <c r="B5" t="str">
        <f>[1]技能设计!$F$84</f>
        <v>千斤鼎</v>
      </c>
      <c r="C5">
        <f>[1]技能设计!$G$84</f>
        <v>4</v>
      </c>
      <c r="D5">
        <f>[1]技能设计!$H$84</f>
        <v>0</v>
      </c>
      <c r="E5">
        <f>[1]技能设计!$I$84</f>
        <v>0</v>
      </c>
      <c r="F5">
        <v>3</v>
      </c>
      <c r="G5">
        <v>3</v>
      </c>
      <c r="H5">
        <f>[1]技能设计!$AR$84</f>
        <v>0</v>
      </c>
    </row>
    <row r="6" spans="1:8" x14ac:dyDescent="0.15">
      <c r="A6" t="str">
        <f>[1]法宝人物匹配!$F$1</f>
        <v>F_Jingubang</v>
      </c>
      <c r="B6" t="str">
        <f>[1]技能设计!$F$85</f>
        <v>千斤鼎</v>
      </c>
      <c r="C6">
        <f>[1]技能设计!$G$85</f>
        <v>5</v>
      </c>
      <c r="D6">
        <f>[1]技能设计!$H$85</f>
        <v>0</v>
      </c>
      <c r="E6">
        <f>[1]技能设计!$I$85</f>
        <v>0</v>
      </c>
      <c r="F6">
        <v>3</v>
      </c>
      <c r="G6">
        <v>3</v>
      </c>
      <c r="H6">
        <f>[1]技能设计!$AR$85</f>
        <v>0</v>
      </c>
    </row>
    <row r="7" spans="1:8" x14ac:dyDescent="0.15">
      <c r="A7" t="str">
        <f>[1]法宝人物匹配!$F$1</f>
        <v>F_Jingubang</v>
      </c>
      <c r="B7" t="str">
        <f>[1]技能设计!$F$86</f>
        <v>定海神针</v>
      </c>
      <c r="C7">
        <f>[1]技能设计!$G$86</f>
        <v>6</v>
      </c>
      <c r="D7">
        <f>[1]技能设计!$H$86</f>
        <v>0</v>
      </c>
      <c r="E7">
        <f>[1]技能设计!$I$86</f>
        <v>0</v>
      </c>
      <c r="F7">
        <v>3</v>
      </c>
      <c r="G7">
        <v>3</v>
      </c>
      <c r="H7">
        <f>[1]技能设计!$AR$86</f>
        <v>0</v>
      </c>
    </row>
    <row r="8" spans="1:8" x14ac:dyDescent="0.15">
      <c r="A8" t="str">
        <f>[1]法宝人物匹配!$F$1</f>
        <v>F_Jingubang</v>
      </c>
      <c r="B8" t="str">
        <f>[1]技能设计!$F$87</f>
        <v>定海神针</v>
      </c>
      <c r="C8">
        <f>[1]技能设计!$G$87</f>
        <v>7</v>
      </c>
      <c r="D8">
        <f>[1]技能设计!$H$87</f>
        <v>0</v>
      </c>
      <c r="E8">
        <f>[1]技能设计!$I$87</f>
        <v>0</v>
      </c>
      <c r="F8">
        <v>3</v>
      </c>
      <c r="G8">
        <v>3</v>
      </c>
      <c r="H8">
        <f>[1]技能设计!$AR$87</f>
        <v>0</v>
      </c>
    </row>
    <row r="9" spans="1:8" x14ac:dyDescent="0.15">
      <c r="A9" t="str">
        <f>[1]法宝人物匹配!$F$1</f>
        <v>F_Jingubang</v>
      </c>
      <c r="B9" t="str">
        <f>[1]技能设计!$F$88</f>
        <v>定海神针</v>
      </c>
      <c r="C9">
        <f>[1]技能设计!$G$88</f>
        <v>8</v>
      </c>
      <c r="D9">
        <f>[1]技能设计!$H$88</f>
        <v>0</v>
      </c>
      <c r="E9">
        <f>[1]技能设计!$I$88</f>
        <v>0</v>
      </c>
      <c r="F9">
        <v>3</v>
      </c>
      <c r="G9">
        <v>3</v>
      </c>
      <c r="H9">
        <f>[1]技能设计!$AR$88</f>
        <v>0</v>
      </c>
    </row>
    <row r="10" spans="1:8" x14ac:dyDescent="0.15">
      <c r="A10" t="str">
        <f>[1]法宝人物匹配!$F$1</f>
        <v>F_Jingubang</v>
      </c>
      <c r="B10" t="str">
        <f>[1]技能设计!$F$89</f>
        <v>定海神针</v>
      </c>
      <c r="C10">
        <f>[1]技能设计!$G$89</f>
        <v>9</v>
      </c>
      <c r="D10">
        <f>[1]技能设计!$H$89</f>
        <v>0</v>
      </c>
      <c r="E10">
        <f>[1]技能设计!$I$89</f>
        <v>0</v>
      </c>
      <c r="F10">
        <v>3</v>
      </c>
      <c r="G10">
        <v>3</v>
      </c>
      <c r="H10">
        <f>[1]技能设计!$AR$89</f>
        <v>0</v>
      </c>
    </row>
    <row r="11" spans="1:8" x14ac:dyDescent="0.15">
      <c r="A11" t="str">
        <f>[1]法宝人物匹配!$F$1</f>
        <v>F_Jingubang</v>
      </c>
      <c r="B11" t="str">
        <f>[1]技能设计!$F$90</f>
        <v>定海神针</v>
      </c>
      <c r="C11">
        <f>[1]技能设计!$G$90</f>
        <v>10</v>
      </c>
      <c r="D11">
        <f>[1]技能设计!$H$90</f>
        <v>0</v>
      </c>
      <c r="E11">
        <f>[1]技能设计!$I$90</f>
        <v>0</v>
      </c>
      <c r="F11">
        <v>3</v>
      </c>
      <c r="G11">
        <v>3</v>
      </c>
      <c r="H11">
        <f>[1]技能设计!$AR$90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3" sqref="A3:A11"/>
    </sheetView>
  </sheetViews>
  <sheetFormatPr defaultRowHeight="13.5" x14ac:dyDescent="0.15"/>
  <sheetData>
    <row r="1" spans="1:8" x14ac:dyDescent="0.15">
      <c r="A1" t="s">
        <v>34</v>
      </c>
      <c r="B1" t="s">
        <v>7</v>
      </c>
      <c r="C1" t="s">
        <v>0</v>
      </c>
      <c r="D1" t="s">
        <v>33</v>
      </c>
      <c r="E1" t="s">
        <v>42</v>
      </c>
      <c r="F1" t="s">
        <v>38</v>
      </c>
      <c r="G1" t="s">
        <v>37</v>
      </c>
      <c r="H1" t="str">
        <f>[1]技能设计!$J$1</f>
        <v>Gongji</v>
      </c>
    </row>
    <row r="2" spans="1:8" x14ac:dyDescent="0.15">
      <c r="A2" t="str">
        <f>[1]法宝人物匹配!$G$1</f>
        <v>F_Yulongyinqiang</v>
      </c>
      <c r="B2" t="str">
        <f>[1]技能设计!$F$92</f>
        <v>激突</v>
      </c>
      <c r="C2">
        <f>[1]技能设计!$G$92</f>
        <v>1</v>
      </c>
      <c r="D2">
        <f>[1]技能设计!$H$92</f>
        <v>1</v>
      </c>
      <c r="E2" t="str">
        <f>[1]技能设计!$I$92</f>
        <v>Gongji</v>
      </c>
      <c r="F2">
        <v>3</v>
      </c>
      <c r="G2">
        <v>3</v>
      </c>
      <c r="H2">
        <f ca="1">[1]技能设计!$J$92</f>
        <v>43</v>
      </c>
    </row>
    <row r="3" spans="1:8" x14ac:dyDescent="0.15">
      <c r="A3" t="str">
        <f>[1]法宝人物匹配!$G$1</f>
        <v>F_Yulongyinqiang</v>
      </c>
      <c r="B3" t="str">
        <f>[1]技能设计!$F$93</f>
        <v>激突</v>
      </c>
      <c r="C3">
        <f>[1]技能设计!$G$93</f>
        <v>2</v>
      </c>
      <c r="D3">
        <f>[1]技能设计!$H$93</f>
        <v>2</v>
      </c>
      <c r="E3" t="str">
        <f>[1]技能设计!$I$93</f>
        <v>Gongji</v>
      </c>
      <c r="F3">
        <v>3</v>
      </c>
      <c r="G3">
        <v>3</v>
      </c>
      <c r="H3">
        <f ca="1">[1]技能设计!$J$93</f>
        <v>202</v>
      </c>
    </row>
    <row r="4" spans="1:8" x14ac:dyDescent="0.15">
      <c r="A4" t="str">
        <f>[1]法宝人物匹配!$G$1</f>
        <v>F_Yulongyinqiang</v>
      </c>
      <c r="B4" t="str">
        <f>[1]技能设计!$F$94</f>
        <v>激突</v>
      </c>
      <c r="C4">
        <f>[1]技能设计!$G$94</f>
        <v>3</v>
      </c>
      <c r="D4">
        <f>[1]技能设计!$H$94</f>
        <v>0</v>
      </c>
      <c r="E4">
        <f>[1]技能设计!$I$94</f>
        <v>0</v>
      </c>
      <c r="F4">
        <v>3</v>
      </c>
      <c r="G4">
        <v>3</v>
      </c>
      <c r="H4">
        <f>[1]技能设计!$J$94</f>
        <v>0</v>
      </c>
    </row>
    <row r="5" spans="1:8" x14ac:dyDescent="0.15">
      <c r="A5" t="str">
        <f>[1]法宝人物匹配!$G$1</f>
        <v>F_Yulongyinqiang</v>
      </c>
      <c r="B5" t="str">
        <f>[1]技能设计!$F$95</f>
        <v>激突</v>
      </c>
      <c r="C5">
        <f>[1]技能设计!$G$95</f>
        <v>4</v>
      </c>
      <c r="D5">
        <f>[1]技能设计!$H$95</f>
        <v>0</v>
      </c>
      <c r="E5">
        <f>[1]技能设计!$I$95</f>
        <v>0</v>
      </c>
      <c r="F5">
        <v>3</v>
      </c>
      <c r="G5">
        <v>3</v>
      </c>
      <c r="H5">
        <f>[1]技能设计!$J$95</f>
        <v>0</v>
      </c>
    </row>
    <row r="6" spans="1:8" x14ac:dyDescent="0.15">
      <c r="A6" t="str">
        <f>[1]法宝人物匹配!$G$1</f>
        <v>F_Yulongyinqiang</v>
      </c>
      <c r="B6" t="str">
        <f>[1]技能设计!$F$96</f>
        <v>激突</v>
      </c>
      <c r="C6">
        <f>[1]技能设计!$G$96</f>
        <v>5</v>
      </c>
      <c r="D6">
        <f>[1]技能设计!$H$96</f>
        <v>0</v>
      </c>
      <c r="E6">
        <f>[1]技能设计!$I$96</f>
        <v>0</v>
      </c>
      <c r="F6">
        <v>3</v>
      </c>
      <c r="G6">
        <v>3</v>
      </c>
      <c r="H6">
        <f>[1]技能设计!$J$96</f>
        <v>0</v>
      </c>
    </row>
    <row r="7" spans="1:8" x14ac:dyDescent="0.15">
      <c r="A7" t="str">
        <f>[1]法宝人物匹配!$G$1</f>
        <v>F_Yulongyinqiang</v>
      </c>
      <c r="B7" t="str">
        <f>[1]技能设计!$F$97</f>
        <v>银枪乱舞</v>
      </c>
      <c r="C7">
        <f>[1]技能设计!$G$97</f>
        <v>6</v>
      </c>
      <c r="D7">
        <f>[1]技能设计!$H$97</f>
        <v>0</v>
      </c>
      <c r="E7">
        <f>[1]技能设计!$I$97</f>
        <v>0</v>
      </c>
      <c r="F7">
        <v>3</v>
      </c>
      <c r="G7">
        <v>3</v>
      </c>
      <c r="H7">
        <f>[1]技能设计!$J$97</f>
        <v>0</v>
      </c>
    </row>
    <row r="8" spans="1:8" x14ac:dyDescent="0.15">
      <c r="A8" t="str">
        <f>[1]法宝人物匹配!$G$1</f>
        <v>F_Yulongyinqiang</v>
      </c>
      <c r="B8" t="str">
        <f>[1]技能设计!$F$98</f>
        <v>银枪乱舞</v>
      </c>
      <c r="C8">
        <f>[1]技能设计!$G$98</f>
        <v>7</v>
      </c>
      <c r="D8">
        <f>[1]技能设计!$H$98</f>
        <v>0</v>
      </c>
      <c r="E8">
        <f>[1]技能设计!$I$98</f>
        <v>0</v>
      </c>
      <c r="F8">
        <v>3</v>
      </c>
      <c r="G8">
        <v>3</v>
      </c>
      <c r="H8">
        <f>[1]技能设计!$J$98</f>
        <v>0</v>
      </c>
    </row>
    <row r="9" spans="1:8" x14ac:dyDescent="0.15">
      <c r="A9" t="str">
        <f>[1]法宝人物匹配!$G$1</f>
        <v>F_Yulongyinqiang</v>
      </c>
      <c r="B9" t="str">
        <f>[1]技能设计!$F$99</f>
        <v>银枪乱舞</v>
      </c>
      <c r="C9">
        <f>[1]技能设计!$G$99</f>
        <v>8</v>
      </c>
      <c r="D9">
        <f>[1]技能设计!$H$99</f>
        <v>0</v>
      </c>
      <c r="E9">
        <f>[1]技能设计!$I$99</f>
        <v>0</v>
      </c>
      <c r="F9">
        <v>3</v>
      </c>
      <c r="G9">
        <v>3</v>
      </c>
      <c r="H9">
        <f>[1]技能设计!$J$99</f>
        <v>0</v>
      </c>
    </row>
    <row r="10" spans="1:8" x14ac:dyDescent="0.15">
      <c r="A10" t="str">
        <f>[1]法宝人物匹配!$G$1</f>
        <v>F_Yulongyinqiang</v>
      </c>
      <c r="B10" t="str">
        <f>[1]技能设计!$F$100</f>
        <v>银枪乱舞</v>
      </c>
      <c r="C10">
        <f>[1]技能设计!$G$100</f>
        <v>9</v>
      </c>
      <c r="D10">
        <f>[1]技能设计!$H$100</f>
        <v>0</v>
      </c>
      <c r="E10">
        <f>[1]技能设计!$I$100</f>
        <v>0</v>
      </c>
      <c r="F10">
        <v>3</v>
      </c>
      <c r="G10">
        <v>3</v>
      </c>
      <c r="H10">
        <f>[1]技能设计!$J$100</f>
        <v>0</v>
      </c>
    </row>
    <row r="11" spans="1:8" x14ac:dyDescent="0.15">
      <c r="A11" t="str">
        <f>[1]法宝人物匹配!$G$1</f>
        <v>F_Yulongyinqiang</v>
      </c>
      <c r="B11" t="str">
        <f>[1]技能设计!$F$101</f>
        <v>银枪乱舞</v>
      </c>
      <c r="C11">
        <f>[1]技能设计!$G$101</f>
        <v>10</v>
      </c>
      <c r="D11">
        <f>[1]技能设计!$H$101</f>
        <v>0</v>
      </c>
      <c r="E11">
        <f>[1]技能设计!$I$101</f>
        <v>0</v>
      </c>
      <c r="F11">
        <v>3</v>
      </c>
      <c r="G11">
        <v>3</v>
      </c>
      <c r="H11">
        <f>[1]技能设计!$J$101</f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I11"/>
  <sheetViews>
    <sheetView workbookViewId="0">
      <selection activeCell="A3" sqref="A3:A11"/>
    </sheetView>
  </sheetViews>
  <sheetFormatPr defaultRowHeight="13.5" x14ac:dyDescent="0.15"/>
  <sheetData>
    <row r="1" spans="1:9" x14ac:dyDescent="0.15">
      <c r="A1" t="s">
        <v>34</v>
      </c>
      <c r="B1" t="s">
        <v>7</v>
      </c>
      <c r="C1" t="s">
        <v>0</v>
      </c>
      <c r="D1" t="s">
        <v>33</v>
      </c>
      <c r="E1" t="s">
        <v>41</v>
      </c>
      <c r="F1" t="s">
        <v>38</v>
      </c>
      <c r="G1" t="s">
        <v>37</v>
      </c>
      <c r="H1" t="str">
        <f>[1]技能设计!$W$1</f>
        <v>FangyuBuff</v>
      </c>
      <c r="I1" t="str">
        <f>[1]技能设计!$Y$1</f>
        <v>JuqiBuff</v>
      </c>
    </row>
    <row r="2" spans="1:9" x14ac:dyDescent="0.15">
      <c r="A2" t="str">
        <f>[1]法宝人物匹配!$H$1</f>
        <v>F_Longling</v>
      </c>
      <c r="B2" t="str">
        <f>[1]技能设计!$F$103</f>
        <v>龙鳞</v>
      </c>
      <c r="C2">
        <f>[1]技能设计!$G$103</f>
        <v>1</v>
      </c>
      <c r="D2">
        <f>[1]技能设计!$H$103</f>
        <v>1</v>
      </c>
      <c r="E2" t="str">
        <f>[1]技能设计!$I$103</f>
        <v>Juqi</v>
      </c>
      <c r="F2">
        <v>3</v>
      </c>
      <c r="G2">
        <v>3</v>
      </c>
      <c r="H2">
        <f>[1]技能设计!$W$103</f>
        <v>2</v>
      </c>
      <c r="I2">
        <f>[1]技能设计!$Y$103</f>
        <v>5</v>
      </c>
    </row>
    <row r="3" spans="1:9" x14ac:dyDescent="0.15">
      <c r="A3" t="str">
        <f>[1]法宝人物匹配!$H$1</f>
        <v>F_Longling</v>
      </c>
      <c r="B3" t="str">
        <f>[1]技能设计!$F$104</f>
        <v>龙鳞</v>
      </c>
      <c r="C3">
        <f>[1]技能设计!$G$104</f>
        <v>2</v>
      </c>
      <c r="D3">
        <f>[1]技能设计!$H$104</f>
        <v>2</v>
      </c>
      <c r="E3" t="str">
        <f>[1]技能设计!$I$104</f>
        <v>Juqi</v>
      </c>
      <c r="F3">
        <v>3</v>
      </c>
      <c r="G3">
        <v>3</v>
      </c>
      <c r="H3">
        <f>[1]技能设计!$W$104</f>
        <v>10</v>
      </c>
      <c r="I3">
        <f>[1]技能设计!$Y$104</f>
        <v>24</v>
      </c>
    </row>
    <row r="4" spans="1:9" x14ac:dyDescent="0.15">
      <c r="A4" t="str">
        <f>[1]法宝人物匹配!$H$1</f>
        <v>F_Longling</v>
      </c>
      <c r="B4" t="str">
        <f>[1]技能设计!$F$105</f>
        <v>龙鳞</v>
      </c>
      <c r="C4">
        <f>[1]技能设计!$G$105</f>
        <v>3</v>
      </c>
      <c r="D4">
        <f>[1]技能设计!$H$105</f>
        <v>4</v>
      </c>
      <c r="E4" t="str">
        <f>[1]技能设计!$I$105</f>
        <v>Juqi</v>
      </c>
      <c r="F4">
        <v>3</v>
      </c>
      <c r="G4">
        <v>3</v>
      </c>
      <c r="H4">
        <f>[1]技能设计!$W$105</f>
        <v>50</v>
      </c>
      <c r="I4">
        <f>[1]技能设计!$Y$105</f>
        <v>207</v>
      </c>
    </row>
    <row r="5" spans="1:9" x14ac:dyDescent="0.15">
      <c r="A5" t="str">
        <f>[1]法宝人物匹配!$H$1</f>
        <v>F_Longling</v>
      </c>
      <c r="B5" t="str">
        <f>[1]技能设计!$F$106</f>
        <v>龙鳞</v>
      </c>
      <c r="C5">
        <f>[1]技能设计!$G$106</f>
        <v>4</v>
      </c>
      <c r="D5">
        <f>[1]技能设计!$H$106</f>
        <v>0</v>
      </c>
      <c r="E5">
        <f>[1]技能设计!$I$106</f>
        <v>0</v>
      </c>
      <c r="F5">
        <v>3</v>
      </c>
      <c r="G5">
        <v>3</v>
      </c>
      <c r="H5">
        <f>[1]技能设计!$W$106</f>
        <v>0</v>
      </c>
      <c r="I5">
        <f>[1]技能设计!$Y$106</f>
        <v>0</v>
      </c>
    </row>
    <row r="6" spans="1:9" x14ac:dyDescent="0.15">
      <c r="A6" t="str">
        <f>[1]法宝人物匹配!$H$1</f>
        <v>F_Longling</v>
      </c>
      <c r="B6" t="str">
        <f>[1]技能设计!$F$107</f>
        <v>龙鳞</v>
      </c>
      <c r="C6">
        <f>[1]技能设计!$G$107</f>
        <v>5</v>
      </c>
      <c r="D6">
        <f>[1]技能设计!$H$107</f>
        <v>0</v>
      </c>
      <c r="E6">
        <f>[1]技能设计!$I$107</f>
        <v>0</v>
      </c>
      <c r="F6">
        <v>3</v>
      </c>
      <c r="G6">
        <v>3</v>
      </c>
      <c r="H6">
        <f>[1]技能设计!$W$107</f>
        <v>0</v>
      </c>
      <c r="I6">
        <f>[1]技能设计!$Y$107</f>
        <v>0</v>
      </c>
    </row>
    <row r="7" spans="1:9" x14ac:dyDescent="0.15">
      <c r="A7" t="str">
        <f>[1]法宝人物匹配!$H$1</f>
        <v>F_Longling</v>
      </c>
      <c r="B7" t="str">
        <f>[1]技能设计!$F$108</f>
        <v>白龙护体</v>
      </c>
      <c r="C7">
        <f>[1]技能设计!$G$108</f>
        <v>6</v>
      </c>
      <c r="D7">
        <f>[1]技能设计!$H$108</f>
        <v>0</v>
      </c>
      <c r="E7">
        <f>[1]技能设计!$I$108</f>
        <v>0</v>
      </c>
      <c r="F7">
        <v>3</v>
      </c>
      <c r="G7">
        <v>3</v>
      </c>
      <c r="H7">
        <f>[1]技能设计!$W$108</f>
        <v>0</v>
      </c>
      <c r="I7">
        <f>[1]技能设计!$Y$108</f>
        <v>0</v>
      </c>
    </row>
    <row r="8" spans="1:9" x14ac:dyDescent="0.15">
      <c r="A8" t="str">
        <f>[1]法宝人物匹配!$H$1</f>
        <v>F_Longling</v>
      </c>
      <c r="B8" t="str">
        <f>[1]技能设计!$F$109</f>
        <v>白龙护体</v>
      </c>
      <c r="C8">
        <f>[1]技能设计!$G$109</f>
        <v>7</v>
      </c>
      <c r="D8">
        <f>[1]技能设计!$H$109</f>
        <v>0</v>
      </c>
      <c r="E8">
        <f>[1]技能设计!$I$109</f>
        <v>0</v>
      </c>
      <c r="F8">
        <v>3</v>
      </c>
      <c r="G8">
        <v>3</v>
      </c>
      <c r="H8">
        <f>[1]技能设计!$W$109</f>
        <v>0</v>
      </c>
      <c r="I8">
        <f>[1]技能设计!$Y$109</f>
        <v>0</v>
      </c>
    </row>
    <row r="9" spans="1:9" x14ac:dyDescent="0.15">
      <c r="A9" t="str">
        <f>[1]法宝人物匹配!$H$1</f>
        <v>F_Longling</v>
      </c>
      <c r="B9" t="str">
        <f>[1]技能设计!$F$110</f>
        <v>白龙护体</v>
      </c>
      <c r="C9">
        <f>[1]技能设计!$G$110</f>
        <v>8</v>
      </c>
      <c r="D9">
        <f>[1]技能设计!$H$110</f>
        <v>0</v>
      </c>
      <c r="E9">
        <f>[1]技能设计!$I$110</f>
        <v>0</v>
      </c>
      <c r="F9">
        <v>3</v>
      </c>
      <c r="G9">
        <v>3</v>
      </c>
      <c r="H9">
        <f>[1]技能设计!$W$110</f>
        <v>0</v>
      </c>
      <c r="I9">
        <f>[1]技能设计!$Y$110</f>
        <v>0</v>
      </c>
    </row>
    <row r="10" spans="1:9" x14ac:dyDescent="0.15">
      <c r="A10" t="str">
        <f>[1]法宝人物匹配!$H$1</f>
        <v>F_Longling</v>
      </c>
      <c r="B10" t="str">
        <f>[1]技能设计!$F$111</f>
        <v>白龙护体</v>
      </c>
      <c r="C10">
        <f>[1]技能设计!$G$111</f>
        <v>9</v>
      </c>
      <c r="D10">
        <f>[1]技能设计!$H$111</f>
        <v>0</v>
      </c>
      <c r="E10">
        <f>[1]技能设计!$I$111</f>
        <v>0</v>
      </c>
      <c r="F10">
        <v>3</v>
      </c>
      <c r="G10">
        <v>3</v>
      </c>
      <c r="H10">
        <f>[1]技能设计!$W$111</f>
        <v>0</v>
      </c>
      <c r="I10">
        <f>[1]技能设计!$Y$111</f>
        <v>0</v>
      </c>
    </row>
    <row r="11" spans="1:9" x14ac:dyDescent="0.15">
      <c r="A11" t="str">
        <f>[1]法宝人物匹配!$H$1</f>
        <v>F_Longling</v>
      </c>
      <c r="B11" t="str">
        <f>[1]技能设计!$F$112</f>
        <v>白龙护体</v>
      </c>
      <c r="C11">
        <f>[1]技能设计!$G$112</f>
        <v>10</v>
      </c>
      <c r="D11">
        <f>[1]技能设计!$H$112</f>
        <v>0</v>
      </c>
      <c r="E11">
        <f>[1]技能设计!$I$112</f>
        <v>0</v>
      </c>
      <c r="F11">
        <v>3</v>
      </c>
      <c r="G11">
        <v>3</v>
      </c>
      <c r="H11">
        <f>[1]技能设计!$W$112</f>
        <v>0</v>
      </c>
      <c r="I11">
        <f>[1]技能设计!$Y$112</f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2" sqref="A2:A11"/>
    </sheetView>
  </sheetViews>
  <sheetFormatPr defaultRowHeight="13.5" x14ac:dyDescent="0.15"/>
  <sheetData>
    <row r="1" spans="1:8" x14ac:dyDescent="0.15">
      <c r="A1" t="s">
        <v>34</v>
      </c>
      <c r="B1" t="s">
        <v>7</v>
      </c>
      <c r="C1" t="s">
        <v>0</v>
      </c>
      <c r="D1" t="s">
        <v>33</v>
      </c>
      <c r="E1" t="s">
        <v>40</v>
      </c>
      <c r="F1" t="s">
        <v>38</v>
      </c>
      <c r="G1" t="s">
        <v>37</v>
      </c>
      <c r="H1" t="str">
        <f>[1]技能设计!$AR$1</f>
        <v>Qungong</v>
      </c>
    </row>
    <row r="2" spans="1:8" x14ac:dyDescent="0.15">
      <c r="A2" t="str">
        <f>[1]法宝人物匹配!$H$1</f>
        <v>F_Longling</v>
      </c>
      <c r="B2" t="str">
        <f>[1]技能设计!$F$114</f>
        <v>巨龙甩尾</v>
      </c>
      <c r="C2">
        <f>[1]技能设计!$G$114</f>
        <v>1</v>
      </c>
      <c r="D2">
        <f>[1]技能设计!$H$114</f>
        <v>3</v>
      </c>
      <c r="E2" t="str">
        <f>[1]技能设计!$I$114</f>
        <v>Gongji</v>
      </c>
      <c r="F2">
        <v>3</v>
      </c>
      <c r="G2">
        <v>3</v>
      </c>
      <c r="H2">
        <f>[1]技能设计!$AR$114</f>
        <v>133</v>
      </c>
    </row>
    <row r="3" spans="1:8" x14ac:dyDescent="0.15">
      <c r="A3" t="str">
        <f>[1]法宝人物匹配!$H$1</f>
        <v>F_Longling</v>
      </c>
      <c r="B3" t="str">
        <f>[1]技能设计!$F$115</f>
        <v>巨龙甩尾</v>
      </c>
      <c r="C3">
        <f>[1]技能设计!$G$115</f>
        <v>2</v>
      </c>
      <c r="D3">
        <f>[1]技能设计!$H$115</f>
        <v>5</v>
      </c>
      <c r="E3" t="str">
        <f>[1]技能设计!$I$115</f>
        <v>Gongji</v>
      </c>
      <c r="F3">
        <v>3</v>
      </c>
      <c r="G3">
        <v>3</v>
      </c>
      <c r="H3">
        <f>[1]技能设计!$AR$115</f>
        <v>1265</v>
      </c>
    </row>
    <row r="4" spans="1:8" x14ac:dyDescent="0.15">
      <c r="A4" t="str">
        <f>[1]法宝人物匹配!$H$1</f>
        <v>F_Longling</v>
      </c>
      <c r="B4" t="str">
        <f>[1]技能设计!$F$116</f>
        <v>巨龙甩尾</v>
      </c>
      <c r="C4">
        <f>[1]技能设计!$G$116</f>
        <v>3</v>
      </c>
      <c r="D4">
        <f>[1]技能设计!$H$116</f>
        <v>0</v>
      </c>
      <c r="E4">
        <f>[1]技能设计!$I$116</f>
        <v>0</v>
      </c>
      <c r="F4">
        <v>3</v>
      </c>
      <c r="G4">
        <v>3</v>
      </c>
      <c r="H4">
        <f>[1]技能设计!$AR$116</f>
        <v>0</v>
      </c>
    </row>
    <row r="5" spans="1:8" x14ac:dyDescent="0.15">
      <c r="A5" t="str">
        <f>[1]法宝人物匹配!$H$1</f>
        <v>F_Longling</v>
      </c>
      <c r="B5" t="str">
        <f>[1]技能设计!$F$117</f>
        <v>巨龙甩尾</v>
      </c>
      <c r="C5">
        <f>[1]技能设计!$G$117</f>
        <v>4</v>
      </c>
      <c r="D5">
        <f>[1]技能设计!$H$117</f>
        <v>0</v>
      </c>
      <c r="E5">
        <f>[1]技能设计!$I$117</f>
        <v>0</v>
      </c>
      <c r="F5">
        <v>3</v>
      </c>
      <c r="G5">
        <v>3</v>
      </c>
      <c r="H5">
        <f>[1]技能设计!$AR$117</f>
        <v>0</v>
      </c>
    </row>
    <row r="6" spans="1:8" x14ac:dyDescent="0.15">
      <c r="A6" t="str">
        <f>[1]法宝人物匹配!$H$1</f>
        <v>F_Longling</v>
      </c>
      <c r="B6" t="str">
        <f>[1]技能设计!$F$118</f>
        <v>巨龙甩尾</v>
      </c>
      <c r="C6">
        <f>[1]技能设计!$G$118</f>
        <v>5</v>
      </c>
      <c r="D6">
        <f>[1]技能设计!$H$118</f>
        <v>0</v>
      </c>
      <c r="E6">
        <f>[1]技能设计!$I$118</f>
        <v>0</v>
      </c>
      <c r="F6">
        <v>3</v>
      </c>
      <c r="G6">
        <v>3</v>
      </c>
      <c r="H6">
        <f>[1]技能设计!$AR$118</f>
        <v>0</v>
      </c>
    </row>
    <row r="7" spans="1:8" x14ac:dyDescent="0.15">
      <c r="A7" t="str">
        <f>[1]法宝人物匹配!$H$1</f>
        <v>F_Longling</v>
      </c>
      <c r="B7" t="str">
        <f>[1]技能设计!$F$119</f>
        <v>翻云覆雨</v>
      </c>
      <c r="C7">
        <f>[1]技能设计!$G$119</f>
        <v>6</v>
      </c>
      <c r="D7">
        <f>[1]技能设计!$H$119</f>
        <v>0</v>
      </c>
      <c r="E7">
        <f>[1]技能设计!$I$119</f>
        <v>0</v>
      </c>
      <c r="F7">
        <v>3</v>
      </c>
      <c r="G7">
        <v>3</v>
      </c>
      <c r="H7">
        <f>[1]技能设计!$AR$119</f>
        <v>0</v>
      </c>
    </row>
    <row r="8" spans="1:8" x14ac:dyDescent="0.15">
      <c r="A8" t="str">
        <f>[1]法宝人物匹配!$H$1</f>
        <v>F_Longling</v>
      </c>
      <c r="B8" t="str">
        <f>[1]技能设计!$F$120</f>
        <v>翻云覆雨</v>
      </c>
      <c r="C8">
        <f>[1]技能设计!$G$120</f>
        <v>7</v>
      </c>
      <c r="D8">
        <f>[1]技能设计!$H$120</f>
        <v>0</v>
      </c>
      <c r="E8">
        <f>[1]技能设计!$I$120</f>
        <v>0</v>
      </c>
      <c r="F8">
        <v>3</v>
      </c>
      <c r="G8">
        <v>3</v>
      </c>
      <c r="H8">
        <f>[1]技能设计!$AR$120</f>
        <v>0</v>
      </c>
    </row>
    <row r="9" spans="1:8" x14ac:dyDescent="0.15">
      <c r="A9" t="str">
        <f>[1]法宝人物匹配!$H$1</f>
        <v>F_Longling</v>
      </c>
      <c r="B9" t="str">
        <f>[1]技能设计!$F$121</f>
        <v>翻云覆雨</v>
      </c>
      <c r="C9">
        <f>[1]技能设计!$G$121</f>
        <v>8</v>
      </c>
      <c r="D9">
        <f>[1]技能设计!$H$121</f>
        <v>0</v>
      </c>
      <c r="E9">
        <f>[1]技能设计!$I$121</f>
        <v>0</v>
      </c>
      <c r="F9">
        <v>3</v>
      </c>
      <c r="G9">
        <v>3</v>
      </c>
      <c r="H9">
        <f>[1]技能设计!$AR$121</f>
        <v>0</v>
      </c>
    </row>
    <row r="10" spans="1:8" x14ac:dyDescent="0.15">
      <c r="A10" t="str">
        <f>[1]法宝人物匹配!$H$1</f>
        <v>F_Longling</v>
      </c>
      <c r="B10" t="str">
        <f>[1]技能设计!$F$122</f>
        <v>翻云覆雨</v>
      </c>
      <c r="C10">
        <f>[1]技能设计!$G$122</f>
        <v>9</v>
      </c>
      <c r="D10">
        <f>[1]技能设计!$H$122</f>
        <v>0</v>
      </c>
      <c r="E10">
        <f>[1]技能设计!$I$122</f>
        <v>0</v>
      </c>
      <c r="F10">
        <v>3</v>
      </c>
      <c r="G10">
        <v>3</v>
      </c>
      <c r="H10">
        <f>[1]技能设计!$AR$122</f>
        <v>0</v>
      </c>
    </row>
    <row r="11" spans="1:8" x14ac:dyDescent="0.15">
      <c r="A11" t="str">
        <f>[1]法宝人物匹配!$H$1</f>
        <v>F_Longling</v>
      </c>
      <c r="B11" t="str">
        <f>[1]技能设计!$F$123</f>
        <v>翻云覆雨</v>
      </c>
      <c r="C11">
        <f>[1]技能设计!$G$123</f>
        <v>10</v>
      </c>
      <c r="D11">
        <f>[1]技能设计!$H$123</f>
        <v>0</v>
      </c>
      <c r="E11">
        <f>[1]技能设计!$I$123</f>
        <v>0</v>
      </c>
      <c r="F11">
        <v>3</v>
      </c>
      <c r="G11">
        <v>3</v>
      </c>
      <c r="H11">
        <f>[1]技能设计!$AR$123</f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A2" sqref="A2:A11"/>
    </sheetView>
  </sheetViews>
  <sheetFormatPr defaultRowHeight="13.5" x14ac:dyDescent="0.15"/>
  <sheetData>
    <row r="1" spans="1:8" x14ac:dyDescent="0.15">
      <c r="A1" t="s">
        <v>34</v>
      </c>
      <c r="B1" t="s">
        <v>7</v>
      </c>
      <c r="C1" t="s">
        <v>0</v>
      </c>
      <c r="D1" t="s">
        <v>33</v>
      </c>
      <c r="E1" t="s">
        <v>40</v>
      </c>
      <c r="F1" t="s">
        <v>38</v>
      </c>
      <c r="G1" t="s">
        <v>37</v>
      </c>
      <c r="H1" t="str">
        <f>[1]技能设计!$J$1</f>
        <v>Gongji</v>
      </c>
    </row>
    <row r="2" spans="1:8" x14ac:dyDescent="0.15">
      <c r="A2" t="str">
        <f>[1]法宝人物匹配!$I$1</f>
        <v>F_Jiuchidingpa</v>
      </c>
      <c r="B2" t="str">
        <f>[1]技能设计!$F$125</f>
        <v>钉钯空砸</v>
      </c>
      <c r="C2">
        <f>[1]技能设计!$G$125</f>
        <v>1</v>
      </c>
      <c r="D2">
        <f>[1]技能设计!$H$125</f>
        <v>1</v>
      </c>
      <c r="E2" t="str">
        <f>[1]技能设计!$I$125</f>
        <v>Gongji</v>
      </c>
      <c r="F2">
        <v>3</v>
      </c>
      <c r="G2">
        <v>3</v>
      </c>
      <c r="H2">
        <f ca="1">[1]技能设计!$J$125</f>
        <v>43</v>
      </c>
    </row>
    <row r="3" spans="1:8" x14ac:dyDescent="0.15">
      <c r="A3" t="str">
        <f>[1]法宝人物匹配!$I$1</f>
        <v>F_Jiuchidingpa</v>
      </c>
      <c r="B3" t="str">
        <f>[1]技能设计!$F$126</f>
        <v>钉钯空砸</v>
      </c>
      <c r="C3">
        <f>[1]技能设计!$G$126</f>
        <v>2</v>
      </c>
      <c r="D3">
        <f>[1]技能设计!$H$126</f>
        <v>2</v>
      </c>
      <c r="E3" t="str">
        <f>[1]技能设计!$I$126</f>
        <v>Gongji</v>
      </c>
      <c r="F3">
        <v>3</v>
      </c>
      <c r="G3">
        <v>3</v>
      </c>
      <c r="H3">
        <f ca="1">[1]技能设计!$J$126</f>
        <v>202</v>
      </c>
    </row>
    <row r="4" spans="1:8" x14ac:dyDescent="0.15">
      <c r="A4" t="str">
        <f>[1]法宝人物匹配!$I$1</f>
        <v>F_Jiuchidingpa</v>
      </c>
      <c r="B4" t="str">
        <f>[1]技能设计!$F$127</f>
        <v>钉钯空砸</v>
      </c>
      <c r="C4">
        <f>[1]技能设计!$G$127</f>
        <v>3</v>
      </c>
      <c r="D4">
        <f>[1]技能设计!$H$127</f>
        <v>0</v>
      </c>
      <c r="E4">
        <f>[1]技能设计!$I$127</f>
        <v>0</v>
      </c>
      <c r="F4">
        <v>3</v>
      </c>
      <c r="G4">
        <v>3</v>
      </c>
      <c r="H4">
        <f>[1]技能设计!$J$127</f>
        <v>0</v>
      </c>
    </row>
    <row r="5" spans="1:8" x14ac:dyDescent="0.15">
      <c r="A5" t="str">
        <f>[1]法宝人物匹配!$I$1</f>
        <v>F_Jiuchidingpa</v>
      </c>
      <c r="B5" t="str">
        <f>[1]技能设计!$F$128</f>
        <v>钉钯空砸</v>
      </c>
      <c r="C5">
        <f>[1]技能设计!$G$128</f>
        <v>4</v>
      </c>
      <c r="D5">
        <f>[1]技能设计!$H$128</f>
        <v>0</v>
      </c>
      <c r="E5">
        <f>[1]技能设计!$I$128</f>
        <v>0</v>
      </c>
      <c r="F5">
        <v>3</v>
      </c>
      <c r="G5">
        <v>3</v>
      </c>
      <c r="H5">
        <f>[1]技能设计!$J$128</f>
        <v>0</v>
      </c>
    </row>
    <row r="6" spans="1:8" x14ac:dyDescent="0.15">
      <c r="A6" t="str">
        <f>[1]法宝人物匹配!$I$1</f>
        <v>F_Jiuchidingpa</v>
      </c>
      <c r="B6" t="str">
        <f>[1]技能设计!$F$129</f>
        <v>钉钯横扫</v>
      </c>
      <c r="C6">
        <f>[1]技能设计!$G$129</f>
        <v>5</v>
      </c>
      <c r="D6">
        <f>[1]技能设计!$H$129</f>
        <v>0</v>
      </c>
      <c r="E6">
        <f>[1]技能设计!$I$129</f>
        <v>0</v>
      </c>
      <c r="F6">
        <v>3</v>
      </c>
      <c r="G6">
        <v>3</v>
      </c>
      <c r="H6">
        <f>[1]技能设计!$J$129</f>
        <v>0</v>
      </c>
    </row>
    <row r="7" spans="1:8" x14ac:dyDescent="0.15">
      <c r="A7" t="str">
        <f>[1]法宝人物匹配!$I$1</f>
        <v>F_Jiuchidingpa</v>
      </c>
      <c r="B7" t="str">
        <f>[1]技能设计!$F$130</f>
        <v>钉钯横扫</v>
      </c>
      <c r="C7">
        <f>[1]技能设计!$G$130</f>
        <v>6</v>
      </c>
      <c r="D7">
        <f>[1]技能设计!$H$130</f>
        <v>0</v>
      </c>
      <c r="E7">
        <f>[1]技能设计!$I$130</f>
        <v>0</v>
      </c>
      <c r="F7">
        <v>3</v>
      </c>
      <c r="G7">
        <v>3</v>
      </c>
      <c r="H7">
        <f>[1]技能设计!$J$130</f>
        <v>0</v>
      </c>
    </row>
    <row r="8" spans="1:8" x14ac:dyDescent="0.15">
      <c r="A8" t="str">
        <f>[1]法宝人物匹配!$I$1</f>
        <v>F_Jiuchidingpa</v>
      </c>
      <c r="B8" t="str">
        <f>[1]技能设计!$F$131</f>
        <v>钉钯横扫</v>
      </c>
      <c r="C8">
        <f>[1]技能设计!$G$131</f>
        <v>7</v>
      </c>
      <c r="D8">
        <f>[1]技能设计!$H$131</f>
        <v>0</v>
      </c>
      <c r="E8">
        <f>[1]技能设计!$I$131</f>
        <v>0</v>
      </c>
      <c r="F8">
        <v>3</v>
      </c>
      <c r="G8">
        <v>3</v>
      </c>
      <c r="H8">
        <f>[1]技能设计!$J$131</f>
        <v>0</v>
      </c>
    </row>
    <row r="9" spans="1:8" x14ac:dyDescent="0.15">
      <c r="A9" t="str">
        <f>[1]法宝人物匹配!$I$1</f>
        <v>F_Jiuchidingpa</v>
      </c>
      <c r="B9" t="str">
        <f>[1]技能设计!$F$132</f>
        <v>钉耙乱斩</v>
      </c>
      <c r="C9">
        <f>[1]技能设计!$G$132</f>
        <v>8</v>
      </c>
      <c r="D9">
        <f>[1]技能设计!$H$132</f>
        <v>0</v>
      </c>
      <c r="E9">
        <f>[1]技能设计!$I$132</f>
        <v>0</v>
      </c>
      <c r="F9">
        <v>3</v>
      </c>
      <c r="G9">
        <v>3</v>
      </c>
      <c r="H9">
        <f>[1]技能设计!$J$132</f>
        <v>0</v>
      </c>
    </row>
    <row r="10" spans="1:8" x14ac:dyDescent="0.15">
      <c r="A10" t="str">
        <f>[1]法宝人物匹配!$I$1</f>
        <v>F_Jiuchidingpa</v>
      </c>
      <c r="B10" t="str">
        <f>[1]技能设计!$F$133</f>
        <v>钉耙乱斩</v>
      </c>
      <c r="C10">
        <f>[1]技能设计!$G$133</f>
        <v>9</v>
      </c>
      <c r="D10">
        <f>[1]技能设计!$H$133</f>
        <v>0</v>
      </c>
      <c r="E10">
        <f>[1]技能设计!$I$133</f>
        <v>0</v>
      </c>
      <c r="F10">
        <v>3</v>
      </c>
      <c r="G10">
        <v>3</v>
      </c>
      <c r="H10">
        <f>[1]技能设计!$J$133</f>
        <v>0</v>
      </c>
    </row>
    <row r="11" spans="1:8" x14ac:dyDescent="0.15">
      <c r="A11" t="str">
        <f>[1]法宝人物匹配!$I$1</f>
        <v>F_Jiuchidingpa</v>
      </c>
      <c r="B11" t="str">
        <f>[1]技能设计!$F$134</f>
        <v>钉耙乱斩</v>
      </c>
      <c r="C11">
        <f>[1]技能设计!$G$134</f>
        <v>10</v>
      </c>
      <c r="D11">
        <f>[1]技能设计!$H$134</f>
        <v>0</v>
      </c>
      <c r="E11">
        <f>[1]技能设计!$I$134</f>
        <v>0</v>
      </c>
      <c r="F11">
        <v>3</v>
      </c>
      <c r="G11">
        <v>3</v>
      </c>
      <c r="H11">
        <f>[1]技能设计!$J$134</f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J11"/>
  <sheetViews>
    <sheetView workbookViewId="0">
      <selection activeCell="A2" sqref="A2:A11"/>
    </sheetView>
  </sheetViews>
  <sheetFormatPr defaultRowHeight="13.5" x14ac:dyDescent="0.15"/>
  <sheetData>
    <row r="1" spans="1:10" x14ac:dyDescent="0.15">
      <c r="A1" t="s">
        <v>34</v>
      </c>
      <c r="B1" t="s">
        <v>7</v>
      </c>
      <c r="C1" t="s">
        <v>0</v>
      </c>
      <c r="D1" t="s">
        <v>33</v>
      </c>
      <c r="E1" t="s">
        <v>39</v>
      </c>
      <c r="F1" t="s">
        <v>38</v>
      </c>
      <c r="G1" t="s">
        <v>37</v>
      </c>
      <c r="H1" t="str">
        <f>[1]技能设计!$S$1</f>
        <v>GongjiBuff</v>
      </c>
      <c r="I1" t="str">
        <f>[1]技能设计!$U$1</f>
        <v>BaojiBuff</v>
      </c>
      <c r="J1" t="str">
        <f>[1]技能设计!$W$1</f>
        <v>FangyuBuff</v>
      </c>
    </row>
    <row r="2" spans="1:10" x14ac:dyDescent="0.15">
      <c r="A2" t="str">
        <f>[1]法宝人物匹配!$J$1</f>
        <v>F_Yuanshuaizhanpao</v>
      </c>
      <c r="B2" t="str">
        <f>[1]技能设计!$F$136</f>
        <v>战袍加身</v>
      </c>
      <c r="C2">
        <f>[1]技能设计!$G$136</f>
        <v>1</v>
      </c>
      <c r="D2">
        <f>[1]技能设计!$H$136</f>
        <v>1</v>
      </c>
      <c r="E2" t="str">
        <f>[1]技能设计!$I$136</f>
        <v>Juqi</v>
      </c>
      <c r="F2">
        <v>3</v>
      </c>
      <c r="G2">
        <v>3</v>
      </c>
      <c r="H2">
        <f>[1]技能设计!$S$136</f>
        <v>4</v>
      </c>
      <c r="I2">
        <f>[1]技能设计!$U$136</f>
        <v>0.02</v>
      </c>
      <c r="J2">
        <f>[1]技能设计!$W$136</f>
        <v>3</v>
      </c>
    </row>
    <row r="3" spans="1:10" x14ac:dyDescent="0.15">
      <c r="A3" t="str">
        <f>[1]法宝人物匹配!$J$1</f>
        <v>F_Yuanshuaizhanpao</v>
      </c>
      <c r="B3" t="str">
        <f>[1]技能设计!$F$137</f>
        <v>战袍加身</v>
      </c>
      <c r="C3">
        <f>[1]技能设计!$G$137</f>
        <v>2</v>
      </c>
      <c r="D3">
        <f>[1]技能设计!$H$137</f>
        <v>2</v>
      </c>
      <c r="E3" t="str">
        <f>[1]技能设计!$I$137</f>
        <v>Juqi</v>
      </c>
      <c r="F3">
        <v>3</v>
      </c>
      <c r="G3">
        <v>3</v>
      </c>
      <c r="H3">
        <f>[1]技能设计!$S$137</f>
        <v>12</v>
      </c>
      <c r="I3">
        <f>[1]技能设计!$U$137</f>
        <v>0.1</v>
      </c>
      <c r="J3">
        <f>[1]技能设计!$W$137</f>
        <v>12</v>
      </c>
    </row>
    <row r="4" spans="1:10" x14ac:dyDescent="0.15">
      <c r="A4" t="str">
        <f>[1]法宝人物匹配!$J$1</f>
        <v>F_Yuanshuaizhanpao</v>
      </c>
      <c r="B4" t="str">
        <f>[1]技能设计!$F$138</f>
        <v>战袍加身</v>
      </c>
      <c r="C4">
        <f>[1]技能设计!$G$138</f>
        <v>3</v>
      </c>
      <c r="D4">
        <f>[1]技能设计!$H$138</f>
        <v>0</v>
      </c>
      <c r="E4">
        <f>[1]技能设计!$I$138</f>
        <v>0</v>
      </c>
      <c r="F4">
        <v>3</v>
      </c>
      <c r="G4">
        <v>3</v>
      </c>
      <c r="H4">
        <f>[1]技能设计!$S$138</f>
        <v>0</v>
      </c>
      <c r="I4">
        <f>[1]技能设计!$U$138</f>
        <v>0</v>
      </c>
      <c r="J4">
        <f>[1]技能设计!$W$138</f>
        <v>0</v>
      </c>
    </row>
    <row r="5" spans="1:10" x14ac:dyDescent="0.15">
      <c r="A5" t="str">
        <f>[1]法宝人物匹配!$J$1</f>
        <v>F_Yuanshuaizhanpao</v>
      </c>
      <c r="B5" t="str">
        <f>[1]技能设计!$F$139</f>
        <v>战袍加身</v>
      </c>
      <c r="C5">
        <f>[1]技能设计!$G$139</f>
        <v>4</v>
      </c>
      <c r="D5">
        <f>[1]技能设计!$H$139</f>
        <v>0</v>
      </c>
      <c r="E5">
        <f>[1]技能设计!$I$139</f>
        <v>0</v>
      </c>
      <c r="F5">
        <v>3</v>
      </c>
      <c r="G5">
        <v>3</v>
      </c>
      <c r="H5">
        <f>[1]技能设计!$S$139</f>
        <v>0</v>
      </c>
      <c r="I5">
        <f>[1]技能设计!$U$139</f>
        <v>0</v>
      </c>
      <c r="J5">
        <f>[1]技能设计!$W$139</f>
        <v>0</v>
      </c>
    </row>
    <row r="6" spans="1:10" x14ac:dyDescent="0.15">
      <c r="A6" t="str">
        <f>[1]法宝人物匹配!$J$1</f>
        <v>F_Yuanshuaizhanpao</v>
      </c>
      <c r="B6" t="str">
        <f>[1]技能设计!$F$140</f>
        <v>战袍加身</v>
      </c>
      <c r="C6">
        <f>[1]技能设计!$G$140</f>
        <v>5</v>
      </c>
      <c r="D6">
        <f>[1]技能设计!$H$140</f>
        <v>0</v>
      </c>
      <c r="E6">
        <f>[1]技能设计!$I$140</f>
        <v>0</v>
      </c>
      <c r="F6">
        <v>3</v>
      </c>
      <c r="G6">
        <v>3</v>
      </c>
      <c r="H6">
        <f>[1]技能设计!$S$140</f>
        <v>0</v>
      </c>
      <c r="I6">
        <f>[1]技能设计!$U$140</f>
        <v>0</v>
      </c>
      <c r="J6">
        <f>[1]技能设计!$W$140</f>
        <v>0</v>
      </c>
    </row>
    <row r="7" spans="1:10" x14ac:dyDescent="0.15">
      <c r="A7" t="str">
        <f>[1]法宝人物匹配!$J$1</f>
        <v>F_Yuanshuaizhanpao</v>
      </c>
      <c r="B7" t="str">
        <f>[1]技能设计!$F$141</f>
        <v>元帅降临</v>
      </c>
      <c r="C7">
        <f>[1]技能设计!$G$141</f>
        <v>6</v>
      </c>
      <c r="D7">
        <f>[1]技能设计!$H$141</f>
        <v>0</v>
      </c>
      <c r="E7">
        <f>[1]技能设计!$I$141</f>
        <v>0</v>
      </c>
      <c r="F7">
        <v>3</v>
      </c>
      <c r="G7">
        <v>3</v>
      </c>
      <c r="H7">
        <f>[1]技能设计!$S$141</f>
        <v>0</v>
      </c>
      <c r="I7">
        <f>[1]技能设计!$U$141</f>
        <v>0</v>
      </c>
      <c r="J7">
        <f>[1]技能设计!$W$141</f>
        <v>0</v>
      </c>
    </row>
    <row r="8" spans="1:10" x14ac:dyDescent="0.15">
      <c r="A8" t="str">
        <f>[1]法宝人物匹配!$J$1</f>
        <v>F_Yuanshuaizhanpao</v>
      </c>
      <c r="B8" t="str">
        <f>[1]技能设计!$F$142</f>
        <v>元帅降临</v>
      </c>
      <c r="C8">
        <f>[1]技能设计!$G$142</f>
        <v>7</v>
      </c>
      <c r="D8">
        <f>[1]技能设计!$H$142</f>
        <v>0</v>
      </c>
      <c r="E8">
        <f>[1]技能设计!$I$142</f>
        <v>0</v>
      </c>
      <c r="F8">
        <v>3</v>
      </c>
      <c r="G8">
        <v>3</v>
      </c>
      <c r="H8">
        <f>[1]技能设计!$S$142</f>
        <v>0</v>
      </c>
      <c r="I8">
        <f>[1]技能设计!$U$142</f>
        <v>0</v>
      </c>
      <c r="J8">
        <f>[1]技能设计!$W$142</f>
        <v>0</v>
      </c>
    </row>
    <row r="9" spans="1:10" x14ac:dyDescent="0.15">
      <c r="A9" t="str">
        <f>[1]法宝人物匹配!$J$1</f>
        <v>F_Yuanshuaizhanpao</v>
      </c>
      <c r="B9" t="str">
        <f>[1]技能设计!$F$143</f>
        <v>元帅降临</v>
      </c>
      <c r="C9">
        <f>[1]技能设计!$G$143</f>
        <v>8</v>
      </c>
      <c r="D9">
        <f>[1]技能设计!$H$143</f>
        <v>0</v>
      </c>
      <c r="E9">
        <f>[1]技能设计!$I$143</f>
        <v>0</v>
      </c>
      <c r="F9">
        <v>3</v>
      </c>
      <c r="G9">
        <v>3</v>
      </c>
      <c r="H9">
        <f>[1]技能设计!$S$143</f>
        <v>0</v>
      </c>
      <c r="I9">
        <f>[1]技能设计!$U$143</f>
        <v>0</v>
      </c>
      <c r="J9">
        <f>[1]技能设计!$W$143</f>
        <v>0</v>
      </c>
    </row>
    <row r="10" spans="1:10" x14ac:dyDescent="0.15">
      <c r="A10" t="str">
        <f>[1]法宝人物匹配!$J$1</f>
        <v>F_Yuanshuaizhanpao</v>
      </c>
      <c r="B10" t="str">
        <f>[1]技能设计!$F$144</f>
        <v>元帅降临</v>
      </c>
      <c r="C10">
        <f>[1]技能设计!$G$144</f>
        <v>9</v>
      </c>
      <c r="D10">
        <f>[1]技能设计!$H$144</f>
        <v>0</v>
      </c>
      <c r="E10">
        <f>[1]技能设计!$I$144</f>
        <v>0</v>
      </c>
      <c r="F10">
        <v>3</v>
      </c>
      <c r="G10">
        <v>3</v>
      </c>
      <c r="H10">
        <f>[1]技能设计!$S$144</f>
        <v>0</v>
      </c>
      <c r="I10">
        <f>[1]技能设计!$U$144</f>
        <v>0</v>
      </c>
      <c r="J10">
        <f>[1]技能设计!$W$144</f>
        <v>0</v>
      </c>
    </row>
    <row r="11" spans="1:10" x14ac:dyDescent="0.15">
      <c r="A11" t="str">
        <f>[1]法宝人物匹配!$J$1</f>
        <v>F_Yuanshuaizhanpao</v>
      </c>
      <c r="B11" t="str">
        <f>[1]技能设计!$F$145</f>
        <v>元帅降临</v>
      </c>
      <c r="C11">
        <f>[1]技能设计!$G$145</f>
        <v>10</v>
      </c>
      <c r="D11">
        <f>[1]技能设计!$H$145</f>
        <v>0</v>
      </c>
      <c r="E11">
        <f>[1]技能设计!$I$145</f>
        <v>0</v>
      </c>
      <c r="F11">
        <v>3</v>
      </c>
      <c r="G11">
        <v>3</v>
      </c>
      <c r="H11">
        <f>[1]技能设计!$S$145</f>
        <v>0</v>
      </c>
      <c r="I11">
        <f>[1]技能设计!$U$145</f>
        <v>0</v>
      </c>
      <c r="J11">
        <f>[1]技能设计!$W$145</f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I11"/>
  <sheetViews>
    <sheetView workbookViewId="0">
      <selection activeCell="A2" sqref="A2:A11"/>
    </sheetView>
  </sheetViews>
  <sheetFormatPr defaultRowHeight="13.5" x14ac:dyDescent="0.15"/>
  <sheetData>
    <row r="1" spans="1:9" x14ac:dyDescent="0.15">
      <c r="A1" t="s">
        <v>34</v>
      </c>
      <c r="B1" t="s">
        <v>7</v>
      </c>
      <c r="C1" t="s">
        <v>0</v>
      </c>
      <c r="D1" t="s">
        <v>33</v>
      </c>
      <c r="E1" t="s">
        <v>36</v>
      </c>
      <c r="F1" t="s">
        <v>38</v>
      </c>
      <c r="G1" t="s">
        <v>37</v>
      </c>
      <c r="H1" t="str">
        <f>[1]技能设计!$N$1</f>
        <v>Fanshi</v>
      </c>
      <c r="I1" t="str">
        <f>[1]技能设计!$AH$1</f>
        <v>BaojiDebuff</v>
      </c>
    </row>
    <row r="2" spans="1:9" x14ac:dyDescent="0.15">
      <c r="A2" t="str">
        <f>[1]法宝人物匹配!$K$1</f>
        <v>F_Dingfengzhu</v>
      </c>
      <c r="B2" t="str">
        <f>[1]技能设计!$F$147</f>
        <v>疾风</v>
      </c>
      <c r="C2">
        <f>[1]技能设计!$G$147</f>
        <v>1</v>
      </c>
      <c r="D2">
        <f>[1]技能设计!$H$147</f>
        <v>1</v>
      </c>
      <c r="E2" t="str">
        <f>[1]技能设计!$I$147</f>
        <v>Fanshi</v>
      </c>
      <c r="F2">
        <v>3</v>
      </c>
      <c r="G2">
        <v>3</v>
      </c>
      <c r="H2">
        <f>[1]技能设计!$N$147</f>
        <v>41</v>
      </c>
      <c r="I2">
        <f>[1]技能设计!$AH$147</f>
        <v>-0.02</v>
      </c>
    </row>
    <row r="3" spans="1:9" x14ac:dyDescent="0.15">
      <c r="A3" t="str">
        <f>[1]法宝人物匹配!$K$1</f>
        <v>F_Dingfengzhu</v>
      </c>
      <c r="B3" t="str">
        <f>[1]技能设计!$F$148</f>
        <v>疾风</v>
      </c>
      <c r="C3">
        <f>[1]技能设计!$G$148</f>
        <v>2</v>
      </c>
      <c r="D3">
        <f>[1]技能设计!$H$148</f>
        <v>2</v>
      </c>
      <c r="E3" t="str">
        <f>[1]技能设计!$I$148</f>
        <v>Fanshi</v>
      </c>
      <c r="F3">
        <v>3</v>
      </c>
      <c r="G3">
        <v>3</v>
      </c>
      <c r="H3">
        <f>[1]技能设计!$N$148</f>
        <v>172</v>
      </c>
      <c r="I3">
        <f>[1]技能设计!$AH$148</f>
        <v>-0.05</v>
      </c>
    </row>
    <row r="4" spans="1:9" x14ac:dyDescent="0.15">
      <c r="A4" t="str">
        <f>[1]法宝人物匹配!$K$1</f>
        <v>F_Dingfengzhu</v>
      </c>
      <c r="B4" t="str">
        <f>[1]技能设计!$F$149</f>
        <v>疾风</v>
      </c>
      <c r="C4">
        <f>[1]技能设计!$G$149</f>
        <v>3</v>
      </c>
      <c r="D4">
        <f>[1]技能设计!$H$149</f>
        <v>3</v>
      </c>
      <c r="E4" t="str">
        <f>[1]技能设计!$I$149</f>
        <v>Fanshi</v>
      </c>
      <c r="F4">
        <v>3</v>
      </c>
      <c r="G4">
        <v>3</v>
      </c>
      <c r="H4">
        <f>[1]技能设计!$N$149</f>
        <v>421</v>
      </c>
      <c r="I4">
        <f>[1]技能设计!$AH$149</f>
        <v>-7.0000000000000007E-2</v>
      </c>
    </row>
    <row r="5" spans="1:9" x14ac:dyDescent="0.15">
      <c r="A5" t="str">
        <f>[1]法宝人物匹配!$K$1</f>
        <v>F_Dingfengzhu</v>
      </c>
      <c r="B5" t="str">
        <f>[1]技能设计!$F$150</f>
        <v>疾风</v>
      </c>
      <c r="C5">
        <f>[1]技能设计!$G$150</f>
        <v>4</v>
      </c>
      <c r="D5">
        <f>[1]技能设计!$H$150</f>
        <v>5</v>
      </c>
      <c r="E5" t="str">
        <f>[1]技能设计!$I$150</f>
        <v>Fanshi</v>
      </c>
      <c r="F5">
        <v>3</v>
      </c>
      <c r="G5">
        <v>3</v>
      </c>
      <c r="H5">
        <f>[1]技能设计!$N$150</f>
        <v>3540</v>
      </c>
      <c r="I5">
        <f>[1]技能设计!$AH$150</f>
        <v>-0.1</v>
      </c>
    </row>
    <row r="6" spans="1:9" x14ac:dyDescent="0.15">
      <c r="A6" t="str">
        <f>[1]法宝人物匹配!$K$1</f>
        <v>F_Dingfengzhu</v>
      </c>
      <c r="B6" t="str">
        <f>[1]技能设计!$F$151</f>
        <v>烈风</v>
      </c>
      <c r="C6">
        <f>[1]技能设计!$G$151</f>
        <v>5</v>
      </c>
      <c r="D6">
        <f>[1]技能设计!$H$151</f>
        <v>0</v>
      </c>
      <c r="E6">
        <f>[1]技能设计!$I$151</f>
        <v>0</v>
      </c>
      <c r="F6">
        <v>3</v>
      </c>
      <c r="G6">
        <v>3</v>
      </c>
      <c r="H6">
        <f>[1]技能设计!$N$151</f>
        <v>0</v>
      </c>
      <c r="I6">
        <f>[1]技能设计!$AH$151</f>
        <v>0</v>
      </c>
    </row>
    <row r="7" spans="1:9" x14ac:dyDescent="0.15">
      <c r="A7" t="str">
        <f>[1]法宝人物匹配!$K$1</f>
        <v>F_Dingfengzhu</v>
      </c>
      <c r="B7" t="str">
        <f>[1]技能设计!$F$152</f>
        <v>烈风</v>
      </c>
      <c r="C7">
        <f>[1]技能设计!$G$152</f>
        <v>6</v>
      </c>
      <c r="D7">
        <f>[1]技能设计!$H$152</f>
        <v>0</v>
      </c>
      <c r="E7">
        <f>[1]技能设计!$I$152</f>
        <v>0</v>
      </c>
      <c r="F7">
        <v>3</v>
      </c>
      <c r="G7">
        <v>3</v>
      </c>
      <c r="H7">
        <f>[1]技能设计!$N$152</f>
        <v>0</v>
      </c>
      <c r="I7">
        <f>[1]技能设计!$AH$152</f>
        <v>0</v>
      </c>
    </row>
    <row r="8" spans="1:9" x14ac:dyDescent="0.15">
      <c r="A8" t="str">
        <f>[1]法宝人物匹配!$K$1</f>
        <v>F_Dingfengzhu</v>
      </c>
      <c r="B8" t="str">
        <f>[1]技能设计!$F$153</f>
        <v>烈风</v>
      </c>
      <c r="C8">
        <f>[1]技能设计!$G$153</f>
        <v>7</v>
      </c>
      <c r="D8">
        <f>[1]技能设计!$H$153</f>
        <v>0</v>
      </c>
      <c r="E8">
        <f>[1]技能设计!$I$153</f>
        <v>0</v>
      </c>
      <c r="F8">
        <v>3</v>
      </c>
      <c r="G8">
        <v>3</v>
      </c>
      <c r="H8">
        <f>[1]技能设计!$N$153</f>
        <v>0</v>
      </c>
      <c r="I8">
        <f>[1]技能设计!$AH$153</f>
        <v>0</v>
      </c>
    </row>
    <row r="9" spans="1:9" x14ac:dyDescent="0.15">
      <c r="A9" t="str">
        <f>[1]法宝人物匹配!$K$1</f>
        <v>F_Dingfengzhu</v>
      </c>
      <c r="B9" t="str">
        <f>[1]技能设计!$F$154</f>
        <v>神风</v>
      </c>
      <c r="C9">
        <f>[1]技能设计!$G$154</f>
        <v>8</v>
      </c>
      <c r="D9">
        <f>[1]技能设计!$H$154</f>
        <v>0</v>
      </c>
      <c r="E9">
        <f>[1]技能设计!$I$154</f>
        <v>0</v>
      </c>
      <c r="F9">
        <v>3</v>
      </c>
      <c r="G9">
        <v>3</v>
      </c>
      <c r="H9">
        <f>[1]技能设计!$N$154</f>
        <v>0</v>
      </c>
      <c r="I9">
        <f>[1]技能设计!$AH$154</f>
        <v>0</v>
      </c>
    </row>
    <row r="10" spans="1:9" x14ac:dyDescent="0.15">
      <c r="A10" t="str">
        <f>[1]法宝人物匹配!$K$1</f>
        <v>F_Dingfengzhu</v>
      </c>
      <c r="B10" t="str">
        <f>[1]技能设计!$F$155</f>
        <v>神风</v>
      </c>
      <c r="C10">
        <f>[1]技能设计!$G$155</f>
        <v>9</v>
      </c>
      <c r="D10">
        <f>[1]技能设计!$H$155</f>
        <v>0</v>
      </c>
      <c r="E10">
        <f>[1]技能设计!$I$155</f>
        <v>0</v>
      </c>
      <c r="F10">
        <v>3</v>
      </c>
      <c r="G10">
        <v>3</v>
      </c>
      <c r="H10">
        <f>[1]技能设计!$N$155</f>
        <v>0</v>
      </c>
      <c r="I10">
        <f>[1]技能设计!$AH$155</f>
        <v>0</v>
      </c>
    </row>
    <row r="11" spans="1:9" x14ac:dyDescent="0.15">
      <c r="A11" t="str">
        <f>[1]法宝人物匹配!$K$1</f>
        <v>F_Dingfengzhu</v>
      </c>
      <c r="B11" t="str">
        <f>[1]技能设计!$F$156</f>
        <v>神风</v>
      </c>
      <c r="C11">
        <f>[1]技能设计!$G$156</f>
        <v>10</v>
      </c>
      <c r="D11">
        <f>[1]技能设计!$H$156</f>
        <v>0</v>
      </c>
      <c r="E11">
        <f>[1]技能设计!$I$156</f>
        <v>0</v>
      </c>
      <c r="F11">
        <v>3</v>
      </c>
      <c r="G11">
        <v>3</v>
      </c>
      <c r="H11">
        <f>[1]技能设计!$N$156</f>
        <v>0</v>
      </c>
      <c r="I11">
        <f>[1]技能设计!$AH$156</f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I11"/>
  <sheetViews>
    <sheetView workbookViewId="0">
      <selection activeCell="A2" sqref="A2:A11"/>
    </sheetView>
  </sheetViews>
  <sheetFormatPr defaultRowHeight="13.5" x14ac:dyDescent="0.15"/>
  <cols>
    <col min="8" max="8" width="14.75" customWidth="1"/>
    <col min="9" max="9" width="16.625" customWidth="1"/>
  </cols>
  <sheetData>
    <row r="1" spans="1:9" x14ac:dyDescent="0.15">
      <c r="A1" t="s">
        <v>34</v>
      </c>
      <c r="B1" t="s">
        <v>7</v>
      </c>
      <c r="C1" t="s">
        <v>0</v>
      </c>
      <c r="D1" t="s">
        <v>33</v>
      </c>
      <c r="E1" t="s">
        <v>35</v>
      </c>
      <c r="F1" t="s">
        <v>38</v>
      </c>
      <c r="G1" t="s">
        <v>37</v>
      </c>
      <c r="H1" t="str">
        <f>[1]技能设计!$AX$1</f>
        <v>Baojiguanghuan</v>
      </c>
      <c r="I1" t="str">
        <f>[1]技能设计!$AZ$1</f>
        <v>Kuangreguanghuan</v>
      </c>
    </row>
    <row r="2" spans="1:9" x14ac:dyDescent="0.15">
      <c r="A2" t="str">
        <f>[1]法宝人物匹配!$K$1</f>
        <v>F_Dingfengzhu</v>
      </c>
      <c r="B2" t="str">
        <f>[1]技能设计!$F$158</f>
        <v>风阵</v>
      </c>
      <c r="C2">
        <f>[1]技能设计!$G$158</f>
        <v>1</v>
      </c>
      <c r="D2">
        <f>[1]技能设计!$H$158</f>
        <v>4</v>
      </c>
      <c r="E2" t="str">
        <f>[1]技能设计!$I$158</f>
        <v>Juqi</v>
      </c>
      <c r="F2">
        <v>3</v>
      </c>
      <c r="G2">
        <v>3</v>
      </c>
      <c r="H2">
        <f>[1]技能设计!$AX$158</f>
        <v>0.06</v>
      </c>
      <c r="I2">
        <f>[1]技能设计!$AZ$158</f>
        <v>9.2999999999999999E-2</v>
      </c>
    </row>
    <row r="3" spans="1:9" x14ac:dyDescent="0.15">
      <c r="A3" t="str">
        <f>[1]法宝人物匹配!$K$1</f>
        <v>F_Dingfengzhu</v>
      </c>
      <c r="B3" t="str">
        <f>[1]技能设计!$F$159</f>
        <v>风阵</v>
      </c>
      <c r="C3">
        <f>[1]技能设计!$G$159</f>
        <v>2</v>
      </c>
      <c r="D3">
        <f>[1]技能设计!$H$159</f>
        <v>0</v>
      </c>
      <c r="E3">
        <f>[1]技能设计!$I$159</f>
        <v>0</v>
      </c>
      <c r="F3">
        <v>3</v>
      </c>
      <c r="G3">
        <v>3</v>
      </c>
      <c r="H3">
        <f>[1]技能设计!$AX$159</f>
        <v>0</v>
      </c>
      <c r="I3">
        <f>[1]技能设计!$AZ$159</f>
        <v>0</v>
      </c>
    </row>
    <row r="4" spans="1:9" x14ac:dyDescent="0.15">
      <c r="A4" t="str">
        <f>[1]法宝人物匹配!$K$1</f>
        <v>F_Dingfengzhu</v>
      </c>
      <c r="B4" t="str">
        <f>[1]技能设计!$F$160</f>
        <v>风阵</v>
      </c>
      <c r="C4">
        <f>[1]技能设计!$G$160</f>
        <v>3</v>
      </c>
      <c r="D4">
        <f>[1]技能设计!$H$160</f>
        <v>0</v>
      </c>
      <c r="E4">
        <f>[1]技能设计!$I$160</f>
        <v>0</v>
      </c>
      <c r="F4">
        <v>3</v>
      </c>
      <c r="G4">
        <v>3</v>
      </c>
      <c r="H4">
        <f>[1]技能设计!$AX$160</f>
        <v>0</v>
      </c>
      <c r="I4">
        <f>[1]技能设计!$AZ$160</f>
        <v>0</v>
      </c>
    </row>
    <row r="5" spans="1:9" x14ac:dyDescent="0.15">
      <c r="A5" t="str">
        <f>[1]法宝人物匹配!$K$1</f>
        <v>F_Dingfengzhu</v>
      </c>
      <c r="B5" t="str">
        <f>[1]技能设计!$F$161</f>
        <v>风阵</v>
      </c>
      <c r="C5">
        <f>[1]技能设计!$G$161</f>
        <v>4</v>
      </c>
      <c r="D5">
        <f>[1]技能设计!$H$161</f>
        <v>0</v>
      </c>
      <c r="E5">
        <f>[1]技能设计!$I$161</f>
        <v>0</v>
      </c>
      <c r="F5">
        <v>3</v>
      </c>
      <c r="G5">
        <v>3</v>
      </c>
      <c r="H5">
        <f>[1]技能设计!$AX$161</f>
        <v>0</v>
      </c>
      <c r="I5">
        <f>[1]技能设计!$AZ$161</f>
        <v>0</v>
      </c>
    </row>
    <row r="6" spans="1:9" x14ac:dyDescent="0.15">
      <c r="A6" t="str">
        <f>[1]法宝人物匹配!$K$1</f>
        <v>F_Dingfengzhu</v>
      </c>
      <c r="B6" t="str">
        <f>[1]技能设计!$F$162</f>
        <v>风阵</v>
      </c>
      <c r="C6">
        <f>[1]技能设计!$G$162</f>
        <v>5</v>
      </c>
      <c r="D6">
        <f>[1]技能设计!$H$162</f>
        <v>0</v>
      </c>
      <c r="E6">
        <f>[1]技能设计!$I$162</f>
        <v>0</v>
      </c>
      <c r="F6">
        <v>3</v>
      </c>
      <c r="G6">
        <v>3</v>
      </c>
      <c r="H6">
        <f>[1]技能设计!$AX$162</f>
        <v>0</v>
      </c>
      <c r="I6">
        <f>[1]技能设计!$AZ$162</f>
        <v>0</v>
      </c>
    </row>
    <row r="7" spans="1:9" x14ac:dyDescent="0.15">
      <c r="A7" t="str">
        <f>[1]法宝人物匹配!$K$1</f>
        <v>F_Dingfengzhu</v>
      </c>
      <c r="B7" t="str">
        <f>[1]技能设计!$F$163</f>
        <v>风牢</v>
      </c>
      <c r="C7">
        <f>[1]技能设计!$G$163</f>
        <v>6</v>
      </c>
      <c r="D7">
        <f>[1]技能设计!$H$163</f>
        <v>0</v>
      </c>
      <c r="E7">
        <f>[1]技能设计!$I$163</f>
        <v>0</v>
      </c>
      <c r="F7">
        <v>3</v>
      </c>
      <c r="G7">
        <v>3</v>
      </c>
      <c r="H7">
        <f>[1]技能设计!$AX$163</f>
        <v>0</v>
      </c>
      <c r="I7">
        <f>[1]技能设计!$AZ$163</f>
        <v>0</v>
      </c>
    </row>
    <row r="8" spans="1:9" x14ac:dyDescent="0.15">
      <c r="A8" t="str">
        <f>[1]法宝人物匹配!$K$1</f>
        <v>F_Dingfengzhu</v>
      </c>
      <c r="B8" t="str">
        <f>[1]技能设计!$F$164</f>
        <v>风牢</v>
      </c>
      <c r="C8">
        <f>[1]技能设计!$G$164</f>
        <v>7</v>
      </c>
      <c r="D8">
        <f>[1]技能设计!$H$164</f>
        <v>0</v>
      </c>
      <c r="E8">
        <f>[1]技能设计!$I$164</f>
        <v>0</v>
      </c>
      <c r="F8">
        <v>3</v>
      </c>
      <c r="G8">
        <v>3</v>
      </c>
      <c r="H8">
        <f>[1]技能设计!$AX$164</f>
        <v>0</v>
      </c>
      <c r="I8">
        <f>[1]技能设计!$AZ$164</f>
        <v>0</v>
      </c>
    </row>
    <row r="9" spans="1:9" x14ac:dyDescent="0.15">
      <c r="A9" t="str">
        <f>[1]法宝人物匹配!$K$1</f>
        <v>F_Dingfengzhu</v>
      </c>
      <c r="B9" t="str">
        <f>[1]技能设计!$F$165</f>
        <v>风牢</v>
      </c>
      <c r="C9">
        <f>[1]技能设计!$G$165</f>
        <v>8</v>
      </c>
      <c r="D9">
        <f>[1]技能设计!$H$165</f>
        <v>0</v>
      </c>
      <c r="E9">
        <f>[1]技能设计!$I$165</f>
        <v>0</v>
      </c>
      <c r="F9">
        <v>3</v>
      </c>
      <c r="G9">
        <v>3</v>
      </c>
      <c r="H9">
        <f>[1]技能设计!$AX$165</f>
        <v>0</v>
      </c>
      <c r="I9">
        <f>[1]技能设计!$AZ$165</f>
        <v>0</v>
      </c>
    </row>
    <row r="10" spans="1:9" x14ac:dyDescent="0.15">
      <c r="A10" t="str">
        <f>[1]法宝人物匹配!$K$1</f>
        <v>F_Dingfengzhu</v>
      </c>
      <c r="B10" t="str">
        <f>[1]技能设计!$F$166</f>
        <v>风牢</v>
      </c>
      <c r="C10">
        <f>[1]技能设计!$G$166</f>
        <v>9</v>
      </c>
      <c r="D10">
        <f>[1]技能设计!$H$166</f>
        <v>0</v>
      </c>
      <c r="E10">
        <f>[1]技能设计!$I$166</f>
        <v>0</v>
      </c>
      <c r="F10">
        <v>3</v>
      </c>
      <c r="G10">
        <v>3</v>
      </c>
      <c r="H10">
        <f>[1]技能设计!$AX$166</f>
        <v>0</v>
      </c>
      <c r="I10">
        <f>[1]技能设计!$AZ$166</f>
        <v>0</v>
      </c>
    </row>
    <row r="11" spans="1:9" x14ac:dyDescent="0.15">
      <c r="A11" t="str">
        <f>[1]法宝人物匹配!$K$1</f>
        <v>F_Dingfengzhu</v>
      </c>
      <c r="B11" t="str">
        <f>[1]技能设计!$F$167</f>
        <v>风牢</v>
      </c>
      <c r="C11">
        <f>[1]技能设计!$G$167</f>
        <v>10</v>
      </c>
      <c r="D11">
        <f>[1]技能设计!$H$167</f>
        <v>0</v>
      </c>
      <c r="E11">
        <f>[1]技能设计!$I$167</f>
        <v>0</v>
      </c>
      <c r="F11">
        <v>3</v>
      </c>
      <c r="G11">
        <v>3</v>
      </c>
      <c r="H11">
        <f>[1]技能设计!$AX$167</f>
        <v>0</v>
      </c>
      <c r="I11">
        <f>[1]技能设计!$AZ$167</f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1"/>
  <sheetViews>
    <sheetView workbookViewId="0">
      <selection activeCell="M15" sqref="M15"/>
    </sheetView>
  </sheetViews>
  <sheetFormatPr defaultRowHeight="13.5" x14ac:dyDescent="0.15"/>
  <sheetData>
    <row r="1" spans="1:8" x14ac:dyDescent="0.15">
      <c r="A1" t="s">
        <v>34</v>
      </c>
      <c r="B1" t="s">
        <v>7</v>
      </c>
      <c r="C1" t="s">
        <v>0</v>
      </c>
      <c r="D1" t="s">
        <v>33</v>
      </c>
      <c r="E1" t="s">
        <v>35</v>
      </c>
      <c r="F1" t="s">
        <v>38</v>
      </c>
      <c r="G1" t="s">
        <v>37</v>
      </c>
      <c r="H1" t="str">
        <f>[1]技能设计!$J$1</f>
        <v>Gongji</v>
      </c>
    </row>
    <row r="2" spans="1:8" x14ac:dyDescent="0.15">
      <c r="A2" t="str">
        <f>[1]法宝人物匹配!$L$1</f>
        <v>F_Yueyachan</v>
      </c>
      <c r="B2" t="str">
        <f>[1]技能设计!$F$169</f>
        <v>月牙斩</v>
      </c>
      <c r="C2">
        <f>[1]技能设计!$G$169</f>
        <v>1</v>
      </c>
      <c r="D2">
        <f>[1]技能设计!$H$169</f>
        <v>1</v>
      </c>
      <c r="E2" t="str">
        <f>[1]技能设计!$I$169</f>
        <v>Gongji</v>
      </c>
      <c r="F2">
        <v>3</v>
      </c>
      <c r="G2">
        <v>3</v>
      </c>
      <c r="H2">
        <f ca="1">[1]技能设计!$J$169</f>
        <v>43</v>
      </c>
    </row>
    <row r="3" spans="1:8" x14ac:dyDescent="0.15">
      <c r="A3" t="str">
        <f>[1]法宝人物匹配!$L$1</f>
        <v>F_Yueyachan</v>
      </c>
      <c r="B3" t="str">
        <f>[1]技能设计!$F$170</f>
        <v>月牙斩</v>
      </c>
      <c r="C3">
        <f>[1]技能设计!$G$170</f>
        <v>2</v>
      </c>
      <c r="D3">
        <f>[1]技能设计!$H$170</f>
        <v>2</v>
      </c>
      <c r="E3" t="str">
        <f>[1]技能设计!$I$170</f>
        <v>Gongji</v>
      </c>
      <c r="F3">
        <v>3</v>
      </c>
      <c r="G3">
        <v>3</v>
      </c>
      <c r="H3">
        <f ca="1">[1]技能设计!$J$170</f>
        <v>202</v>
      </c>
    </row>
    <row r="4" spans="1:8" x14ac:dyDescent="0.15">
      <c r="A4" t="str">
        <f>[1]法宝人物匹配!$L$1</f>
        <v>F_Yueyachan</v>
      </c>
      <c r="B4" t="str">
        <f>[1]技能设计!$F$171</f>
        <v>月牙斩</v>
      </c>
      <c r="C4">
        <f>[1]技能设计!$G$171</f>
        <v>3</v>
      </c>
      <c r="D4">
        <f>[1]技能设计!$H$171</f>
        <v>0</v>
      </c>
      <c r="E4">
        <f>[1]技能设计!$I$171</f>
        <v>0</v>
      </c>
      <c r="F4">
        <v>3</v>
      </c>
      <c r="G4">
        <v>3</v>
      </c>
      <c r="H4">
        <f>[1]技能设计!$J$171</f>
        <v>0</v>
      </c>
    </row>
    <row r="5" spans="1:8" x14ac:dyDescent="0.15">
      <c r="A5" t="str">
        <f>[1]法宝人物匹配!$L$1</f>
        <v>F_Yueyachan</v>
      </c>
      <c r="B5" t="str">
        <f>[1]技能设计!$F$172</f>
        <v>月牙斩</v>
      </c>
      <c r="C5">
        <f>[1]技能设计!$G$172</f>
        <v>4</v>
      </c>
      <c r="D5">
        <f>[1]技能设计!$H$172</f>
        <v>0</v>
      </c>
      <c r="E5">
        <f>[1]技能设计!$I$172</f>
        <v>0</v>
      </c>
      <c r="F5">
        <v>3</v>
      </c>
      <c r="G5">
        <v>3</v>
      </c>
      <c r="H5">
        <f>[1]技能设计!$J$172</f>
        <v>0</v>
      </c>
    </row>
    <row r="6" spans="1:8" x14ac:dyDescent="0.15">
      <c r="A6" t="str">
        <f>[1]法宝人物匹配!$L$1</f>
        <v>F_Yueyachan</v>
      </c>
      <c r="B6" t="str">
        <f>[1]技能设计!$F$173</f>
        <v>月牙斩</v>
      </c>
      <c r="C6">
        <f>[1]技能设计!$G$173</f>
        <v>5</v>
      </c>
      <c r="D6">
        <f>[1]技能设计!$H$173</f>
        <v>0</v>
      </c>
      <c r="E6">
        <f>[1]技能设计!$I$173</f>
        <v>0</v>
      </c>
      <c r="F6">
        <v>3</v>
      </c>
      <c r="G6">
        <v>3</v>
      </c>
      <c r="H6">
        <f>[1]技能设计!$J$173</f>
        <v>0</v>
      </c>
    </row>
    <row r="7" spans="1:8" x14ac:dyDescent="0.15">
      <c r="A7" t="str">
        <f>[1]法宝人物匹配!$L$1</f>
        <v>F_Yueyachan</v>
      </c>
      <c r="B7" t="str">
        <f>[1]技能设计!$F$174</f>
        <v>落月</v>
      </c>
      <c r="C7">
        <f>[1]技能设计!$G$174</f>
        <v>6</v>
      </c>
      <c r="D7">
        <f>[1]技能设计!$H$174</f>
        <v>0</v>
      </c>
      <c r="E7">
        <f>[1]技能设计!$I$174</f>
        <v>0</v>
      </c>
      <c r="F7">
        <v>3</v>
      </c>
      <c r="G7">
        <v>3</v>
      </c>
      <c r="H7">
        <f>[1]技能设计!$J$174</f>
        <v>0</v>
      </c>
    </row>
    <row r="8" spans="1:8" x14ac:dyDescent="0.15">
      <c r="A8" t="str">
        <f>[1]法宝人物匹配!$L$1</f>
        <v>F_Yueyachan</v>
      </c>
      <c r="B8" t="str">
        <f>[1]技能设计!$F$175</f>
        <v>落月</v>
      </c>
      <c r="C8">
        <f>[1]技能设计!$G$175</f>
        <v>7</v>
      </c>
      <c r="D8">
        <f>[1]技能设计!$H$175</f>
        <v>0</v>
      </c>
      <c r="E8">
        <f>[1]技能设计!$I$175</f>
        <v>0</v>
      </c>
      <c r="F8">
        <v>3</v>
      </c>
      <c r="G8">
        <v>3</v>
      </c>
      <c r="H8">
        <f>[1]技能设计!$J$175</f>
        <v>0</v>
      </c>
    </row>
    <row r="9" spans="1:8" x14ac:dyDescent="0.15">
      <c r="A9" t="str">
        <f>[1]法宝人物匹配!$L$1</f>
        <v>F_Yueyachan</v>
      </c>
      <c r="B9" t="str">
        <f>[1]技能设计!$F$176</f>
        <v>落月</v>
      </c>
      <c r="C9">
        <f>[1]技能设计!$G$176</f>
        <v>8</v>
      </c>
      <c r="D9">
        <f>[1]技能设计!$H$176</f>
        <v>0</v>
      </c>
      <c r="E9">
        <f>[1]技能设计!$I$176</f>
        <v>0</v>
      </c>
      <c r="F9">
        <v>3</v>
      </c>
      <c r="G9">
        <v>3</v>
      </c>
      <c r="H9">
        <f>[1]技能设计!$J$176</f>
        <v>0</v>
      </c>
    </row>
    <row r="10" spans="1:8" x14ac:dyDescent="0.15">
      <c r="A10" t="str">
        <f>[1]法宝人物匹配!$L$1</f>
        <v>F_Yueyachan</v>
      </c>
      <c r="B10" t="str">
        <f>[1]技能设计!$F$177</f>
        <v>落月</v>
      </c>
      <c r="C10">
        <f>[1]技能设计!$G$177</f>
        <v>9</v>
      </c>
      <c r="D10">
        <f>[1]技能设计!$H$177</f>
        <v>0</v>
      </c>
      <c r="E10">
        <f>[1]技能设计!$I$177</f>
        <v>0</v>
      </c>
      <c r="F10">
        <v>3</v>
      </c>
      <c r="G10">
        <v>3</v>
      </c>
      <c r="H10">
        <f>[1]技能设计!$J$177</f>
        <v>0</v>
      </c>
    </row>
    <row r="11" spans="1:8" x14ac:dyDescent="0.15">
      <c r="A11" t="str">
        <f>[1]法宝人物匹配!$L$1</f>
        <v>F_Yueyachan</v>
      </c>
      <c r="B11" t="str">
        <f>[1]技能设计!$F$178</f>
        <v>落月</v>
      </c>
      <c r="C11">
        <f>[1]技能设计!$G$178</f>
        <v>10</v>
      </c>
      <c r="D11">
        <f>[1]技能设计!$H$178</f>
        <v>0</v>
      </c>
      <c r="E11">
        <f>[1]技能设计!$I$178</f>
        <v>0</v>
      </c>
      <c r="F11">
        <v>3</v>
      </c>
      <c r="G11">
        <v>3</v>
      </c>
      <c r="H11">
        <f>[1]技能设计!$J$178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玩家卡牌配置表</vt:lpstr>
      <vt:lpstr>法宝人物匹配表</vt:lpstr>
      <vt:lpstr>S_Huayuan</vt:lpstr>
      <vt:lpstr>S_Ziqixiangyao</vt:lpstr>
      <vt:lpstr>S_Jinghua</vt:lpstr>
      <vt:lpstr>S_Wuhuanfazhen</vt:lpstr>
      <vt:lpstr>S_Jiashahuti</vt:lpstr>
      <vt:lpstr>S_Jingu</vt:lpstr>
      <vt:lpstr>S_Luanbangda</vt:lpstr>
      <vt:lpstr>S_Qianjinding</vt:lpstr>
      <vt:lpstr>S_Jitu</vt:lpstr>
      <vt:lpstr>S_Longlin</vt:lpstr>
      <vt:lpstr>S_Julongshuaiwei</vt:lpstr>
      <vt:lpstr>S_Dingpakongza</vt:lpstr>
      <vt:lpstr>S_Zhanpaojiashen</vt:lpstr>
      <vt:lpstr>S_Jifeng</vt:lpstr>
      <vt:lpstr>S_Fengzhen</vt:lpstr>
      <vt:lpstr>S_Yueyazhan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2013-08-22T11:23:03Z</dcterms:modified>
</cp:coreProperties>
</file>