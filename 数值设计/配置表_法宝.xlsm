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375" windowWidth="14805" windowHeight="7740" activeTab="1"/>
  </bookViews>
  <sheets>
    <sheet name="玩家卡牌配置表" sheetId="29" r:id="rId1"/>
    <sheet name="FabaoConf" sheetId="106" r:id="rId2"/>
    <sheet name="FaobaoJiacheng" sheetId="2" r:id="rId3"/>
    <sheet name="S_Huayuan" sheetId="90" r:id="rId4"/>
    <sheet name="S_Ziqixiangyao" sheetId="91" r:id="rId5"/>
    <sheet name="S_Jinghua" sheetId="92" r:id="rId6"/>
    <sheet name="S_Wuhuanfazhen" sheetId="93" r:id="rId7"/>
    <sheet name="S_Jiashahuti" sheetId="94" r:id="rId8"/>
    <sheet name="S_Jingu" sheetId="95" r:id="rId9"/>
    <sheet name="S_Luanbangda" sheetId="96" r:id="rId10"/>
    <sheet name="S_Qianjinding" sheetId="97" r:id="rId11"/>
    <sheet name="S_Jitu" sheetId="98" r:id="rId12"/>
    <sheet name="S_Longlin" sheetId="99" r:id="rId13"/>
    <sheet name="S_Julongshuaiwei" sheetId="100" r:id="rId14"/>
    <sheet name="S_Dingpakongza" sheetId="101" r:id="rId15"/>
    <sheet name="S_Zhanpaojiashen" sheetId="102" r:id="rId16"/>
    <sheet name="S_Jifeng" sheetId="103" r:id="rId17"/>
    <sheet name="S_Fengzhen" sheetId="104" r:id="rId18"/>
    <sheet name="S_Yueyazhan" sheetId="105" r:id="rId19"/>
  </sheets>
  <externalReferences>
    <externalReference r:id="rId20"/>
  </externalReferences>
  <calcPr calcId="144525"/>
</workbook>
</file>

<file path=xl/calcChain.xml><?xml version="1.0" encoding="utf-8"?>
<calcChain xmlns="http://schemas.openxmlformats.org/spreadsheetml/2006/main">
  <c r="C2" i="106" l="1"/>
  <c r="D2" i="106"/>
  <c r="E2" i="106"/>
  <c r="F2" i="106"/>
  <c r="G2" i="106"/>
  <c r="H2" i="106"/>
  <c r="I2" i="106"/>
  <c r="J2" i="106"/>
  <c r="C3" i="106"/>
  <c r="D3" i="106"/>
  <c r="E3" i="106"/>
  <c r="F3" i="106"/>
  <c r="G3" i="106"/>
  <c r="H3" i="106"/>
  <c r="I3" i="106"/>
  <c r="J3" i="106"/>
  <c r="C4" i="106"/>
  <c r="D4" i="106"/>
  <c r="E4" i="106"/>
  <c r="F4" i="106"/>
  <c r="G4" i="106"/>
  <c r="H4" i="106"/>
  <c r="I4" i="106"/>
  <c r="J4" i="106"/>
  <c r="C5" i="106"/>
  <c r="D5" i="106"/>
  <c r="E5" i="106"/>
  <c r="F5" i="106"/>
  <c r="G5" i="106"/>
  <c r="H5" i="106"/>
  <c r="I5" i="106"/>
  <c r="J5" i="106"/>
  <c r="C6" i="106"/>
  <c r="D6" i="106"/>
  <c r="E6" i="106"/>
  <c r="F6" i="106"/>
  <c r="G6" i="106"/>
  <c r="H6" i="106"/>
  <c r="I6" i="106"/>
  <c r="J6" i="106"/>
  <c r="C7" i="106"/>
  <c r="D7" i="106"/>
  <c r="E7" i="106"/>
  <c r="F7" i="106"/>
  <c r="G7" i="106"/>
  <c r="H7" i="106"/>
  <c r="I7" i="106"/>
  <c r="J7" i="106"/>
  <c r="C8" i="106"/>
  <c r="D8" i="106"/>
  <c r="E8" i="106"/>
  <c r="F8" i="106"/>
  <c r="G8" i="106"/>
  <c r="H8" i="106"/>
  <c r="I8" i="106"/>
  <c r="J8" i="106"/>
  <c r="C9" i="106"/>
  <c r="D9" i="106"/>
  <c r="E9" i="106"/>
  <c r="F9" i="106"/>
  <c r="G9" i="106"/>
  <c r="H9" i="106"/>
  <c r="I9" i="106"/>
  <c r="J9" i="106"/>
  <c r="C10" i="106"/>
  <c r="D10" i="106"/>
  <c r="E10" i="106"/>
  <c r="F10" i="106"/>
  <c r="G10" i="106"/>
  <c r="H10" i="106"/>
  <c r="I10" i="106"/>
  <c r="J10" i="106"/>
  <c r="C11" i="106"/>
  <c r="D11" i="106"/>
  <c r="E11" i="106"/>
  <c r="F11" i="106"/>
  <c r="G11" i="106"/>
  <c r="H11" i="106"/>
  <c r="I11" i="106"/>
  <c r="J11" i="106"/>
  <c r="C12" i="106"/>
  <c r="D12" i="106"/>
  <c r="E12" i="106"/>
  <c r="F12" i="106"/>
  <c r="G12" i="106"/>
  <c r="H12" i="106"/>
  <c r="I12" i="106"/>
  <c r="J12" i="106"/>
  <c r="C13" i="106"/>
  <c r="D13" i="106"/>
  <c r="E13" i="106"/>
  <c r="F13" i="106"/>
  <c r="G13" i="106"/>
  <c r="H13" i="106"/>
  <c r="I13" i="106"/>
  <c r="J13" i="106"/>
  <c r="C14" i="106"/>
  <c r="D14" i="106"/>
  <c r="E14" i="106"/>
  <c r="F14" i="106"/>
  <c r="G14" i="106"/>
  <c r="H14" i="106"/>
  <c r="I14" i="106"/>
  <c r="J14" i="106"/>
  <c r="C15" i="106"/>
  <c r="D15" i="106"/>
  <c r="E15" i="106"/>
  <c r="F15" i="106"/>
  <c r="G15" i="106"/>
  <c r="H15" i="106"/>
  <c r="I15" i="106"/>
  <c r="J15" i="106"/>
  <c r="C16" i="106"/>
  <c r="D16" i="106"/>
  <c r="E16" i="106"/>
  <c r="F16" i="106"/>
  <c r="G16" i="106"/>
  <c r="H16" i="106"/>
  <c r="I16" i="106"/>
  <c r="J16" i="106"/>
  <c r="C17" i="106"/>
  <c r="D17" i="106"/>
  <c r="E17" i="106"/>
  <c r="F17" i="106"/>
  <c r="G17" i="106"/>
  <c r="H17" i="106"/>
  <c r="I17" i="106"/>
  <c r="J17" i="106"/>
  <c r="C18" i="106"/>
  <c r="D18" i="106"/>
  <c r="E18" i="106"/>
  <c r="F18" i="106"/>
  <c r="G18" i="106"/>
  <c r="H18" i="106"/>
  <c r="I18" i="106"/>
  <c r="J18" i="106"/>
  <c r="C19" i="106"/>
  <c r="D19" i="106"/>
  <c r="E19" i="106"/>
  <c r="F19" i="106"/>
  <c r="G19" i="106"/>
  <c r="H19" i="106"/>
  <c r="I19" i="106"/>
  <c r="J19" i="106"/>
  <c r="C20" i="106"/>
  <c r="D20" i="106"/>
  <c r="E20" i="106"/>
  <c r="F20" i="106"/>
  <c r="G20" i="106"/>
  <c r="H20" i="106"/>
  <c r="I20" i="106"/>
  <c r="J20" i="106"/>
  <c r="C21" i="106"/>
  <c r="D21" i="106"/>
  <c r="E21" i="106"/>
  <c r="F21" i="106"/>
  <c r="G21" i="106"/>
  <c r="H21" i="106"/>
  <c r="I21" i="106"/>
  <c r="J21" i="106"/>
  <c r="C22" i="106"/>
  <c r="D22" i="106"/>
  <c r="E22" i="106"/>
  <c r="F22" i="106"/>
  <c r="G22" i="106"/>
  <c r="H22" i="106"/>
  <c r="I22" i="106"/>
  <c r="J22" i="106"/>
  <c r="C23" i="106"/>
  <c r="D23" i="106"/>
  <c r="E23" i="106"/>
  <c r="F23" i="106"/>
  <c r="G23" i="106"/>
  <c r="H23" i="106"/>
  <c r="I23" i="106"/>
  <c r="J23" i="106"/>
  <c r="C24" i="106"/>
  <c r="D24" i="106"/>
  <c r="E24" i="106"/>
  <c r="F24" i="106"/>
  <c r="G24" i="106"/>
  <c r="H24" i="106"/>
  <c r="I24" i="106"/>
  <c r="J24" i="106"/>
  <c r="C25" i="106"/>
  <c r="D25" i="106"/>
  <c r="E25" i="106"/>
  <c r="F25" i="106"/>
  <c r="G25" i="106"/>
  <c r="H25" i="106"/>
  <c r="I25" i="106"/>
  <c r="J25" i="106"/>
  <c r="C26" i="106"/>
  <c r="D26" i="106"/>
  <c r="E26" i="106"/>
  <c r="F26" i="106"/>
  <c r="G26" i="106"/>
  <c r="H26" i="106"/>
  <c r="I26" i="106"/>
  <c r="J26" i="106"/>
  <c r="C27" i="106"/>
  <c r="D27" i="106"/>
  <c r="E27" i="106"/>
  <c r="F27" i="106"/>
  <c r="G27" i="106"/>
  <c r="H27" i="106"/>
  <c r="I27" i="106"/>
  <c r="J27" i="106"/>
  <c r="C28" i="106"/>
  <c r="D28" i="106"/>
  <c r="E28" i="106"/>
  <c r="F28" i="106"/>
  <c r="G28" i="106"/>
  <c r="H28" i="106"/>
  <c r="I28" i="106"/>
  <c r="J28" i="106"/>
  <c r="C29" i="106"/>
  <c r="D29" i="106"/>
  <c r="E29" i="106"/>
  <c r="F29" i="106"/>
  <c r="G29" i="106"/>
  <c r="H29" i="106"/>
  <c r="I29" i="106"/>
  <c r="J29" i="106"/>
  <c r="C30" i="106"/>
  <c r="D30" i="106"/>
  <c r="E30" i="106"/>
  <c r="F30" i="106"/>
  <c r="G30" i="106"/>
  <c r="H30" i="106"/>
  <c r="I30" i="106"/>
  <c r="J30" i="106"/>
  <c r="C31" i="106"/>
  <c r="D31" i="106"/>
  <c r="E31" i="106"/>
  <c r="F31" i="106"/>
  <c r="G31" i="106"/>
  <c r="H31" i="106"/>
  <c r="I31" i="106"/>
  <c r="J31" i="106"/>
  <c r="C32" i="106"/>
  <c r="D32" i="106"/>
  <c r="E32" i="106"/>
  <c r="F32" i="106"/>
  <c r="G32" i="106"/>
  <c r="H32" i="106"/>
  <c r="I32" i="106"/>
  <c r="J32" i="106"/>
  <c r="C33" i="106"/>
  <c r="D33" i="106"/>
  <c r="E33" i="106"/>
  <c r="F33" i="106"/>
  <c r="G33" i="106"/>
  <c r="H33" i="106"/>
  <c r="I33" i="106"/>
  <c r="J33" i="106"/>
  <c r="C34" i="106"/>
  <c r="D34" i="106"/>
  <c r="E34" i="106"/>
  <c r="F34" i="106"/>
  <c r="G34" i="106"/>
  <c r="H34" i="106"/>
  <c r="I34" i="106"/>
  <c r="J34" i="106"/>
  <c r="C35" i="106"/>
  <c r="D35" i="106"/>
  <c r="E35" i="106"/>
  <c r="F35" i="106"/>
  <c r="G35" i="106"/>
  <c r="H35" i="106"/>
  <c r="I35" i="106"/>
  <c r="J35" i="106"/>
  <c r="C36" i="106"/>
  <c r="D36" i="106"/>
  <c r="E36" i="106"/>
  <c r="F36" i="106"/>
  <c r="G36" i="106"/>
  <c r="H36" i="106"/>
  <c r="I36" i="106"/>
  <c r="J36" i="106"/>
  <c r="C37" i="106"/>
  <c r="D37" i="106"/>
  <c r="E37" i="106"/>
  <c r="F37" i="106"/>
  <c r="G37" i="106"/>
  <c r="H37" i="106"/>
  <c r="I37" i="106"/>
  <c r="J37" i="106"/>
  <c r="C38" i="106"/>
  <c r="D38" i="106"/>
  <c r="E38" i="106"/>
  <c r="F38" i="106"/>
  <c r="G38" i="106"/>
  <c r="H38" i="106"/>
  <c r="I38" i="106"/>
  <c r="J38" i="106"/>
  <c r="C39" i="106"/>
  <c r="D39" i="106"/>
  <c r="E39" i="106"/>
  <c r="F39" i="106"/>
  <c r="G39" i="106"/>
  <c r="H39" i="106"/>
  <c r="I39" i="106"/>
  <c r="J39" i="106"/>
  <c r="B2" i="106"/>
  <c r="B3" i="106"/>
  <c r="B4" i="106"/>
  <c r="B5" i="106"/>
  <c r="B6" i="106"/>
  <c r="B7" i="106"/>
  <c r="B8" i="106"/>
  <c r="B9" i="106"/>
  <c r="B10" i="106"/>
  <c r="B11" i="106"/>
  <c r="B12" i="106"/>
  <c r="B13" i="106"/>
  <c r="B14" i="106"/>
  <c r="B15" i="106"/>
  <c r="B16" i="106"/>
  <c r="B17" i="106"/>
  <c r="B18" i="106"/>
  <c r="B19" i="106"/>
  <c r="B20" i="106"/>
  <c r="B21" i="106"/>
  <c r="B22" i="106"/>
  <c r="B23" i="106"/>
  <c r="B24" i="106"/>
  <c r="B25" i="106"/>
  <c r="B26" i="106"/>
  <c r="B27" i="106"/>
  <c r="B28" i="106"/>
  <c r="B29" i="106"/>
  <c r="B30" i="106"/>
  <c r="B31" i="106"/>
  <c r="B32" i="106"/>
  <c r="B33" i="106"/>
  <c r="B34" i="106"/>
  <c r="B35" i="106"/>
  <c r="B36" i="106"/>
  <c r="B37" i="106"/>
  <c r="B38" i="106"/>
  <c r="B39" i="106"/>
  <c r="A39" i="106"/>
  <c r="A2" i="106"/>
  <c r="A3" i="106"/>
  <c r="A4" i="106"/>
  <c r="A5" i="106"/>
  <c r="A6" i="106"/>
  <c r="A7" i="106"/>
  <c r="A8" i="106"/>
  <c r="A9" i="106"/>
  <c r="A10" i="106"/>
  <c r="A11" i="106"/>
  <c r="A12" i="106"/>
  <c r="A13" i="106"/>
  <c r="A14" i="106"/>
  <c r="A15" i="106"/>
  <c r="A16" i="106"/>
  <c r="A17" i="106"/>
  <c r="A18" i="106"/>
  <c r="A19" i="106"/>
  <c r="A20" i="106"/>
  <c r="A21" i="106"/>
  <c r="A22" i="106"/>
  <c r="A23" i="106"/>
  <c r="A24" i="106"/>
  <c r="A25" i="106"/>
  <c r="A26" i="106"/>
  <c r="A27" i="106"/>
  <c r="A28" i="106"/>
  <c r="A29" i="106"/>
  <c r="A30" i="106"/>
  <c r="A31" i="106"/>
  <c r="A32" i="106"/>
  <c r="A33" i="106"/>
  <c r="A34" i="106"/>
  <c r="A35" i="106"/>
  <c r="A36" i="106"/>
  <c r="A37" i="106"/>
  <c r="A38" i="106"/>
  <c r="C30" i="29" l="1"/>
  <c r="B30" i="29"/>
  <c r="A30" i="29"/>
  <c r="C29" i="29"/>
  <c r="B29" i="29"/>
  <c r="A29" i="29"/>
  <c r="C28" i="29"/>
  <c r="B28" i="29"/>
  <c r="A28" i="29"/>
  <c r="C27" i="29"/>
  <c r="B27" i="29"/>
  <c r="A27" i="29"/>
  <c r="C26" i="29"/>
  <c r="B26" i="29"/>
  <c r="A26" i="29"/>
  <c r="C25" i="29"/>
  <c r="B25" i="29"/>
  <c r="A25" i="29"/>
  <c r="C24" i="29"/>
  <c r="B24" i="29"/>
  <c r="A24" i="29"/>
  <c r="C23" i="29"/>
  <c r="B23" i="29"/>
  <c r="A23" i="29"/>
  <c r="C22" i="29"/>
  <c r="B22" i="29"/>
  <c r="A22" i="29"/>
  <c r="C21" i="29"/>
  <c r="B21" i="29"/>
  <c r="A21" i="29"/>
  <c r="C20" i="29"/>
  <c r="B20" i="29"/>
  <c r="A20" i="29"/>
  <c r="C19" i="29"/>
  <c r="B19" i="29"/>
  <c r="A19" i="29"/>
  <c r="C18" i="29"/>
  <c r="B18" i="29"/>
  <c r="A18" i="29"/>
  <c r="C17" i="29"/>
  <c r="B17" i="29"/>
  <c r="A17" i="29"/>
  <c r="C16" i="29"/>
  <c r="B16" i="29"/>
  <c r="A16" i="29"/>
  <c r="C15" i="29"/>
  <c r="B15" i="29"/>
  <c r="A15" i="29"/>
  <c r="C14" i="29"/>
  <c r="B14" i="29"/>
  <c r="A14" i="29"/>
  <c r="C13" i="29"/>
  <c r="B13" i="29"/>
  <c r="A13" i="29"/>
  <c r="C12" i="29"/>
  <c r="B12" i="29"/>
  <c r="A12" i="29"/>
  <c r="C11" i="29"/>
  <c r="B11" i="29"/>
  <c r="A11" i="29"/>
  <c r="C10" i="29"/>
  <c r="B10" i="29"/>
  <c r="A10" i="29"/>
  <c r="C9" i="29"/>
  <c r="B9" i="29"/>
  <c r="A9" i="29"/>
  <c r="C8" i="29"/>
  <c r="B8" i="29"/>
  <c r="A8" i="29"/>
  <c r="C7" i="29"/>
  <c r="B7" i="29"/>
  <c r="A7" i="29"/>
  <c r="C6" i="29"/>
  <c r="B6" i="29"/>
  <c r="A6" i="29"/>
  <c r="C5" i="29"/>
  <c r="B5" i="29"/>
  <c r="A5" i="29"/>
  <c r="C4" i="29"/>
  <c r="B4" i="29"/>
  <c r="A4" i="29"/>
  <c r="C3" i="29"/>
  <c r="B3" i="29"/>
  <c r="A3" i="29"/>
  <c r="C2" i="29"/>
  <c r="B2" i="29"/>
  <c r="A2" i="29"/>
  <c r="C1" i="29"/>
  <c r="B1" i="29"/>
  <c r="A1" i="29"/>
  <c r="AN30" i="2" l="1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3" i="2"/>
  <c r="A4" i="2"/>
  <c r="A5" i="2"/>
  <c r="A6" i="2"/>
  <c r="A2" i="2"/>
  <c r="AO1" i="2" l="1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A3" i="105"/>
  <c r="A4" i="105"/>
  <c r="A5" i="105"/>
  <c r="A6" i="105"/>
  <c r="A7" i="105"/>
  <c r="A8" i="105"/>
  <c r="A9" i="105"/>
  <c r="A10" i="105"/>
  <c r="A11" i="105"/>
  <c r="A2" i="105"/>
  <c r="A11" i="104"/>
  <c r="A10" i="104"/>
  <c r="A9" i="104"/>
  <c r="A8" i="104"/>
  <c r="A7" i="104"/>
  <c r="A6" i="104"/>
  <c r="A5" i="104"/>
  <c r="A4" i="104"/>
  <c r="A3" i="104"/>
  <c r="A2" i="104"/>
  <c r="A3" i="103"/>
  <c r="A4" i="103"/>
  <c r="A5" i="103"/>
  <c r="A6" i="103"/>
  <c r="A7" i="103"/>
  <c r="A8" i="103"/>
  <c r="A9" i="103"/>
  <c r="A10" i="103"/>
  <c r="A11" i="103"/>
  <c r="A2" i="103"/>
  <c r="A3" i="102"/>
  <c r="A4" i="102"/>
  <c r="A5" i="102"/>
  <c r="A6" i="102"/>
  <c r="A7" i="102"/>
  <c r="A8" i="102"/>
  <c r="A9" i="102"/>
  <c r="A10" i="102"/>
  <c r="A11" i="102"/>
  <c r="A2" i="102"/>
  <c r="A3" i="101"/>
  <c r="A4" i="101"/>
  <c r="A5" i="101"/>
  <c r="A6" i="101"/>
  <c r="A7" i="101"/>
  <c r="A8" i="101"/>
  <c r="A9" i="101"/>
  <c r="A10" i="101"/>
  <c r="A11" i="101"/>
  <c r="A2" i="101"/>
  <c r="A11" i="100"/>
  <c r="A10" i="100"/>
  <c r="A9" i="100"/>
  <c r="A8" i="100"/>
  <c r="A7" i="100"/>
  <c r="A6" i="100"/>
  <c r="A5" i="100"/>
  <c r="A4" i="100"/>
  <c r="A3" i="100"/>
  <c r="A2" i="100"/>
  <c r="A11" i="99"/>
  <c r="A10" i="99"/>
  <c r="A9" i="99"/>
  <c r="A8" i="99"/>
  <c r="A7" i="99"/>
  <c r="A6" i="99"/>
  <c r="A5" i="99"/>
  <c r="A4" i="99"/>
  <c r="A3" i="99"/>
  <c r="A2" i="99"/>
  <c r="A11" i="98"/>
  <c r="A10" i="98"/>
  <c r="A9" i="98"/>
  <c r="A8" i="98"/>
  <c r="A7" i="98"/>
  <c r="A6" i="98"/>
  <c r="A5" i="98"/>
  <c r="A4" i="98"/>
  <c r="A3" i="98"/>
  <c r="A2" i="98"/>
  <c r="A11" i="97"/>
  <c r="A10" i="97"/>
  <c r="A9" i="97"/>
  <c r="A8" i="97"/>
  <c r="A7" i="97"/>
  <c r="A6" i="97"/>
  <c r="A5" i="97"/>
  <c r="A4" i="97"/>
  <c r="A3" i="97"/>
  <c r="A2" i="97"/>
  <c r="A11" i="96"/>
  <c r="A10" i="96"/>
  <c r="A9" i="96"/>
  <c r="A8" i="96"/>
  <c r="A7" i="96"/>
  <c r="A6" i="96"/>
  <c r="A5" i="96"/>
  <c r="A4" i="96"/>
  <c r="A3" i="96"/>
  <c r="A2" i="96"/>
  <c r="A11" i="95"/>
  <c r="A10" i="95"/>
  <c r="A9" i="95"/>
  <c r="A8" i="95"/>
  <c r="A7" i="95"/>
  <c r="A6" i="95"/>
  <c r="A5" i="95"/>
  <c r="A4" i="95"/>
  <c r="A3" i="95"/>
  <c r="A2" i="95"/>
  <c r="A11" i="94"/>
  <c r="A10" i="94"/>
  <c r="A9" i="94"/>
  <c r="A8" i="94"/>
  <c r="A7" i="94"/>
  <c r="A6" i="94"/>
  <c r="A5" i="94"/>
  <c r="A4" i="94"/>
  <c r="A3" i="94"/>
  <c r="A2" i="94"/>
  <c r="A11" i="93"/>
  <c r="A10" i="93"/>
  <c r="A9" i="93"/>
  <c r="A8" i="93"/>
  <c r="A7" i="93"/>
  <c r="A6" i="93"/>
  <c r="A5" i="93"/>
  <c r="A4" i="93"/>
  <c r="A3" i="93"/>
  <c r="A2" i="93"/>
  <c r="A11" i="92"/>
  <c r="A10" i="92"/>
  <c r="A9" i="92"/>
  <c r="A8" i="92"/>
  <c r="A7" i="92"/>
  <c r="A6" i="92"/>
  <c r="A5" i="92"/>
  <c r="A4" i="92"/>
  <c r="A3" i="92"/>
  <c r="A2" i="92"/>
  <c r="A11" i="91"/>
  <c r="A10" i="91"/>
  <c r="A9" i="91"/>
  <c r="A8" i="91"/>
  <c r="A7" i="91"/>
  <c r="A6" i="91"/>
  <c r="A5" i="91"/>
  <c r="A4" i="91"/>
  <c r="A3" i="91"/>
  <c r="A2" i="91"/>
  <c r="A11" i="90"/>
  <c r="A10" i="90"/>
  <c r="A9" i="90"/>
  <c r="A8" i="90"/>
  <c r="A7" i="90"/>
  <c r="A6" i="90"/>
  <c r="A5" i="90"/>
  <c r="A4" i="90"/>
  <c r="A3" i="90"/>
  <c r="A2" i="90"/>
  <c r="E2" i="90"/>
  <c r="E3" i="90"/>
  <c r="E4" i="90"/>
  <c r="E5" i="90"/>
  <c r="E6" i="90"/>
  <c r="E7" i="90"/>
  <c r="E8" i="90"/>
  <c r="E9" i="90"/>
  <c r="E10" i="90"/>
  <c r="E11" i="90"/>
  <c r="H4" i="91"/>
  <c r="H5" i="91"/>
  <c r="H6" i="91"/>
  <c r="H7" i="91"/>
  <c r="H8" i="91"/>
  <c r="H9" i="91"/>
  <c r="H10" i="91"/>
  <c r="H11" i="91"/>
  <c r="H1" i="91"/>
  <c r="E2" i="91"/>
  <c r="E3" i="91"/>
  <c r="E4" i="91"/>
  <c r="E5" i="91"/>
  <c r="E6" i="91"/>
  <c r="E7" i="91"/>
  <c r="E8" i="91"/>
  <c r="E9" i="91"/>
  <c r="E10" i="91"/>
  <c r="E11" i="91"/>
  <c r="H2" i="92"/>
  <c r="H3" i="92"/>
  <c r="H4" i="92"/>
  <c r="H5" i="92"/>
  <c r="H6" i="92"/>
  <c r="H7" i="92"/>
  <c r="H8" i="92"/>
  <c r="H9" i="92"/>
  <c r="H10" i="92"/>
  <c r="H11" i="92"/>
  <c r="H1" i="92"/>
  <c r="E2" i="92"/>
  <c r="E3" i="92"/>
  <c r="E4" i="92"/>
  <c r="E5" i="92"/>
  <c r="E6" i="92"/>
  <c r="E7" i="92"/>
  <c r="E8" i="92"/>
  <c r="E9" i="92"/>
  <c r="E10" i="92"/>
  <c r="E11" i="92"/>
  <c r="H2" i="93"/>
  <c r="H3" i="93"/>
  <c r="H4" i="93"/>
  <c r="H5" i="93"/>
  <c r="H6" i="93"/>
  <c r="H7" i="93"/>
  <c r="H8" i="93"/>
  <c r="H9" i="93"/>
  <c r="H10" i="93"/>
  <c r="H11" i="93"/>
  <c r="H1" i="93"/>
  <c r="E2" i="93"/>
  <c r="E3" i="93"/>
  <c r="E4" i="93"/>
  <c r="E5" i="93"/>
  <c r="E6" i="93"/>
  <c r="E7" i="93"/>
  <c r="E8" i="93"/>
  <c r="E9" i="93"/>
  <c r="E10" i="93"/>
  <c r="E11" i="93"/>
  <c r="H2" i="94"/>
  <c r="I2" i="94"/>
  <c r="H3" i="94"/>
  <c r="I3" i="94"/>
  <c r="H4" i="94"/>
  <c r="I4" i="94"/>
  <c r="H5" i="94"/>
  <c r="I5" i="94"/>
  <c r="H6" i="94"/>
  <c r="I6" i="94"/>
  <c r="H7" i="94"/>
  <c r="I7" i="94"/>
  <c r="H8" i="94"/>
  <c r="I8" i="94"/>
  <c r="H9" i="94"/>
  <c r="I9" i="94"/>
  <c r="H10" i="94"/>
  <c r="I10" i="94"/>
  <c r="H11" i="94"/>
  <c r="I11" i="94"/>
  <c r="I1" i="94"/>
  <c r="H1" i="94"/>
  <c r="E2" i="94"/>
  <c r="E3" i="94"/>
  <c r="E4" i="94"/>
  <c r="E5" i="94"/>
  <c r="E6" i="94"/>
  <c r="E7" i="94"/>
  <c r="E8" i="94"/>
  <c r="E9" i="94"/>
  <c r="E10" i="94"/>
  <c r="E11" i="94"/>
  <c r="H2" i="95"/>
  <c r="I2" i="95"/>
  <c r="H3" i="95"/>
  <c r="I3" i="95"/>
  <c r="H4" i="95"/>
  <c r="I4" i="95"/>
  <c r="H5" i="95"/>
  <c r="I5" i="95"/>
  <c r="H6" i="95"/>
  <c r="I6" i="95"/>
  <c r="H7" i="95"/>
  <c r="I7" i="95"/>
  <c r="H8" i="95"/>
  <c r="I8" i="95"/>
  <c r="H9" i="95"/>
  <c r="I9" i="95"/>
  <c r="H10" i="95"/>
  <c r="I10" i="95"/>
  <c r="H11" i="95"/>
  <c r="I11" i="95"/>
  <c r="I1" i="95"/>
  <c r="H1" i="95"/>
  <c r="E2" i="95"/>
  <c r="E3" i="95"/>
  <c r="E4" i="95"/>
  <c r="E5" i="95"/>
  <c r="E6" i="95"/>
  <c r="E7" i="95"/>
  <c r="E8" i="95"/>
  <c r="E9" i="95"/>
  <c r="E10" i="95"/>
  <c r="E11" i="95"/>
  <c r="H6" i="96"/>
  <c r="H7" i="96"/>
  <c r="H8" i="96"/>
  <c r="H9" i="96"/>
  <c r="H10" i="96"/>
  <c r="H11" i="96"/>
  <c r="H1" i="96"/>
  <c r="E2" i="96"/>
  <c r="E3" i="96"/>
  <c r="E4" i="96"/>
  <c r="E5" i="96"/>
  <c r="E6" i="96"/>
  <c r="E7" i="96"/>
  <c r="E8" i="96"/>
  <c r="E9" i="96"/>
  <c r="E10" i="96"/>
  <c r="E11" i="96"/>
  <c r="E2" i="97"/>
  <c r="E3" i="97"/>
  <c r="E4" i="97"/>
  <c r="E5" i="97"/>
  <c r="E6" i="97"/>
  <c r="E7" i="97"/>
  <c r="E8" i="97"/>
  <c r="E9" i="97"/>
  <c r="E10" i="97"/>
  <c r="E11" i="97"/>
  <c r="H2" i="97"/>
  <c r="H3" i="97"/>
  <c r="H4" i="97"/>
  <c r="H5" i="97"/>
  <c r="H6" i="97"/>
  <c r="H7" i="97"/>
  <c r="H8" i="97"/>
  <c r="H9" i="97"/>
  <c r="H10" i="97"/>
  <c r="H11" i="97"/>
  <c r="H1" i="97"/>
  <c r="H4" i="98"/>
  <c r="H5" i="98"/>
  <c r="H6" i="98"/>
  <c r="H7" i="98"/>
  <c r="H8" i="98"/>
  <c r="H9" i="98"/>
  <c r="H10" i="98"/>
  <c r="H11" i="98"/>
  <c r="H1" i="98"/>
  <c r="I1" i="99"/>
  <c r="H1" i="99"/>
  <c r="H1" i="100"/>
  <c r="H1" i="101"/>
  <c r="J1" i="102"/>
  <c r="I1" i="102"/>
  <c r="H1" i="102"/>
  <c r="I1" i="103"/>
  <c r="H1" i="103"/>
  <c r="I1" i="104"/>
  <c r="H1" i="104"/>
  <c r="H1" i="105"/>
  <c r="E2" i="98"/>
  <c r="E3" i="98"/>
  <c r="E4" i="98"/>
  <c r="E5" i="98"/>
  <c r="E6" i="98"/>
  <c r="E7" i="98"/>
  <c r="E8" i="98"/>
  <c r="E9" i="98"/>
  <c r="E10" i="98"/>
  <c r="E11" i="98"/>
  <c r="H2" i="99"/>
  <c r="I2" i="99"/>
  <c r="H3" i="99"/>
  <c r="I3" i="99"/>
  <c r="H4" i="99"/>
  <c r="I4" i="99"/>
  <c r="H5" i="99"/>
  <c r="I5" i="99"/>
  <c r="H6" i="99"/>
  <c r="I6" i="99"/>
  <c r="H7" i="99"/>
  <c r="I7" i="99"/>
  <c r="H8" i="99"/>
  <c r="I8" i="99"/>
  <c r="H9" i="99"/>
  <c r="I9" i="99"/>
  <c r="H10" i="99"/>
  <c r="I10" i="99"/>
  <c r="H11" i="99"/>
  <c r="I11" i="99"/>
  <c r="E2" i="99"/>
  <c r="E3" i="99"/>
  <c r="E4" i="99"/>
  <c r="E5" i="99"/>
  <c r="E6" i="99"/>
  <c r="E7" i="99"/>
  <c r="E8" i="99"/>
  <c r="E9" i="99"/>
  <c r="E10" i="99"/>
  <c r="E11" i="99"/>
  <c r="H2" i="100"/>
  <c r="H3" i="100"/>
  <c r="H4" i="100"/>
  <c r="H5" i="100"/>
  <c r="H6" i="100"/>
  <c r="H7" i="100"/>
  <c r="H8" i="100"/>
  <c r="H9" i="100"/>
  <c r="H10" i="100"/>
  <c r="H11" i="100"/>
  <c r="E2" i="100"/>
  <c r="E3" i="100"/>
  <c r="E4" i="100"/>
  <c r="E5" i="100"/>
  <c r="E6" i="100"/>
  <c r="E7" i="100"/>
  <c r="E8" i="100"/>
  <c r="E9" i="100"/>
  <c r="E10" i="100"/>
  <c r="E11" i="100"/>
  <c r="H4" i="101"/>
  <c r="H5" i="101"/>
  <c r="H6" i="101"/>
  <c r="H7" i="101"/>
  <c r="H8" i="101"/>
  <c r="H9" i="101"/>
  <c r="H10" i="101"/>
  <c r="H11" i="101"/>
  <c r="E2" i="101"/>
  <c r="E3" i="101"/>
  <c r="E4" i="101"/>
  <c r="E5" i="101"/>
  <c r="E6" i="101"/>
  <c r="E7" i="101"/>
  <c r="E8" i="101"/>
  <c r="E9" i="101"/>
  <c r="E10" i="101"/>
  <c r="E11" i="101"/>
  <c r="H2" i="102"/>
  <c r="I2" i="102"/>
  <c r="J2" i="102"/>
  <c r="H3" i="102"/>
  <c r="I3" i="102"/>
  <c r="J3" i="102"/>
  <c r="H4" i="102"/>
  <c r="I4" i="102"/>
  <c r="J4" i="102"/>
  <c r="H5" i="102"/>
  <c r="I5" i="102"/>
  <c r="J5" i="102"/>
  <c r="H6" i="102"/>
  <c r="I6" i="102"/>
  <c r="J6" i="102"/>
  <c r="H7" i="102"/>
  <c r="I7" i="102"/>
  <c r="J7" i="102"/>
  <c r="H8" i="102"/>
  <c r="I8" i="102"/>
  <c r="J8" i="102"/>
  <c r="H9" i="102"/>
  <c r="I9" i="102"/>
  <c r="J9" i="102"/>
  <c r="H10" i="102"/>
  <c r="I10" i="102"/>
  <c r="J10" i="102"/>
  <c r="H11" i="102"/>
  <c r="I11" i="102"/>
  <c r="J11" i="102"/>
  <c r="E2" i="102"/>
  <c r="E3" i="102"/>
  <c r="E4" i="102"/>
  <c r="E5" i="102"/>
  <c r="E6" i="102"/>
  <c r="E7" i="102"/>
  <c r="E8" i="102"/>
  <c r="E9" i="102"/>
  <c r="E10" i="102"/>
  <c r="E11" i="102"/>
  <c r="E2" i="103"/>
  <c r="H2" i="103"/>
  <c r="I2" i="103"/>
  <c r="E3" i="103"/>
  <c r="H3" i="103"/>
  <c r="I3" i="103"/>
  <c r="E4" i="103"/>
  <c r="H4" i="103"/>
  <c r="I4" i="103"/>
  <c r="E5" i="103"/>
  <c r="H5" i="103"/>
  <c r="I5" i="103"/>
  <c r="E6" i="103"/>
  <c r="H6" i="103"/>
  <c r="I6" i="103"/>
  <c r="E7" i="103"/>
  <c r="H7" i="103"/>
  <c r="I7" i="103"/>
  <c r="E8" i="103"/>
  <c r="H8" i="103"/>
  <c r="I8" i="103"/>
  <c r="E9" i="103"/>
  <c r="H9" i="103"/>
  <c r="I9" i="103"/>
  <c r="E10" i="103"/>
  <c r="H10" i="103"/>
  <c r="I10" i="103"/>
  <c r="E11" i="103"/>
  <c r="H11" i="103"/>
  <c r="I11" i="103"/>
  <c r="H2" i="104"/>
  <c r="I2" i="104"/>
  <c r="H3" i="104"/>
  <c r="I3" i="104"/>
  <c r="H4" i="104"/>
  <c r="I4" i="104"/>
  <c r="H5" i="104"/>
  <c r="I5" i="104"/>
  <c r="H6" i="104"/>
  <c r="I6" i="104"/>
  <c r="H7" i="104"/>
  <c r="I7" i="104"/>
  <c r="H8" i="104"/>
  <c r="I8" i="104"/>
  <c r="H9" i="104"/>
  <c r="I9" i="104"/>
  <c r="H10" i="104"/>
  <c r="I10" i="104"/>
  <c r="H11" i="104"/>
  <c r="I11" i="104"/>
  <c r="E2" i="104"/>
  <c r="E3" i="104"/>
  <c r="E4" i="104"/>
  <c r="E5" i="104"/>
  <c r="E6" i="104"/>
  <c r="E7" i="104"/>
  <c r="E8" i="104"/>
  <c r="E9" i="104"/>
  <c r="E10" i="104"/>
  <c r="E11" i="104"/>
  <c r="H4" i="105"/>
  <c r="H5" i="105"/>
  <c r="H6" i="105"/>
  <c r="H7" i="105"/>
  <c r="H8" i="105"/>
  <c r="H9" i="105"/>
  <c r="H10" i="105"/>
  <c r="H11" i="105"/>
  <c r="E11" i="105"/>
  <c r="E10" i="105"/>
  <c r="E9" i="105"/>
  <c r="E8" i="105"/>
  <c r="E7" i="105"/>
  <c r="E6" i="105"/>
  <c r="E5" i="105"/>
  <c r="E4" i="105"/>
  <c r="E3" i="105"/>
  <c r="E2" i="105"/>
  <c r="B2" i="105"/>
  <c r="C2" i="105"/>
  <c r="D2" i="105"/>
  <c r="B3" i="105"/>
  <c r="C3" i="105"/>
  <c r="D3" i="105"/>
  <c r="B4" i="105"/>
  <c r="C4" i="105"/>
  <c r="D4" i="105"/>
  <c r="B5" i="105"/>
  <c r="C5" i="105"/>
  <c r="D5" i="105"/>
  <c r="B6" i="105"/>
  <c r="C6" i="105"/>
  <c r="D6" i="105"/>
  <c r="B7" i="105"/>
  <c r="C7" i="105"/>
  <c r="D7" i="105"/>
  <c r="B8" i="105"/>
  <c r="C8" i="105"/>
  <c r="D8" i="105"/>
  <c r="B9" i="105"/>
  <c r="C9" i="105"/>
  <c r="D9" i="105"/>
  <c r="B10" i="105"/>
  <c r="C10" i="105"/>
  <c r="D10" i="105"/>
  <c r="B11" i="105"/>
  <c r="C11" i="105"/>
  <c r="D11" i="105"/>
  <c r="B2" i="104"/>
  <c r="C2" i="104"/>
  <c r="D2" i="104"/>
  <c r="B3" i="104"/>
  <c r="C3" i="104"/>
  <c r="D3" i="104"/>
  <c r="B4" i="104"/>
  <c r="C4" i="104"/>
  <c r="D4" i="104"/>
  <c r="B5" i="104"/>
  <c r="C5" i="104"/>
  <c r="D5" i="104"/>
  <c r="B6" i="104"/>
  <c r="C6" i="104"/>
  <c r="D6" i="104"/>
  <c r="B7" i="104"/>
  <c r="C7" i="104"/>
  <c r="D7" i="104"/>
  <c r="B8" i="104"/>
  <c r="C8" i="104"/>
  <c r="D8" i="104"/>
  <c r="B9" i="104"/>
  <c r="C9" i="104"/>
  <c r="D9" i="104"/>
  <c r="B10" i="104"/>
  <c r="C10" i="104"/>
  <c r="D10" i="104"/>
  <c r="B11" i="104"/>
  <c r="C11" i="104"/>
  <c r="D11" i="104"/>
  <c r="B2" i="103"/>
  <c r="C2" i="103"/>
  <c r="D2" i="103"/>
  <c r="B3" i="103"/>
  <c r="C3" i="103"/>
  <c r="D3" i="103"/>
  <c r="B4" i="103"/>
  <c r="C4" i="103"/>
  <c r="D4" i="103"/>
  <c r="B5" i="103"/>
  <c r="C5" i="103"/>
  <c r="D5" i="103"/>
  <c r="B6" i="103"/>
  <c r="C6" i="103"/>
  <c r="D6" i="103"/>
  <c r="B7" i="103"/>
  <c r="C7" i="103"/>
  <c r="D7" i="103"/>
  <c r="B8" i="103"/>
  <c r="C8" i="103"/>
  <c r="D8" i="103"/>
  <c r="B9" i="103"/>
  <c r="C9" i="103"/>
  <c r="D9" i="103"/>
  <c r="B10" i="103"/>
  <c r="C10" i="103"/>
  <c r="D10" i="103"/>
  <c r="B11" i="103"/>
  <c r="C11" i="103"/>
  <c r="D11" i="103"/>
  <c r="B2" i="102"/>
  <c r="C2" i="102"/>
  <c r="D2" i="102"/>
  <c r="B3" i="102"/>
  <c r="C3" i="102"/>
  <c r="D3" i="102"/>
  <c r="B4" i="102"/>
  <c r="C4" i="102"/>
  <c r="D4" i="102"/>
  <c r="B5" i="102"/>
  <c r="C5" i="102"/>
  <c r="D5" i="102"/>
  <c r="B6" i="102"/>
  <c r="C6" i="102"/>
  <c r="D6" i="102"/>
  <c r="B7" i="102"/>
  <c r="C7" i="102"/>
  <c r="D7" i="102"/>
  <c r="B8" i="102"/>
  <c r="C8" i="102"/>
  <c r="D8" i="102"/>
  <c r="B9" i="102"/>
  <c r="C9" i="102"/>
  <c r="D9" i="102"/>
  <c r="B10" i="102"/>
  <c r="C10" i="102"/>
  <c r="D10" i="102"/>
  <c r="B11" i="102"/>
  <c r="C11" i="102"/>
  <c r="D11" i="102"/>
  <c r="D11" i="101"/>
  <c r="C11" i="101"/>
  <c r="B11" i="101"/>
  <c r="D10" i="101"/>
  <c r="C10" i="101"/>
  <c r="B10" i="101"/>
  <c r="D9" i="101"/>
  <c r="C9" i="101"/>
  <c r="B9" i="101"/>
  <c r="D8" i="101"/>
  <c r="C8" i="101"/>
  <c r="B8" i="101"/>
  <c r="D7" i="101"/>
  <c r="C7" i="101"/>
  <c r="B7" i="101"/>
  <c r="D6" i="101"/>
  <c r="C6" i="101"/>
  <c r="B6" i="101"/>
  <c r="D5" i="101"/>
  <c r="C5" i="101"/>
  <c r="B5" i="101"/>
  <c r="D4" i="101"/>
  <c r="C4" i="101"/>
  <c r="B4" i="101"/>
  <c r="D3" i="101"/>
  <c r="C3" i="101"/>
  <c r="B3" i="101"/>
  <c r="D2" i="101"/>
  <c r="C2" i="101"/>
  <c r="B2" i="101"/>
  <c r="D11" i="100"/>
  <c r="C11" i="100"/>
  <c r="B11" i="100"/>
  <c r="D10" i="100"/>
  <c r="C10" i="100"/>
  <c r="B10" i="100"/>
  <c r="D9" i="100"/>
  <c r="C9" i="100"/>
  <c r="B9" i="100"/>
  <c r="D8" i="100"/>
  <c r="C8" i="100"/>
  <c r="B8" i="100"/>
  <c r="D7" i="100"/>
  <c r="C7" i="100"/>
  <c r="B7" i="100"/>
  <c r="D6" i="100"/>
  <c r="C6" i="100"/>
  <c r="B6" i="100"/>
  <c r="D5" i="100"/>
  <c r="C5" i="100"/>
  <c r="B5" i="100"/>
  <c r="D4" i="100"/>
  <c r="C4" i="100"/>
  <c r="B4" i="100"/>
  <c r="D3" i="100"/>
  <c r="C3" i="100"/>
  <c r="B3" i="100"/>
  <c r="D2" i="100"/>
  <c r="C2" i="100"/>
  <c r="B2" i="100"/>
  <c r="B2" i="99"/>
  <c r="C2" i="99"/>
  <c r="D2" i="99"/>
  <c r="B3" i="99"/>
  <c r="C3" i="99"/>
  <c r="D3" i="99"/>
  <c r="B4" i="99"/>
  <c r="C4" i="99"/>
  <c r="D4" i="99"/>
  <c r="B5" i="99"/>
  <c r="C5" i="99"/>
  <c r="D5" i="99"/>
  <c r="B6" i="99"/>
  <c r="C6" i="99"/>
  <c r="D6" i="99"/>
  <c r="B7" i="99"/>
  <c r="C7" i="99"/>
  <c r="D7" i="99"/>
  <c r="B8" i="99"/>
  <c r="C8" i="99"/>
  <c r="D8" i="99"/>
  <c r="B9" i="99"/>
  <c r="C9" i="99"/>
  <c r="D9" i="99"/>
  <c r="B10" i="99"/>
  <c r="C10" i="99"/>
  <c r="D10" i="99"/>
  <c r="B11" i="99"/>
  <c r="C11" i="99"/>
  <c r="D11" i="99"/>
  <c r="B2" i="98"/>
  <c r="C2" i="98"/>
  <c r="D2" i="98"/>
  <c r="B3" i="98"/>
  <c r="C3" i="98"/>
  <c r="D3" i="98"/>
  <c r="B4" i="98"/>
  <c r="C4" i="98"/>
  <c r="D4" i="98"/>
  <c r="B5" i="98"/>
  <c r="C5" i="98"/>
  <c r="D5" i="98"/>
  <c r="B6" i="98"/>
  <c r="C6" i="98"/>
  <c r="D6" i="98"/>
  <c r="B7" i="98"/>
  <c r="C7" i="98"/>
  <c r="D7" i="98"/>
  <c r="B8" i="98"/>
  <c r="C8" i="98"/>
  <c r="D8" i="98"/>
  <c r="B9" i="98"/>
  <c r="C9" i="98"/>
  <c r="D9" i="98"/>
  <c r="B10" i="98"/>
  <c r="C10" i="98"/>
  <c r="D10" i="98"/>
  <c r="B11" i="98"/>
  <c r="C11" i="98"/>
  <c r="D11" i="98"/>
  <c r="B2" i="97"/>
  <c r="C2" i="97"/>
  <c r="D2" i="97"/>
  <c r="B3" i="97"/>
  <c r="C3" i="97"/>
  <c r="D3" i="97"/>
  <c r="B4" i="97"/>
  <c r="C4" i="97"/>
  <c r="D4" i="97"/>
  <c r="B5" i="97"/>
  <c r="C5" i="97"/>
  <c r="D5" i="97"/>
  <c r="B6" i="97"/>
  <c r="C6" i="97"/>
  <c r="D6" i="97"/>
  <c r="B7" i="97"/>
  <c r="C7" i="97"/>
  <c r="D7" i="97"/>
  <c r="B8" i="97"/>
  <c r="C8" i="97"/>
  <c r="D8" i="97"/>
  <c r="B9" i="97"/>
  <c r="C9" i="97"/>
  <c r="D9" i="97"/>
  <c r="B10" i="97"/>
  <c r="C10" i="97"/>
  <c r="D10" i="97"/>
  <c r="B11" i="97"/>
  <c r="C11" i="97"/>
  <c r="D11" i="97"/>
  <c r="B2" i="96"/>
  <c r="C2" i="96"/>
  <c r="D2" i="96"/>
  <c r="B3" i="96"/>
  <c r="C3" i="96"/>
  <c r="D3" i="96"/>
  <c r="B4" i="96"/>
  <c r="C4" i="96"/>
  <c r="D4" i="96"/>
  <c r="B5" i="96"/>
  <c r="C5" i="96"/>
  <c r="D5" i="96"/>
  <c r="B6" i="96"/>
  <c r="C6" i="96"/>
  <c r="D6" i="96"/>
  <c r="B7" i="96"/>
  <c r="C7" i="96"/>
  <c r="D7" i="96"/>
  <c r="B8" i="96"/>
  <c r="C8" i="96"/>
  <c r="D8" i="96"/>
  <c r="B9" i="96"/>
  <c r="C9" i="96"/>
  <c r="D9" i="96"/>
  <c r="B10" i="96"/>
  <c r="C10" i="96"/>
  <c r="D10" i="96"/>
  <c r="B11" i="96"/>
  <c r="C11" i="96"/>
  <c r="D11" i="96"/>
  <c r="B2" i="95"/>
  <c r="C2" i="95"/>
  <c r="D2" i="95"/>
  <c r="B3" i="95"/>
  <c r="C3" i="95"/>
  <c r="D3" i="95"/>
  <c r="B4" i="95"/>
  <c r="C4" i="95"/>
  <c r="D4" i="95"/>
  <c r="B5" i="95"/>
  <c r="C5" i="95"/>
  <c r="D5" i="95"/>
  <c r="B6" i="95"/>
  <c r="C6" i="95"/>
  <c r="D6" i="95"/>
  <c r="B7" i="95"/>
  <c r="C7" i="95"/>
  <c r="D7" i="95"/>
  <c r="B8" i="95"/>
  <c r="C8" i="95"/>
  <c r="D8" i="95"/>
  <c r="B9" i="95"/>
  <c r="C9" i="95"/>
  <c r="D9" i="95"/>
  <c r="B10" i="95"/>
  <c r="C10" i="95"/>
  <c r="D10" i="95"/>
  <c r="B11" i="95"/>
  <c r="C11" i="95"/>
  <c r="D11" i="95"/>
  <c r="B2" i="94"/>
  <c r="C2" i="94"/>
  <c r="D2" i="94"/>
  <c r="B3" i="94"/>
  <c r="C3" i="94"/>
  <c r="D3" i="94"/>
  <c r="B4" i="94"/>
  <c r="C4" i="94"/>
  <c r="D4" i="94"/>
  <c r="B5" i="94"/>
  <c r="C5" i="94"/>
  <c r="D5" i="94"/>
  <c r="B6" i="94"/>
  <c r="C6" i="94"/>
  <c r="D6" i="94"/>
  <c r="B7" i="94"/>
  <c r="C7" i="94"/>
  <c r="D7" i="94"/>
  <c r="B8" i="94"/>
  <c r="C8" i="94"/>
  <c r="D8" i="94"/>
  <c r="B9" i="94"/>
  <c r="C9" i="94"/>
  <c r="D9" i="94"/>
  <c r="B10" i="94"/>
  <c r="C10" i="94"/>
  <c r="D10" i="94"/>
  <c r="B11" i="94"/>
  <c r="C11" i="94"/>
  <c r="D11" i="94"/>
  <c r="D2" i="93"/>
  <c r="D3" i="93"/>
  <c r="D4" i="93"/>
  <c r="D5" i="93"/>
  <c r="D6" i="93"/>
  <c r="D7" i="93"/>
  <c r="D8" i="93"/>
  <c r="D9" i="93"/>
  <c r="D10" i="93"/>
  <c r="D11" i="93"/>
  <c r="C2" i="93"/>
  <c r="C3" i="93"/>
  <c r="C4" i="93"/>
  <c r="C5" i="93"/>
  <c r="C6" i="93"/>
  <c r="C7" i="93"/>
  <c r="C8" i="93"/>
  <c r="C9" i="93"/>
  <c r="C10" i="93"/>
  <c r="C11" i="93"/>
  <c r="B2" i="93"/>
  <c r="B3" i="93"/>
  <c r="B4" i="93"/>
  <c r="B5" i="93"/>
  <c r="B6" i="93"/>
  <c r="B7" i="93"/>
  <c r="B8" i="93"/>
  <c r="B9" i="93"/>
  <c r="B10" i="93"/>
  <c r="B11" i="93"/>
  <c r="D2" i="92"/>
  <c r="D3" i="92"/>
  <c r="D4" i="92"/>
  <c r="D5" i="92"/>
  <c r="D6" i="92"/>
  <c r="D7" i="92"/>
  <c r="D8" i="92"/>
  <c r="D9" i="92"/>
  <c r="D10" i="92"/>
  <c r="D11" i="92"/>
  <c r="C2" i="92"/>
  <c r="C3" i="92"/>
  <c r="C4" i="92"/>
  <c r="C5" i="92"/>
  <c r="C6" i="92"/>
  <c r="C7" i="92"/>
  <c r="C8" i="92"/>
  <c r="C9" i="92"/>
  <c r="C10" i="92"/>
  <c r="C11" i="92"/>
  <c r="B2" i="92"/>
  <c r="B3" i="92"/>
  <c r="B4" i="92"/>
  <c r="B5" i="92"/>
  <c r="B6" i="92"/>
  <c r="B7" i="92"/>
  <c r="B8" i="92"/>
  <c r="B9" i="92"/>
  <c r="B10" i="92"/>
  <c r="B11" i="92"/>
  <c r="D11" i="91"/>
  <c r="D10" i="91"/>
  <c r="D9" i="91"/>
  <c r="D8" i="91"/>
  <c r="D7" i="91"/>
  <c r="D6" i="91"/>
  <c r="D5" i="91"/>
  <c r="D4" i="91"/>
  <c r="D3" i="91"/>
  <c r="D2" i="91"/>
  <c r="C11" i="91"/>
  <c r="C10" i="91"/>
  <c r="C9" i="91"/>
  <c r="C8" i="91"/>
  <c r="C7" i="91"/>
  <c r="C6" i="91"/>
  <c r="C5" i="91"/>
  <c r="C4" i="91"/>
  <c r="C3" i="91"/>
  <c r="C2" i="91"/>
  <c r="B2" i="91"/>
  <c r="B3" i="91"/>
  <c r="B4" i="91"/>
  <c r="B5" i="91"/>
  <c r="B6" i="91"/>
  <c r="B7" i="91"/>
  <c r="B8" i="91"/>
  <c r="B9" i="91"/>
  <c r="B10" i="91"/>
  <c r="B11" i="91"/>
  <c r="H11" i="90" l="1"/>
  <c r="H10" i="90"/>
  <c r="H9" i="90"/>
  <c r="H8" i="90"/>
  <c r="H7" i="90"/>
  <c r="H6" i="90"/>
  <c r="H5" i="90"/>
  <c r="D11" i="90"/>
  <c r="D10" i="90"/>
  <c r="D9" i="90"/>
  <c r="D8" i="90"/>
  <c r="D7" i="90"/>
  <c r="D6" i="90"/>
  <c r="D5" i="90"/>
  <c r="D4" i="90"/>
  <c r="D3" i="90"/>
  <c r="D2" i="90"/>
  <c r="C11" i="90"/>
  <c r="C10" i="90"/>
  <c r="C9" i="90"/>
  <c r="C8" i="90"/>
  <c r="C7" i="90"/>
  <c r="C6" i="90"/>
  <c r="C5" i="90"/>
  <c r="C4" i="90"/>
  <c r="C3" i="90"/>
  <c r="C2" i="90"/>
  <c r="B2" i="90"/>
  <c r="B3" i="90"/>
  <c r="B4" i="90"/>
  <c r="B5" i="90"/>
  <c r="B6" i="90"/>
  <c r="B7" i="90"/>
  <c r="B8" i="90"/>
  <c r="B9" i="90"/>
  <c r="B10" i="90"/>
  <c r="B11" i="90"/>
  <c r="H2" i="96" l="1"/>
  <c r="H2" i="105" l="1"/>
  <c r="H2" i="98"/>
  <c r="H2" i="101"/>
  <c r="H4" i="96" l="1"/>
  <c r="H2" i="91" l="1"/>
  <c r="H3" i="96" l="1"/>
  <c r="H3" i="101"/>
  <c r="H3" i="105"/>
  <c r="H3" i="98"/>
  <c r="H5" i="96" l="1"/>
  <c r="H3" i="91"/>
  <c r="H3" i="90" l="1"/>
  <c r="H2" i="90"/>
  <c r="H4" i="90"/>
</calcChain>
</file>

<file path=xl/sharedStrings.xml><?xml version="1.0" encoding="utf-8"?>
<sst xmlns="http://schemas.openxmlformats.org/spreadsheetml/2006/main" count="124" uniqueCount="26">
  <si>
    <t>Level</t>
    <phoneticPr fontId="1" type="noConversion"/>
  </si>
  <si>
    <t>Juqi</t>
    <phoneticPr fontId="1" type="noConversion"/>
  </si>
  <si>
    <t>Name</t>
    <phoneticPr fontId="1" type="noConversion"/>
  </si>
  <si>
    <t>CardLevelNeed</t>
    <phoneticPr fontId="1" type="noConversion"/>
  </si>
  <si>
    <t>Fabao</t>
    <phoneticPr fontId="1" type="noConversion"/>
  </si>
  <si>
    <t>Type</t>
    <phoneticPr fontId="1" type="noConversion"/>
  </si>
  <si>
    <t>Type</t>
    <phoneticPr fontId="1" type="noConversion"/>
  </si>
  <si>
    <t>DebufRound</t>
    <phoneticPr fontId="1" type="noConversion"/>
  </si>
  <si>
    <t>BuffRound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</si>
  <si>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</si>
  <si>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</si>
  <si>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</si>
  <si>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</si>
  <si>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</si>
  <si>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</si>
  <si>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Renwu</t>
    <phoneticPr fontId="1" type="noConversion"/>
  </si>
  <si>
    <t>FabaoName</t>
    <phoneticPr fontId="1" type="noConversion"/>
  </si>
  <si>
    <t>FragNum</t>
    <phoneticPr fontId="1" type="noConversion"/>
  </si>
  <si>
    <t>Type</t>
    <phoneticPr fontId="1" type="noConversion"/>
  </si>
  <si>
    <t>RecoverCDRound</t>
    <phoneticPr fontId="1" type="noConversion"/>
  </si>
  <si>
    <t>AbsorbCD</t>
    <phoneticPr fontId="1" type="noConversion"/>
  </si>
  <si>
    <t>Level0_1Num</t>
    <phoneticPr fontId="1" type="noConversion"/>
  </si>
  <si>
    <t>Level1_2Num</t>
    <phoneticPr fontId="1" type="noConversion"/>
  </si>
  <si>
    <t>Level2_3Num</t>
    <phoneticPr fontId="1" type="noConversion"/>
  </si>
  <si>
    <t>Level3_4Num</t>
    <phoneticPr fontId="1" type="noConversion"/>
  </si>
  <si>
    <t>Level4_5Num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</si>
</sst>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</xdr:row>
          <xdr:rowOff>28575</xdr:rowOff>
        </xdr:from>
        <xdr:to>
          <xdr:col>6</xdr:col>
          <xdr:colOff>609600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6631;&#20934;&#25968;&#205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设计与公式"/>
      <sheetName val="玩家卡牌配置表"/>
      <sheetName val="道具配置表"/>
      <sheetName val="卡牌时间战力"/>
      <sheetName val="卡牌等级战力"/>
      <sheetName val="卡牌配置表"/>
      <sheetName val="法宝等级"/>
      <sheetName val="技能设计"/>
      <sheetName val="法宝配置表"/>
      <sheetName val="法宝人物匹配"/>
      <sheetName val="基准卡牌配置"/>
    </sheetNames>
    <sheetDataSet>
      <sheetData sheetId="0"/>
      <sheetData sheetId="1">
        <row r="1">
          <cell r="A1" t="str">
            <v>PlayerCardID</v>
          </cell>
          <cell r="B1" t="str">
            <v>Name</v>
          </cell>
          <cell r="C1" t="str">
            <v>Desc</v>
          </cell>
        </row>
        <row r="2">
          <cell r="A2">
            <v>1</v>
          </cell>
          <cell r="B2" t="str">
            <v>C_TangSangzang</v>
          </cell>
          <cell r="C2" t="str">
            <v>唐三藏</v>
          </cell>
        </row>
        <row r="3">
          <cell r="A3">
            <v>2</v>
          </cell>
          <cell r="B3" t="str">
            <v>C_SunWukong</v>
          </cell>
          <cell r="C3" t="str">
            <v>孙悟空</v>
          </cell>
        </row>
        <row r="4">
          <cell r="A4">
            <v>3</v>
          </cell>
          <cell r="B4" t="str">
            <v>C_ZhuBajie</v>
          </cell>
          <cell r="C4" t="str">
            <v>猪八戒</v>
          </cell>
        </row>
        <row r="5">
          <cell r="A5">
            <v>4</v>
          </cell>
          <cell r="B5" t="str">
            <v>C_ShaHeshang</v>
          </cell>
          <cell r="C5" t="str">
            <v>沙和尚</v>
          </cell>
        </row>
        <row r="6">
          <cell r="A6">
            <v>5</v>
          </cell>
          <cell r="B6" t="str">
            <v>C_BaiLongma</v>
          </cell>
          <cell r="C6" t="str">
            <v>小白龙</v>
          </cell>
        </row>
        <row r="7">
          <cell r="A7">
            <v>6</v>
          </cell>
          <cell r="B7" t="str">
            <v>C_LiuBoxin</v>
          </cell>
          <cell r="C7" t="str">
            <v>猎户刘伯钦</v>
          </cell>
        </row>
        <row r="8">
          <cell r="A8">
            <v>7</v>
          </cell>
          <cell r="B8" t="str">
            <v>C_WukongLiuyi</v>
          </cell>
          <cell r="C8" t="str">
            <v>悟空六意</v>
          </cell>
        </row>
        <row r="9">
          <cell r="A9">
            <v>8</v>
          </cell>
          <cell r="B9" t="str">
            <v>C_GuiChengxiang</v>
          </cell>
          <cell r="C9" t="str">
            <v>龟丞相</v>
          </cell>
        </row>
        <row r="10">
          <cell r="A10">
            <v>9</v>
          </cell>
          <cell r="B10" t="str">
            <v>C_LingXuzi</v>
          </cell>
          <cell r="C10" t="str">
            <v>凌虚子</v>
          </cell>
        </row>
        <row r="11">
          <cell r="A11">
            <v>10</v>
          </cell>
          <cell r="B11" t="str">
            <v>C_HeiXiongjing</v>
          </cell>
          <cell r="C11" t="str">
            <v>黑熊精</v>
          </cell>
        </row>
        <row r="12">
          <cell r="A12">
            <v>11</v>
          </cell>
          <cell r="B12" t="str">
            <v>C_HuXianfeng</v>
          </cell>
          <cell r="C12" t="str">
            <v>虎先锋</v>
          </cell>
        </row>
        <row r="13">
          <cell r="A13">
            <v>12</v>
          </cell>
          <cell r="B13" t="str">
            <v>C_HuangFengguai</v>
          </cell>
          <cell r="C13" t="str">
            <v>黄风怪</v>
          </cell>
        </row>
        <row r="14">
          <cell r="A14">
            <v>13</v>
          </cell>
          <cell r="B14" t="str">
            <v>C_LingjiPusa</v>
          </cell>
          <cell r="C14" t="str">
            <v>灵吉菩萨</v>
          </cell>
        </row>
        <row r="15">
          <cell r="A15">
            <v>14</v>
          </cell>
          <cell r="B15" t="str">
            <v>C_Julingshen</v>
          </cell>
          <cell r="C15" t="str">
            <v>巨灵神</v>
          </cell>
        </row>
        <row r="16">
          <cell r="A16">
            <v>15</v>
          </cell>
          <cell r="B16" t="str">
            <v>C_Duoluozha</v>
          </cell>
          <cell r="C16" t="str">
            <v>多罗吒</v>
          </cell>
        </row>
        <row r="17">
          <cell r="A17">
            <v>16</v>
          </cell>
          <cell r="B17" t="str">
            <v>C_Piliuli</v>
          </cell>
          <cell r="C17" t="str">
            <v>毗琉璃</v>
          </cell>
        </row>
        <row r="18">
          <cell r="A18">
            <v>17</v>
          </cell>
          <cell r="B18" t="str">
            <v>C_Liubocha</v>
          </cell>
          <cell r="C18" t="str">
            <v>留博叉</v>
          </cell>
        </row>
        <row r="19">
          <cell r="A19">
            <v>18</v>
          </cell>
          <cell r="B19" t="str">
            <v>C_Pishamen</v>
          </cell>
          <cell r="C19" t="str">
            <v>毗沙门</v>
          </cell>
        </row>
        <row r="20">
          <cell r="A20">
            <v>19</v>
          </cell>
          <cell r="B20" t="str">
            <v>C_Nezha</v>
          </cell>
          <cell r="C20" t="str">
            <v>哪咤</v>
          </cell>
        </row>
        <row r="21">
          <cell r="A21">
            <v>20</v>
          </cell>
          <cell r="B21" t="str">
            <v>C_Jinzha</v>
          </cell>
          <cell r="C21" t="str">
            <v>金吒</v>
          </cell>
        </row>
        <row r="22">
          <cell r="A22">
            <v>21</v>
          </cell>
          <cell r="B22" t="str">
            <v>C_Muzha</v>
          </cell>
          <cell r="C22" t="str">
            <v>木吒</v>
          </cell>
        </row>
        <row r="23">
          <cell r="A23">
            <v>22</v>
          </cell>
          <cell r="B23" t="str">
            <v>C_Lijing</v>
          </cell>
          <cell r="C23" t="str">
            <v>李靖</v>
          </cell>
        </row>
        <row r="24">
          <cell r="A24">
            <v>23</v>
          </cell>
          <cell r="B24" t="str">
            <v>C_Erlangshen</v>
          </cell>
          <cell r="C24" t="str">
            <v>二郎神</v>
          </cell>
        </row>
        <row r="25">
          <cell r="A25">
            <v>24</v>
          </cell>
          <cell r="B25" t="str">
            <v>C_Xiaotianquan</v>
          </cell>
          <cell r="C25" t="str">
            <v>哮天犬</v>
          </cell>
        </row>
        <row r="26">
          <cell r="A26">
            <v>25</v>
          </cell>
          <cell r="B26" t="str">
            <v>C_Taishanglaojun</v>
          </cell>
          <cell r="C26" t="str">
            <v>太上老君</v>
          </cell>
        </row>
        <row r="27">
          <cell r="A27">
            <v>26</v>
          </cell>
          <cell r="B27" t="str">
            <v>C_Guanyin</v>
          </cell>
          <cell r="C27" t="str">
            <v>观音</v>
          </cell>
        </row>
        <row r="28">
          <cell r="A28">
            <v>27</v>
          </cell>
          <cell r="B28" t="str">
            <v>C_Yudi</v>
          </cell>
          <cell r="C28" t="str">
            <v>玉帝</v>
          </cell>
        </row>
        <row r="29">
          <cell r="A29">
            <v>28</v>
          </cell>
          <cell r="B29" t="str">
            <v>C_Wangmu</v>
          </cell>
          <cell r="C29" t="str">
            <v>王母</v>
          </cell>
        </row>
        <row r="30">
          <cell r="A30">
            <v>29</v>
          </cell>
          <cell r="B30" t="str">
            <v>C_Rulai</v>
          </cell>
          <cell r="C30" t="str">
            <v>如来</v>
          </cell>
        </row>
      </sheetData>
      <sheetData sheetId="2"/>
      <sheetData sheetId="3"/>
      <sheetData sheetId="4"/>
      <sheetData sheetId="5"/>
      <sheetData sheetId="6"/>
      <sheetData sheetId="7">
        <row r="1">
          <cell r="J1" t="str">
            <v>Gongji</v>
          </cell>
          <cell r="L1" t="str">
            <v>Juqi</v>
          </cell>
          <cell r="N1" t="str">
            <v>Fanshi</v>
          </cell>
          <cell r="S1" t="str">
            <v>GongjiBuff</v>
          </cell>
          <cell r="U1" t="str">
            <v>BaojiBuff</v>
          </cell>
          <cell r="W1" t="str">
            <v>FangyuBuff</v>
          </cell>
          <cell r="Y1" t="str">
            <v>JuqiBuff</v>
          </cell>
          <cell r="AD1" t="str">
            <v>TiliDebuff</v>
          </cell>
          <cell r="AF1" t="str">
            <v>GongjiDebuff</v>
          </cell>
          <cell r="AH1" t="str">
            <v>BaojiDebuff</v>
          </cell>
          <cell r="AR1" t="str">
            <v>Qungong</v>
          </cell>
          <cell r="AX1" t="str">
            <v>Baojiguanghuan</v>
          </cell>
          <cell r="AZ1" t="str">
            <v>Kuangreguanghuan</v>
          </cell>
        </row>
        <row r="4">
          <cell r="F4" t="str">
            <v>化缘</v>
          </cell>
          <cell r="G4">
            <v>1</v>
          </cell>
          <cell r="H4">
            <v>1</v>
          </cell>
          <cell r="I4" t="str">
            <v>Juqi</v>
          </cell>
          <cell r="L4">
            <v>43</v>
          </cell>
        </row>
        <row r="5">
          <cell r="F5" t="str">
            <v>化缘</v>
          </cell>
          <cell r="G5">
            <v>2</v>
          </cell>
          <cell r="H5">
            <v>2</v>
          </cell>
          <cell r="I5" t="str">
            <v>Juqi</v>
          </cell>
          <cell r="L5">
            <v>202</v>
          </cell>
        </row>
        <row r="6">
          <cell r="F6" t="str">
            <v>化缘</v>
          </cell>
          <cell r="G6">
            <v>3</v>
          </cell>
          <cell r="H6">
            <v>4</v>
          </cell>
          <cell r="I6" t="str">
            <v>Juqi</v>
          </cell>
          <cell r="L6">
            <v>1541</v>
          </cell>
        </row>
        <row r="7">
          <cell r="F7" t="str">
            <v>化缘</v>
          </cell>
          <cell r="G7">
            <v>4</v>
          </cell>
        </row>
        <row r="8">
          <cell r="F8" t="str">
            <v>化缘</v>
          </cell>
          <cell r="G8">
            <v>5</v>
          </cell>
        </row>
        <row r="9">
          <cell r="F9" t="str">
            <v>神僧请缘</v>
          </cell>
          <cell r="G9">
            <v>6</v>
          </cell>
        </row>
        <row r="10">
          <cell r="F10" t="str">
            <v>神僧请缘</v>
          </cell>
          <cell r="G10">
            <v>7</v>
          </cell>
        </row>
        <row r="11">
          <cell r="F11" t="str">
            <v>神僧请缘</v>
          </cell>
          <cell r="G11">
            <v>8</v>
          </cell>
        </row>
        <row r="12">
          <cell r="F12" t="str">
            <v>神僧请缘</v>
          </cell>
          <cell r="G12">
            <v>9</v>
          </cell>
        </row>
        <row r="13">
          <cell r="F13" t="str">
            <v>神僧请缘</v>
          </cell>
          <cell r="G13">
            <v>10</v>
          </cell>
        </row>
        <row r="15">
          <cell r="F15" t="str">
            <v>紫气降妖</v>
          </cell>
          <cell r="G15">
            <v>1</v>
          </cell>
          <cell r="H15">
            <v>3</v>
          </cell>
          <cell r="I15" t="str">
            <v>Fanshi</v>
          </cell>
          <cell r="N15">
            <v>533</v>
          </cell>
        </row>
        <row r="16">
          <cell r="F16" t="str">
            <v>紫气降妖</v>
          </cell>
          <cell r="G16">
            <v>2</v>
          </cell>
          <cell r="H16">
            <v>5</v>
          </cell>
          <cell r="I16" t="str">
            <v>Fanshi</v>
          </cell>
          <cell r="N16">
            <v>5060</v>
          </cell>
        </row>
        <row r="17">
          <cell r="F17" t="str">
            <v>紫气降妖</v>
          </cell>
          <cell r="G17">
            <v>3</v>
          </cell>
        </row>
        <row r="18">
          <cell r="F18" t="str">
            <v>紫气降妖</v>
          </cell>
          <cell r="G18">
            <v>4</v>
          </cell>
        </row>
        <row r="19">
          <cell r="F19" t="str">
            <v>紫气降妖</v>
          </cell>
          <cell r="G19">
            <v>5</v>
          </cell>
        </row>
        <row r="20">
          <cell r="F20" t="str">
            <v>紫气佛光</v>
          </cell>
          <cell r="G20">
            <v>6</v>
          </cell>
        </row>
        <row r="21">
          <cell r="F21" t="str">
            <v>紫气佛光</v>
          </cell>
          <cell r="G21">
            <v>7</v>
          </cell>
        </row>
        <row r="22">
          <cell r="F22" t="str">
            <v>紫气佛光</v>
          </cell>
          <cell r="G22">
            <v>8</v>
          </cell>
        </row>
        <row r="23">
          <cell r="F23" t="str">
            <v>紫气佛光</v>
          </cell>
          <cell r="G23">
            <v>9</v>
          </cell>
        </row>
        <row r="24">
          <cell r="F24" t="str">
            <v>紫气佛光</v>
          </cell>
          <cell r="G24">
            <v>10</v>
          </cell>
        </row>
        <row r="26">
          <cell r="F26" t="str">
            <v>净化</v>
          </cell>
          <cell r="G26">
            <v>1</v>
          </cell>
          <cell r="H26">
            <v>1</v>
          </cell>
          <cell r="I26" t="str">
            <v>Fanshi</v>
          </cell>
          <cell r="AD26">
            <v>-14</v>
          </cell>
        </row>
        <row r="27">
          <cell r="F27" t="str">
            <v>净化</v>
          </cell>
          <cell r="G27">
            <v>2</v>
          </cell>
          <cell r="H27">
            <v>2</v>
          </cell>
          <cell r="I27" t="str">
            <v>Fanshi</v>
          </cell>
          <cell r="AD27">
            <v>-68</v>
          </cell>
        </row>
        <row r="28">
          <cell r="F28" t="str">
            <v>净化</v>
          </cell>
          <cell r="G28">
            <v>3</v>
          </cell>
          <cell r="H28">
            <v>3</v>
          </cell>
          <cell r="I28" t="str">
            <v>Fanshi</v>
          </cell>
          <cell r="AD28">
            <v>-177</v>
          </cell>
        </row>
        <row r="29">
          <cell r="F29" t="str">
            <v>净化</v>
          </cell>
          <cell r="G29">
            <v>4</v>
          </cell>
          <cell r="H29">
            <v>5</v>
          </cell>
          <cell r="I29" t="str">
            <v>Fanshi</v>
          </cell>
          <cell r="AD29">
            <v>-1686</v>
          </cell>
        </row>
        <row r="30">
          <cell r="F30" t="str">
            <v>净化</v>
          </cell>
          <cell r="G30">
            <v>5</v>
          </cell>
        </row>
        <row r="31">
          <cell r="F31" t="str">
            <v>超度</v>
          </cell>
          <cell r="G31">
            <v>6</v>
          </cell>
        </row>
        <row r="32">
          <cell r="F32" t="str">
            <v>超度</v>
          </cell>
          <cell r="G32">
            <v>7</v>
          </cell>
        </row>
        <row r="33">
          <cell r="F33" t="str">
            <v>超度</v>
          </cell>
          <cell r="G33">
            <v>8</v>
          </cell>
        </row>
        <row r="34">
          <cell r="F34" t="str">
            <v>超度</v>
          </cell>
          <cell r="G34">
            <v>9</v>
          </cell>
        </row>
        <row r="35">
          <cell r="F35" t="str">
            <v>超度</v>
          </cell>
          <cell r="G35">
            <v>10</v>
          </cell>
        </row>
        <row r="37">
          <cell r="F37" t="str">
            <v>五环法阵</v>
          </cell>
          <cell r="G37">
            <v>1</v>
          </cell>
          <cell r="H37">
            <v>4</v>
          </cell>
          <cell r="I37" t="str">
            <v>Gongji</v>
          </cell>
          <cell r="AR37">
            <v>385</v>
          </cell>
        </row>
        <row r="38">
          <cell r="F38" t="str">
            <v>五环法阵</v>
          </cell>
          <cell r="G38">
            <v>2</v>
          </cell>
        </row>
        <row r="39">
          <cell r="F39" t="str">
            <v>五环法阵</v>
          </cell>
          <cell r="G39">
            <v>3</v>
          </cell>
        </row>
        <row r="40">
          <cell r="F40" t="str">
            <v>五环法阵</v>
          </cell>
          <cell r="G40">
            <v>4</v>
          </cell>
        </row>
        <row r="41">
          <cell r="F41" t="str">
            <v>五环法阵</v>
          </cell>
          <cell r="G41">
            <v>5</v>
          </cell>
        </row>
        <row r="42">
          <cell r="F42" t="str">
            <v>九环佛阵</v>
          </cell>
          <cell r="G42">
            <v>6</v>
          </cell>
        </row>
        <row r="43">
          <cell r="F43" t="str">
            <v>九环佛阵</v>
          </cell>
          <cell r="G43">
            <v>7</v>
          </cell>
        </row>
        <row r="44">
          <cell r="F44" t="str">
            <v>九环佛阵</v>
          </cell>
          <cell r="G44">
            <v>8</v>
          </cell>
        </row>
        <row r="45">
          <cell r="F45" t="str">
            <v>九环佛阵</v>
          </cell>
          <cell r="G45">
            <v>9</v>
          </cell>
        </row>
        <row r="46">
          <cell r="F46" t="str">
            <v>九环佛阵</v>
          </cell>
          <cell r="G46">
            <v>10</v>
          </cell>
        </row>
        <row r="48">
          <cell r="F48" t="str">
            <v>袈裟护体</v>
          </cell>
          <cell r="G48">
            <v>1</v>
          </cell>
          <cell r="H48">
            <v>1</v>
          </cell>
          <cell r="I48" t="str">
            <v>Juqi</v>
          </cell>
          <cell r="L48">
            <v>25</v>
          </cell>
          <cell r="W48">
            <v>3</v>
          </cell>
        </row>
        <row r="49">
          <cell r="F49" t="str">
            <v>袈裟护体</v>
          </cell>
          <cell r="G49">
            <v>2</v>
          </cell>
          <cell r="H49">
            <v>2</v>
          </cell>
          <cell r="I49" t="str">
            <v>Juqi</v>
          </cell>
          <cell r="L49">
            <v>82</v>
          </cell>
          <cell r="W49">
            <v>20</v>
          </cell>
        </row>
        <row r="50">
          <cell r="F50" t="str">
            <v>袈裟护体</v>
          </cell>
          <cell r="G50">
            <v>3</v>
          </cell>
        </row>
        <row r="51">
          <cell r="F51" t="str">
            <v>袈裟护体</v>
          </cell>
          <cell r="G51">
            <v>4</v>
          </cell>
        </row>
        <row r="52">
          <cell r="F52" t="str">
            <v>袈裟护体</v>
          </cell>
          <cell r="G52">
            <v>5</v>
          </cell>
        </row>
        <row r="53">
          <cell r="F53" t="str">
            <v>观音护体</v>
          </cell>
          <cell r="G53">
            <v>6</v>
          </cell>
        </row>
        <row r="54">
          <cell r="F54" t="str">
            <v>观音护体</v>
          </cell>
          <cell r="G54">
            <v>7</v>
          </cell>
        </row>
        <row r="55">
          <cell r="F55" t="str">
            <v>观音护体</v>
          </cell>
          <cell r="G55">
            <v>8</v>
          </cell>
        </row>
        <row r="56">
          <cell r="F56" t="str">
            <v>观音护体</v>
          </cell>
          <cell r="G56">
            <v>9</v>
          </cell>
        </row>
        <row r="57">
          <cell r="F57" t="str">
            <v>观音护体</v>
          </cell>
          <cell r="G57">
            <v>10</v>
          </cell>
        </row>
        <row r="59">
          <cell r="F59" t="str">
            <v>金箍</v>
          </cell>
          <cell r="G59">
            <v>1</v>
          </cell>
          <cell r="H59">
            <v>1</v>
          </cell>
          <cell r="I59" t="str">
            <v>Fanshi</v>
          </cell>
          <cell r="N59">
            <v>31</v>
          </cell>
          <cell r="AF59">
            <v>-2</v>
          </cell>
        </row>
        <row r="60">
          <cell r="F60" t="str">
            <v>金箍</v>
          </cell>
          <cell r="G60">
            <v>2</v>
          </cell>
          <cell r="H60">
            <v>2</v>
          </cell>
          <cell r="I60" t="str">
            <v>Fanshi</v>
          </cell>
          <cell r="N60">
            <v>142</v>
          </cell>
          <cell r="AF60">
            <v>-10</v>
          </cell>
        </row>
        <row r="61">
          <cell r="F61" t="str">
            <v>金箍</v>
          </cell>
          <cell r="G61">
            <v>3</v>
          </cell>
        </row>
        <row r="62">
          <cell r="F62" t="str">
            <v>金箍</v>
          </cell>
          <cell r="G62">
            <v>4</v>
          </cell>
        </row>
        <row r="63">
          <cell r="F63" t="str">
            <v>金箍</v>
          </cell>
          <cell r="G63">
            <v>5</v>
          </cell>
        </row>
        <row r="64">
          <cell r="F64" t="str">
            <v>紧箍</v>
          </cell>
          <cell r="G64">
            <v>6</v>
          </cell>
        </row>
        <row r="65">
          <cell r="F65" t="str">
            <v>紧箍</v>
          </cell>
          <cell r="G65">
            <v>7</v>
          </cell>
        </row>
        <row r="66">
          <cell r="F66" t="str">
            <v>紧箍</v>
          </cell>
          <cell r="G66">
            <v>8</v>
          </cell>
        </row>
        <row r="67">
          <cell r="F67" t="str">
            <v>禁箍</v>
          </cell>
          <cell r="G67">
            <v>9</v>
          </cell>
        </row>
        <row r="68">
          <cell r="F68" t="str">
            <v>禁箍</v>
          </cell>
          <cell r="G68">
            <v>10</v>
          </cell>
        </row>
        <row r="70">
          <cell r="F70" t="str">
            <v>乱棒打</v>
          </cell>
          <cell r="G70">
            <v>1</v>
          </cell>
          <cell r="H70">
            <v>1</v>
          </cell>
          <cell r="I70" t="str">
            <v>Gongji</v>
          </cell>
          <cell r="J70">
            <v>43</v>
          </cell>
        </row>
        <row r="71">
          <cell r="F71" t="str">
            <v>乱棒打</v>
          </cell>
          <cell r="G71">
            <v>2</v>
          </cell>
          <cell r="H71">
            <v>2</v>
          </cell>
          <cell r="I71" t="str">
            <v>Gongji</v>
          </cell>
          <cell r="J71">
            <v>202</v>
          </cell>
        </row>
        <row r="72">
          <cell r="F72" t="str">
            <v>乱棒打</v>
          </cell>
          <cell r="G72">
            <v>3</v>
          </cell>
          <cell r="H72">
            <v>3</v>
          </cell>
          <cell r="I72" t="str">
            <v>Gongji</v>
          </cell>
          <cell r="J72">
            <v>533</v>
          </cell>
        </row>
        <row r="73">
          <cell r="F73" t="str">
            <v>乱棒打</v>
          </cell>
          <cell r="G73">
            <v>4</v>
          </cell>
          <cell r="H73">
            <v>5</v>
          </cell>
          <cell r="I73" t="str">
            <v>Gongji</v>
          </cell>
          <cell r="J73">
            <v>5060</v>
          </cell>
        </row>
        <row r="74">
          <cell r="F74" t="str">
            <v>乱棒打</v>
          </cell>
          <cell r="G74">
            <v>5</v>
          </cell>
        </row>
        <row r="75">
          <cell r="F75" t="str">
            <v>万棍打</v>
          </cell>
          <cell r="G75">
            <v>6</v>
          </cell>
        </row>
        <row r="76">
          <cell r="F76" t="str">
            <v>万棍打</v>
          </cell>
          <cell r="G76">
            <v>7</v>
          </cell>
        </row>
        <row r="77">
          <cell r="F77" t="str">
            <v>万棍打</v>
          </cell>
          <cell r="G77">
            <v>8</v>
          </cell>
        </row>
        <row r="78">
          <cell r="F78" t="str">
            <v>万棍打</v>
          </cell>
          <cell r="G78">
            <v>9</v>
          </cell>
        </row>
        <row r="79">
          <cell r="F79" t="str">
            <v>万棍打</v>
          </cell>
          <cell r="G79">
            <v>10</v>
          </cell>
        </row>
        <row r="81">
          <cell r="F81" t="str">
            <v>千斤鼎</v>
          </cell>
          <cell r="G81">
            <v>1</v>
          </cell>
          <cell r="H81">
            <v>4</v>
          </cell>
          <cell r="I81" t="str">
            <v>Gongji</v>
          </cell>
          <cell r="AR81">
            <v>385</v>
          </cell>
        </row>
        <row r="82">
          <cell r="F82" t="str">
            <v>千斤鼎</v>
          </cell>
          <cell r="G82">
            <v>2</v>
          </cell>
        </row>
        <row r="83">
          <cell r="F83" t="str">
            <v>千斤鼎</v>
          </cell>
          <cell r="G83">
            <v>3</v>
          </cell>
        </row>
        <row r="84">
          <cell r="F84" t="str">
            <v>千斤鼎</v>
          </cell>
          <cell r="G84">
            <v>4</v>
          </cell>
        </row>
        <row r="85">
          <cell r="F85" t="str">
            <v>千斤鼎</v>
          </cell>
          <cell r="G85">
            <v>5</v>
          </cell>
        </row>
        <row r="86">
          <cell r="F86" t="str">
            <v>定海神针</v>
          </cell>
          <cell r="G86">
            <v>6</v>
          </cell>
        </row>
        <row r="87">
          <cell r="F87" t="str">
            <v>定海神针</v>
          </cell>
          <cell r="G87">
            <v>7</v>
          </cell>
        </row>
        <row r="88">
          <cell r="F88" t="str">
            <v>定海神针</v>
          </cell>
          <cell r="G88">
            <v>8</v>
          </cell>
        </row>
        <row r="89">
          <cell r="F89" t="str">
            <v>定海神针</v>
          </cell>
          <cell r="G89">
            <v>9</v>
          </cell>
        </row>
        <row r="90">
          <cell r="F90" t="str">
            <v>定海神针</v>
          </cell>
          <cell r="G90">
            <v>10</v>
          </cell>
        </row>
        <row r="92">
          <cell r="F92" t="str">
            <v>激突</v>
          </cell>
          <cell r="G92">
            <v>1</v>
          </cell>
          <cell r="H92">
            <v>1</v>
          </cell>
          <cell r="I92" t="str">
            <v>Gongji</v>
          </cell>
          <cell r="J92">
            <v>43</v>
          </cell>
        </row>
        <row r="93">
          <cell r="F93" t="str">
            <v>激突</v>
          </cell>
          <cell r="G93">
            <v>2</v>
          </cell>
          <cell r="H93">
            <v>2</v>
          </cell>
          <cell r="I93" t="str">
            <v>Gongji</v>
          </cell>
          <cell r="J93">
            <v>202</v>
          </cell>
        </row>
        <row r="94">
          <cell r="F94" t="str">
            <v>激突</v>
          </cell>
          <cell r="G94">
            <v>3</v>
          </cell>
        </row>
        <row r="95">
          <cell r="F95" t="str">
            <v>激突</v>
          </cell>
          <cell r="G95">
            <v>4</v>
          </cell>
        </row>
        <row r="96">
          <cell r="F96" t="str">
            <v>激突</v>
          </cell>
          <cell r="G96">
            <v>5</v>
          </cell>
        </row>
        <row r="97">
          <cell r="F97" t="str">
            <v>银枪乱舞</v>
          </cell>
          <cell r="G97">
            <v>6</v>
          </cell>
        </row>
        <row r="98">
          <cell r="F98" t="str">
            <v>银枪乱舞</v>
          </cell>
          <cell r="G98">
            <v>7</v>
          </cell>
        </row>
        <row r="99">
          <cell r="F99" t="str">
            <v>银枪乱舞</v>
          </cell>
          <cell r="G99">
            <v>8</v>
          </cell>
        </row>
        <row r="100">
          <cell r="F100" t="str">
            <v>银枪乱舞</v>
          </cell>
          <cell r="G100">
            <v>9</v>
          </cell>
        </row>
        <row r="101">
          <cell r="F101" t="str">
            <v>银枪乱舞</v>
          </cell>
          <cell r="G101">
            <v>10</v>
          </cell>
        </row>
        <row r="103">
          <cell r="F103" t="str">
            <v>龙鳞</v>
          </cell>
          <cell r="G103">
            <v>1</v>
          </cell>
          <cell r="H103">
            <v>1</v>
          </cell>
          <cell r="I103" t="str">
            <v>Juqi</v>
          </cell>
          <cell r="W103">
            <v>2</v>
          </cell>
          <cell r="Y103">
            <v>5</v>
          </cell>
        </row>
        <row r="104">
          <cell r="F104" t="str">
            <v>龙鳞</v>
          </cell>
          <cell r="G104">
            <v>2</v>
          </cell>
          <cell r="H104">
            <v>2</v>
          </cell>
          <cell r="I104" t="str">
            <v>Juqi</v>
          </cell>
          <cell r="W104">
            <v>10</v>
          </cell>
          <cell r="Y104">
            <v>24</v>
          </cell>
        </row>
        <row r="105">
          <cell r="F105" t="str">
            <v>龙鳞</v>
          </cell>
          <cell r="G105">
            <v>3</v>
          </cell>
          <cell r="H105">
            <v>4</v>
          </cell>
          <cell r="I105" t="str">
            <v>Juqi</v>
          </cell>
          <cell r="W105">
            <v>50</v>
          </cell>
          <cell r="Y105">
            <v>207</v>
          </cell>
        </row>
        <row r="106">
          <cell r="F106" t="str">
            <v>龙鳞</v>
          </cell>
          <cell r="G106">
            <v>4</v>
          </cell>
        </row>
        <row r="107">
          <cell r="F107" t="str">
            <v>龙鳞</v>
          </cell>
          <cell r="G107">
            <v>5</v>
          </cell>
        </row>
        <row r="108">
          <cell r="F108" t="str">
            <v>白龙护体</v>
          </cell>
          <cell r="G108">
            <v>6</v>
          </cell>
        </row>
        <row r="109">
          <cell r="F109" t="str">
            <v>白龙护体</v>
          </cell>
          <cell r="G109">
            <v>7</v>
          </cell>
        </row>
        <row r="110">
          <cell r="F110" t="str">
            <v>白龙护体</v>
          </cell>
          <cell r="G110">
            <v>8</v>
          </cell>
        </row>
        <row r="111">
          <cell r="F111" t="str">
            <v>白龙护体</v>
          </cell>
          <cell r="G111">
            <v>9</v>
          </cell>
        </row>
        <row r="112">
          <cell r="F112" t="str">
            <v>白龙护体</v>
          </cell>
          <cell r="G112">
            <v>10</v>
          </cell>
        </row>
        <row r="114">
          <cell r="F114" t="str">
            <v>巨龙甩尾</v>
          </cell>
          <cell r="G114">
            <v>1</v>
          </cell>
          <cell r="H114">
            <v>3</v>
          </cell>
          <cell r="I114" t="str">
            <v>Gongji</v>
          </cell>
          <cell r="AR114">
            <v>133</v>
          </cell>
        </row>
        <row r="115">
          <cell r="F115" t="str">
            <v>巨龙甩尾</v>
          </cell>
          <cell r="G115">
            <v>2</v>
          </cell>
          <cell r="H115">
            <v>5</v>
          </cell>
          <cell r="I115" t="str">
            <v>Gongji</v>
          </cell>
          <cell r="AR115">
            <v>1265</v>
          </cell>
        </row>
        <row r="116">
          <cell r="F116" t="str">
            <v>巨龙甩尾</v>
          </cell>
          <cell r="G116">
            <v>3</v>
          </cell>
        </row>
        <row r="117">
          <cell r="F117" t="str">
            <v>巨龙甩尾</v>
          </cell>
          <cell r="G117">
            <v>4</v>
          </cell>
        </row>
        <row r="118">
          <cell r="F118" t="str">
            <v>巨龙甩尾</v>
          </cell>
          <cell r="G118">
            <v>5</v>
          </cell>
        </row>
        <row r="119">
          <cell r="F119" t="str">
            <v>翻云覆雨</v>
          </cell>
          <cell r="G119">
            <v>6</v>
          </cell>
        </row>
        <row r="120">
          <cell r="F120" t="str">
            <v>翻云覆雨</v>
          </cell>
          <cell r="G120">
            <v>7</v>
          </cell>
        </row>
        <row r="121">
          <cell r="F121" t="str">
            <v>翻云覆雨</v>
          </cell>
          <cell r="G121">
            <v>8</v>
          </cell>
        </row>
        <row r="122">
          <cell r="F122" t="str">
            <v>翻云覆雨</v>
          </cell>
          <cell r="G122">
            <v>9</v>
          </cell>
        </row>
        <row r="123">
          <cell r="F123" t="str">
            <v>翻云覆雨</v>
          </cell>
          <cell r="G123">
            <v>10</v>
          </cell>
        </row>
        <row r="125">
          <cell r="F125" t="str">
            <v>钉钯空砸</v>
          </cell>
          <cell r="G125">
            <v>1</v>
          </cell>
          <cell r="H125">
            <v>1</v>
          </cell>
          <cell r="I125" t="str">
            <v>Gongji</v>
          </cell>
          <cell r="J125">
            <v>43</v>
          </cell>
        </row>
        <row r="126">
          <cell r="F126" t="str">
            <v>钉钯空砸</v>
          </cell>
          <cell r="G126">
            <v>2</v>
          </cell>
          <cell r="H126">
            <v>2</v>
          </cell>
          <cell r="I126" t="str">
            <v>Gongji</v>
          </cell>
          <cell r="J126">
            <v>202</v>
          </cell>
        </row>
        <row r="127">
          <cell r="F127" t="str">
            <v>钉钯空砸</v>
          </cell>
          <cell r="G127">
            <v>3</v>
          </cell>
        </row>
        <row r="128">
          <cell r="F128" t="str">
            <v>钉钯空砸</v>
          </cell>
          <cell r="G128">
            <v>4</v>
          </cell>
        </row>
        <row r="129">
          <cell r="F129" t="str">
            <v>钉钯横扫</v>
          </cell>
          <cell r="G129">
            <v>5</v>
          </cell>
        </row>
        <row r="130">
          <cell r="F130" t="str">
            <v>钉钯横扫</v>
          </cell>
          <cell r="G130">
            <v>6</v>
          </cell>
        </row>
        <row r="131">
          <cell r="F131" t="str">
            <v>钉钯横扫</v>
          </cell>
          <cell r="G131">
            <v>7</v>
          </cell>
        </row>
        <row r="132">
          <cell r="F132" t="str">
            <v>钉耙乱斩</v>
          </cell>
          <cell r="G132">
            <v>8</v>
          </cell>
        </row>
        <row r="133">
          <cell r="F133" t="str">
            <v>钉耙乱斩</v>
          </cell>
          <cell r="G133">
            <v>9</v>
          </cell>
        </row>
        <row r="134">
          <cell r="F134" t="str">
            <v>钉耙乱斩</v>
          </cell>
          <cell r="G134">
            <v>10</v>
          </cell>
        </row>
        <row r="136">
          <cell r="F136" t="str">
            <v>战袍加身</v>
          </cell>
          <cell r="G136">
            <v>1</v>
          </cell>
          <cell r="H136">
            <v>1</v>
          </cell>
          <cell r="I136" t="str">
            <v>Juqi</v>
          </cell>
          <cell r="S136">
            <v>4</v>
          </cell>
          <cell r="U136">
            <v>0.02</v>
          </cell>
          <cell r="W136">
            <v>3</v>
          </cell>
        </row>
        <row r="137">
          <cell r="F137" t="str">
            <v>战袍加身</v>
          </cell>
          <cell r="G137">
            <v>2</v>
          </cell>
          <cell r="H137">
            <v>2</v>
          </cell>
          <cell r="I137" t="str">
            <v>Juqi</v>
          </cell>
          <cell r="S137">
            <v>12</v>
          </cell>
          <cell r="U137">
            <v>0.1</v>
          </cell>
          <cell r="W137">
            <v>12</v>
          </cell>
        </row>
        <row r="138">
          <cell r="F138" t="str">
            <v>战袍加身</v>
          </cell>
          <cell r="G138">
            <v>3</v>
          </cell>
        </row>
        <row r="139">
          <cell r="F139" t="str">
            <v>战袍加身</v>
          </cell>
          <cell r="G139">
            <v>4</v>
          </cell>
        </row>
        <row r="140">
          <cell r="F140" t="str">
            <v>战袍加身</v>
          </cell>
          <cell r="G140">
            <v>5</v>
          </cell>
        </row>
        <row r="141">
          <cell r="F141" t="str">
            <v>元帅降临</v>
          </cell>
          <cell r="G141">
            <v>6</v>
          </cell>
        </row>
        <row r="142">
          <cell r="F142" t="str">
            <v>元帅降临</v>
          </cell>
          <cell r="G142">
            <v>7</v>
          </cell>
        </row>
        <row r="143">
          <cell r="F143" t="str">
            <v>元帅降临</v>
          </cell>
          <cell r="G143">
            <v>8</v>
          </cell>
        </row>
        <row r="144">
          <cell r="F144" t="str">
            <v>元帅降临</v>
          </cell>
          <cell r="G144">
            <v>9</v>
          </cell>
        </row>
        <row r="145">
          <cell r="F145" t="str">
            <v>元帅降临</v>
          </cell>
          <cell r="G145">
            <v>10</v>
          </cell>
        </row>
        <row r="147">
          <cell r="F147" t="str">
            <v>疾风</v>
          </cell>
          <cell r="G147">
            <v>1</v>
          </cell>
          <cell r="H147">
            <v>1</v>
          </cell>
          <cell r="I147" t="str">
            <v>Fanshi</v>
          </cell>
          <cell r="N147">
            <v>41</v>
          </cell>
          <cell r="AH147">
            <v>-0.02</v>
          </cell>
        </row>
        <row r="148">
          <cell r="F148" t="str">
            <v>疾风</v>
          </cell>
          <cell r="G148">
            <v>2</v>
          </cell>
          <cell r="H148">
            <v>2</v>
          </cell>
          <cell r="I148" t="str">
            <v>Fanshi</v>
          </cell>
          <cell r="N148">
            <v>172</v>
          </cell>
          <cell r="AH148">
            <v>-0.05</v>
          </cell>
        </row>
        <row r="149">
          <cell r="F149" t="str">
            <v>疾风</v>
          </cell>
          <cell r="G149">
            <v>3</v>
          </cell>
          <cell r="H149">
            <v>3</v>
          </cell>
          <cell r="I149" t="str">
            <v>Fanshi</v>
          </cell>
          <cell r="N149">
            <v>421</v>
          </cell>
          <cell r="AH149">
            <v>-7.0000000000000007E-2</v>
          </cell>
        </row>
        <row r="150">
          <cell r="F150" t="str">
            <v>疾风</v>
          </cell>
          <cell r="G150">
            <v>4</v>
          </cell>
          <cell r="H150">
            <v>5</v>
          </cell>
          <cell r="I150" t="str">
            <v>Fanshi</v>
          </cell>
          <cell r="N150">
            <v>3540</v>
          </cell>
          <cell r="AH150">
            <v>-0.1</v>
          </cell>
        </row>
        <row r="151">
          <cell r="F151" t="str">
            <v>烈风</v>
          </cell>
          <cell r="G151">
            <v>5</v>
          </cell>
        </row>
        <row r="152">
          <cell r="F152" t="str">
            <v>烈风</v>
          </cell>
          <cell r="G152">
            <v>6</v>
          </cell>
        </row>
        <row r="153">
          <cell r="F153" t="str">
            <v>烈风</v>
          </cell>
          <cell r="G153">
            <v>7</v>
          </cell>
        </row>
        <row r="154">
          <cell r="F154" t="str">
            <v>神风</v>
          </cell>
          <cell r="G154">
            <v>8</v>
          </cell>
        </row>
        <row r="155">
          <cell r="F155" t="str">
            <v>神风</v>
          </cell>
          <cell r="G155">
            <v>9</v>
          </cell>
        </row>
        <row r="156">
          <cell r="F156" t="str">
            <v>神风</v>
          </cell>
          <cell r="G156">
            <v>10</v>
          </cell>
        </row>
        <row r="158">
          <cell r="F158" t="str">
            <v>风阵</v>
          </cell>
          <cell r="G158">
            <v>1</v>
          </cell>
          <cell r="H158">
            <v>4</v>
          </cell>
          <cell r="I158" t="str">
            <v>Juqi</v>
          </cell>
          <cell r="AX158">
            <v>0.06</v>
          </cell>
          <cell r="AZ158">
            <v>9.2999999999999999E-2</v>
          </cell>
        </row>
        <row r="159">
          <cell r="F159" t="str">
            <v>风阵</v>
          </cell>
          <cell r="G159">
            <v>2</v>
          </cell>
        </row>
        <row r="160">
          <cell r="F160" t="str">
            <v>风阵</v>
          </cell>
          <cell r="G160">
            <v>3</v>
          </cell>
        </row>
        <row r="161">
          <cell r="F161" t="str">
            <v>风阵</v>
          </cell>
          <cell r="G161">
            <v>4</v>
          </cell>
        </row>
        <row r="162">
          <cell r="F162" t="str">
            <v>风阵</v>
          </cell>
          <cell r="G162">
            <v>5</v>
          </cell>
        </row>
        <row r="163">
          <cell r="F163" t="str">
            <v>风牢</v>
          </cell>
          <cell r="G163">
            <v>6</v>
          </cell>
        </row>
        <row r="164">
          <cell r="F164" t="str">
            <v>风牢</v>
          </cell>
          <cell r="G164">
            <v>7</v>
          </cell>
        </row>
        <row r="165">
          <cell r="F165" t="str">
            <v>风牢</v>
          </cell>
          <cell r="G165">
            <v>8</v>
          </cell>
        </row>
        <row r="166">
          <cell r="F166" t="str">
            <v>风牢</v>
          </cell>
          <cell r="G166">
            <v>9</v>
          </cell>
        </row>
        <row r="167">
          <cell r="F167" t="str">
            <v>风牢</v>
          </cell>
          <cell r="G167">
            <v>10</v>
          </cell>
        </row>
        <row r="169">
          <cell r="F169" t="str">
            <v>月牙斩</v>
          </cell>
          <cell r="G169">
            <v>1</v>
          </cell>
          <cell r="H169">
            <v>1</v>
          </cell>
          <cell r="I169" t="str">
            <v>Gongji</v>
          </cell>
          <cell r="J169">
            <v>43</v>
          </cell>
        </row>
        <row r="170">
          <cell r="F170" t="str">
            <v>月牙斩</v>
          </cell>
          <cell r="G170">
            <v>2</v>
          </cell>
          <cell r="H170">
            <v>2</v>
          </cell>
          <cell r="I170" t="str">
            <v>Gongji</v>
          </cell>
          <cell r="J170">
            <v>202</v>
          </cell>
        </row>
        <row r="171">
          <cell r="F171" t="str">
            <v>月牙斩</v>
          </cell>
          <cell r="G171">
            <v>3</v>
          </cell>
        </row>
        <row r="172">
          <cell r="F172" t="str">
            <v>月牙斩</v>
          </cell>
          <cell r="G172">
            <v>4</v>
          </cell>
        </row>
        <row r="173">
          <cell r="F173" t="str">
            <v>月牙斩</v>
          </cell>
          <cell r="G173">
            <v>5</v>
          </cell>
        </row>
        <row r="174">
          <cell r="F174" t="str">
            <v>落月</v>
          </cell>
          <cell r="G174">
            <v>6</v>
          </cell>
        </row>
        <row r="175">
          <cell r="F175" t="str">
            <v>落月</v>
          </cell>
          <cell r="G175">
            <v>7</v>
          </cell>
        </row>
        <row r="176">
          <cell r="F176" t="str">
            <v>落月</v>
          </cell>
          <cell r="G176">
            <v>8</v>
          </cell>
        </row>
        <row r="177">
          <cell r="F177" t="str">
            <v>落月</v>
          </cell>
          <cell r="G177">
            <v>9</v>
          </cell>
        </row>
        <row r="178">
          <cell r="F178" t="str">
            <v>落月</v>
          </cell>
          <cell r="G178">
            <v>10</v>
          </cell>
        </row>
      </sheetData>
      <sheetData sheetId="8">
        <row r="2">
          <cell r="B2">
            <v>4</v>
          </cell>
          <cell r="D2" t="str">
            <v>Fo</v>
          </cell>
          <cell r="E2">
            <v>3</v>
          </cell>
          <cell r="F2">
            <v>1</v>
          </cell>
          <cell r="G2">
            <v>1</v>
          </cell>
          <cell r="H2">
            <v>2</v>
          </cell>
          <cell r="I2">
            <v>4</v>
          </cell>
          <cell r="J2">
            <v>7</v>
          </cell>
          <cell r="K2">
            <v>12</v>
          </cell>
        </row>
        <row r="3">
          <cell r="B3">
            <v>5</v>
          </cell>
          <cell r="D3" t="str">
            <v>Fo</v>
          </cell>
          <cell r="E3">
            <v>3</v>
          </cell>
          <cell r="F3">
            <v>1</v>
          </cell>
          <cell r="G3">
            <v>1</v>
          </cell>
          <cell r="H3">
            <v>2</v>
          </cell>
          <cell r="I3">
            <v>4</v>
          </cell>
          <cell r="J3">
            <v>7</v>
          </cell>
          <cell r="K3">
            <v>12</v>
          </cell>
        </row>
        <row r="4">
          <cell r="B4">
            <v>5</v>
          </cell>
          <cell r="D4" t="str">
            <v>Fo</v>
          </cell>
          <cell r="E4">
            <v>3</v>
          </cell>
          <cell r="F4">
            <v>1</v>
          </cell>
          <cell r="G4">
            <v>1</v>
          </cell>
          <cell r="H4">
            <v>2</v>
          </cell>
          <cell r="I4">
            <v>4</v>
          </cell>
          <cell r="J4">
            <v>7</v>
          </cell>
          <cell r="K4">
            <v>12</v>
          </cell>
        </row>
        <row r="5">
          <cell r="B5">
            <v>4</v>
          </cell>
          <cell r="D5" t="str">
            <v>Fo</v>
          </cell>
          <cell r="E5">
            <v>3</v>
          </cell>
          <cell r="F5">
            <v>1</v>
          </cell>
          <cell r="G5">
            <v>1</v>
          </cell>
          <cell r="H5">
            <v>2</v>
          </cell>
          <cell r="I5">
            <v>4</v>
          </cell>
          <cell r="J5">
            <v>7</v>
          </cell>
          <cell r="K5">
            <v>12</v>
          </cell>
        </row>
        <row r="6">
          <cell r="B6">
            <v>6</v>
          </cell>
          <cell r="D6" t="str">
            <v>Xian</v>
          </cell>
          <cell r="E6">
            <v>3</v>
          </cell>
          <cell r="F6">
            <v>1</v>
          </cell>
          <cell r="G6">
            <v>1</v>
          </cell>
          <cell r="H6">
            <v>2</v>
          </cell>
          <cell r="I6">
            <v>4</v>
          </cell>
          <cell r="J6">
            <v>7</v>
          </cell>
          <cell r="K6">
            <v>12</v>
          </cell>
        </row>
        <row r="7">
          <cell r="B7">
            <v>3</v>
          </cell>
          <cell r="D7" t="str">
            <v>Sha</v>
          </cell>
          <cell r="E7">
            <v>3</v>
          </cell>
          <cell r="F7">
            <v>1</v>
          </cell>
          <cell r="G7">
            <v>1</v>
          </cell>
          <cell r="H7">
            <v>2</v>
          </cell>
          <cell r="I7">
            <v>4</v>
          </cell>
          <cell r="J7">
            <v>7</v>
          </cell>
          <cell r="K7">
            <v>12</v>
          </cell>
        </row>
        <row r="8">
          <cell r="B8">
            <v>4</v>
          </cell>
          <cell r="D8" t="str">
            <v>Xian</v>
          </cell>
          <cell r="E8">
            <v>3</v>
          </cell>
          <cell r="F8">
            <v>1</v>
          </cell>
          <cell r="G8">
            <v>1</v>
          </cell>
          <cell r="H8">
            <v>2</v>
          </cell>
          <cell r="I8">
            <v>4</v>
          </cell>
          <cell r="J8">
            <v>7</v>
          </cell>
          <cell r="K8">
            <v>12</v>
          </cell>
        </row>
        <row r="9">
          <cell r="B9">
            <v>4</v>
          </cell>
          <cell r="D9" t="str">
            <v>Sha</v>
          </cell>
          <cell r="E9">
            <v>3</v>
          </cell>
          <cell r="F9">
            <v>1</v>
          </cell>
          <cell r="G9">
            <v>1</v>
          </cell>
          <cell r="H9">
            <v>2</v>
          </cell>
          <cell r="I9">
            <v>4</v>
          </cell>
          <cell r="J9">
            <v>7</v>
          </cell>
          <cell r="K9">
            <v>12</v>
          </cell>
        </row>
        <row r="10">
          <cell r="B10">
            <v>5</v>
          </cell>
          <cell r="D10" t="str">
            <v>Xian</v>
          </cell>
          <cell r="E10">
            <v>3</v>
          </cell>
          <cell r="F10">
            <v>1</v>
          </cell>
          <cell r="G10">
            <v>1</v>
          </cell>
          <cell r="H10">
            <v>2</v>
          </cell>
          <cell r="I10">
            <v>4</v>
          </cell>
          <cell r="J10">
            <v>7</v>
          </cell>
          <cell r="K10">
            <v>12</v>
          </cell>
        </row>
        <row r="11">
          <cell r="B11">
            <v>3</v>
          </cell>
          <cell r="D11" t="str">
            <v>Mo</v>
          </cell>
          <cell r="E11">
            <v>3</v>
          </cell>
          <cell r="F11">
            <v>1</v>
          </cell>
          <cell r="G11">
            <v>1</v>
          </cell>
          <cell r="H11">
            <v>2</v>
          </cell>
          <cell r="I11">
            <v>4</v>
          </cell>
          <cell r="J11">
            <v>7</v>
          </cell>
          <cell r="K11">
            <v>12</v>
          </cell>
        </row>
        <row r="12">
          <cell r="B12">
            <v>4</v>
          </cell>
          <cell r="D12" t="str">
            <v>Mo</v>
          </cell>
          <cell r="E12">
            <v>3</v>
          </cell>
          <cell r="F12">
            <v>1</v>
          </cell>
          <cell r="G12">
            <v>1</v>
          </cell>
          <cell r="H12">
            <v>2</v>
          </cell>
          <cell r="I12">
            <v>4</v>
          </cell>
          <cell r="J12">
            <v>7</v>
          </cell>
          <cell r="K12">
            <v>12</v>
          </cell>
        </row>
        <row r="13">
          <cell r="B13">
            <v>4</v>
          </cell>
          <cell r="D13" t="str">
            <v>Xian</v>
          </cell>
          <cell r="E13">
            <v>3</v>
          </cell>
          <cell r="F13">
            <v>1</v>
          </cell>
          <cell r="G13">
            <v>1</v>
          </cell>
          <cell r="H13">
            <v>2</v>
          </cell>
          <cell r="I13">
            <v>4</v>
          </cell>
          <cell r="J13">
            <v>7</v>
          </cell>
          <cell r="K13">
            <v>12</v>
          </cell>
        </row>
        <row r="14">
          <cell r="B14">
            <v>4</v>
          </cell>
          <cell r="D14" t="str">
            <v>Sha</v>
          </cell>
          <cell r="E14">
            <v>3</v>
          </cell>
          <cell r="F14">
            <v>1</v>
          </cell>
          <cell r="G14">
            <v>1</v>
          </cell>
          <cell r="H14">
            <v>2</v>
          </cell>
          <cell r="I14">
            <v>4</v>
          </cell>
          <cell r="J14">
            <v>7</v>
          </cell>
          <cell r="K14">
            <v>12</v>
          </cell>
        </row>
        <row r="15">
          <cell r="B15">
            <v>3</v>
          </cell>
          <cell r="D15" t="str">
            <v>Fo</v>
          </cell>
          <cell r="E15">
            <v>3</v>
          </cell>
          <cell r="F15">
            <v>1</v>
          </cell>
          <cell r="G15">
            <v>1</v>
          </cell>
          <cell r="H15">
            <v>2</v>
          </cell>
          <cell r="I15">
            <v>4</v>
          </cell>
          <cell r="J15">
            <v>7</v>
          </cell>
          <cell r="K15">
            <v>12</v>
          </cell>
        </row>
        <row r="16">
          <cell r="B16">
            <v>3</v>
          </cell>
          <cell r="D16" t="str">
            <v>Sha</v>
          </cell>
          <cell r="E16">
            <v>3</v>
          </cell>
          <cell r="F16">
            <v>1</v>
          </cell>
          <cell r="G16">
            <v>1</v>
          </cell>
          <cell r="H16">
            <v>2</v>
          </cell>
          <cell r="I16">
            <v>4</v>
          </cell>
          <cell r="J16">
            <v>7</v>
          </cell>
          <cell r="K16">
            <v>12</v>
          </cell>
        </row>
        <row r="17">
          <cell r="B17">
            <v>3</v>
          </cell>
          <cell r="D17" t="str">
            <v>Fo</v>
          </cell>
          <cell r="E17">
            <v>3</v>
          </cell>
          <cell r="F17">
            <v>1</v>
          </cell>
          <cell r="G17">
            <v>1</v>
          </cell>
          <cell r="H17">
            <v>2</v>
          </cell>
          <cell r="I17">
            <v>4</v>
          </cell>
          <cell r="J17">
            <v>7</v>
          </cell>
          <cell r="K17">
            <v>12</v>
          </cell>
        </row>
        <row r="18">
          <cell r="B18">
            <v>3</v>
          </cell>
          <cell r="D18" t="str">
            <v>Fo</v>
          </cell>
          <cell r="E18">
            <v>3</v>
          </cell>
          <cell r="F18">
            <v>1</v>
          </cell>
          <cell r="G18">
            <v>1</v>
          </cell>
          <cell r="H18">
            <v>2</v>
          </cell>
          <cell r="I18">
            <v>4</v>
          </cell>
          <cell r="J18">
            <v>7</v>
          </cell>
          <cell r="K18">
            <v>12</v>
          </cell>
        </row>
        <row r="19">
          <cell r="B19">
            <v>3</v>
          </cell>
          <cell r="D19" t="str">
            <v>Fo</v>
          </cell>
          <cell r="E19">
            <v>3</v>
          </cell>
          <cell r="F19">
            <v>1</v>
          </cell>
          <cell r="G19">
            <v>1</v>
          </cell>
          <cell r="H19">
            <v>2</v>
          </cell>
          <cell r="I19">
            <v>4</v>
          </cell>
          <cell r="J19">
            <v>7</v>
          </cell>
          <cell r="K19">
            <v>12</v>
          </cell>
        </row>
        <row r="20">
          <cell r="B20">
            <v>4</v>
          </cell>
          <cell r="D20" t="str">
            <v>Sha</v>
          </cell>
          <cell r="E20">
            <v>3</v>
          </cell>
          <cell r="F20">
            <v>1</v>
          </cell>
          <cell r="G20">
            <v>1</v>
          </cell>
          <cell r="H20">
            <v>2</v>
          </cell>
          <cell r="I20">
            <v>4</v>
          </cell>
          <cell r="J20">
            <v>7</v>
          </cell>
          <cell r="K20">
            <v>12</v>
          </cell>
        </row>
        <row r="21">
          <cell r="B21">
            <v>5</v>
          </cell>
          <cell r="D21" t="str">
            <v>Xian</v>
          </cell>
          <cell r="E21">
            <v>3</v>
          </cell>
          <cell r="F21">
            <v>1</v>
          </cell>
          <cell r="G21">
            <v>1</v>
          </cell>
          <cell r="H21">
            <v>2</v>
          </cell>
          <cell r="I21">
            <v>4</v>
          </cell>
          <cell r="J21">
            <v>7</v>
          </cell>
          <cell r="K21">
            <v>12</v>
          </cell>
        </row>
        <row r="22">
          <cell r="B22">
            <v>4</v>
          </cell>
          <cell r="D22" t="str">
            <v>Xian</v>
          </cell>
          <cell r="E22">
            <v>3</v>
          </cell>
          <cell r="F22">
            <v>1</v>
          </cell>
          <cell r="G22">
            <v>1</v>
          </cell>
          <cell r="H22">
            <v>2</v>
          </cell>
          <cell r="I22">
            <v>4</v>
          </cell>
          <cell r="J22">
            <v>7</v>
          </cell>
          <cell r="K22">
            <v>12</v>
          </cell>
        </row>
        <row r="23">
          <cell r="B23">
            <v>4</v>
          </cell>
          <cell r="D23" t="str">
            <v>Xian</v>
          </cell>
          <cell r="E23">
            <v>3</v>
          </cell>
          <cell r="F23">
            <v>1</v>
          </cell>
          <cell r="G23">
            <v>1</v>
          </cell>
          <cell r="H23">
            <v>2</v>
          </cell>
          <cell r="I23">
            <v>4</v>
          </cell>
          <cell r="J23">
            <v>7</v>
          </cell>
          <cell r="K23">
            <v>12</v>
          </cell>
        </row>
        <row r="24">
          <cell r="B24">
            <v>4</v>
          </cell>
          <cell r="D24" t="str">
            <v>Xian</v>
          </cell>
          <cell r="E24">
            <v>3</v>
          </cell>
          <cell r="F24">
            <v>1</v>
          </cell>
          <cell r="G24">
            <v>1</v>
          </cell>
          <cell r="H24">
            <v>2</v>
          </cell>
          <cell r="I24">
            <v>4</v>
          </cell>
          <cell r="J24">
            <v>7</v>
          </cell>
          <cell r="K24">
            <v>12</v>
          </cell>
        </row>
        <row r="25">
          <cell r="B25">
            <v>4</v>
          </cell>
          <cell r="D25" t="str">
            <v>Xian</v>
          </cell>
          <cell r="E25">
            <v>3</v>
          </cell>
          <cell r="F25">
            <v>1</v>
          </cell>
          <cell r="G25">
            <v>1</v>
          </cell>
          <cell r="H25">
            <v>2</v>
          </cell>
          <cell r="I25">
            <v>4</v>
          </cell>
          <cell r="J25">
            <v>7</v>
          </cell>
          <cell r="K25">
            <v>12</v>
          </cell>
        </row>
        <row r="26">
          <cell r="B26">
            <v>4</v>
          </cell>
          <cell r="D26" t="str">
            <v>Sha</v>
          </cell>
          <cell r="E26">
            <v>3</v>
          </cell>
          <cell r="F26">
            <v>1</v>
          </cell>
          <cell r="G26">
            <v>1</v>
          </cell>
          <cell r="H26">
            <v>2</v>
          </cell>
          <cell r="I26">
            <v>4</v>
          </cell>
          <cell r="J26">
            <v>7</v>
          </cell>
          <cell r="K26">
            <v>12</v>
          </cell>
        </row>
        <row r="27">
          <cell r="B27">
            <v>6</v>
          </cell>
          <cell r="D27" t="str">
            <v>Xian</v>
          </cell>
          <cell r="E27">
            <v>3</v>
          </cell>
          <cell r="F27">
            <v>1</v>
          </cell>
          <cell r="G27">
            <v>1</v>
          </cell>
          <cell r="H27">
            <v>2</v>
          </cell>
          <cell r="I27">
            <v>4</v>
          </cell>
          <cell r="J27">
            <v>7</v>
          </cell>
          <cell r="K27">
            <v>12</v>
          </cell>
        </row>
        <row r="28">
          <cell r="B28">
            <v>6</v>
          </cell>
          <cell r="D28" t="str">
            <v>Sha</v>
          </cell>
          <cell r="E28">
            <v>3</v>
          </cell>
          <cell r="F28">
            <v>1</v>
          </cell>
          <cell r="G28">
            <v>1</v>
          </cell>
          <cell r="H28">
            <v>2</v>
          </cell>
          <cell r="I28">
            <v>4</v>
          </cell>
          <cell r="J28">
            <v>7</v>
          </cell>
          <cell r="K28">
            <v>12</v>
          </cell>
        </row>
        <row r="29">
          <cell r="B29">
            <v>3</v>
          </cell>
          <cell r="D29" t="str">
            <v>Mo</v>
          </cell>
          <cell r="E29">
            <v>3</v>
          </cell>
          <cell r="F29">
            <v>1</v>
          </cell>
          <cell r="G29">
            <v>1</v>
          </cell>
          <cell r="H29">
            <v>2</v>
          </cell>
          <cell r="I29">
            <v>4</v>
          </cell>
          <cell r="J29">
            <v>7</v>
          </cell>
          <cell r="K29">
            <v>12</v>
          </cell>
        </row>
        <row r="30">
          <cell r="B30">
            <v>4</v>
          </cell>
          <cell r="D30" t="str">
            <v>Xian</v>
          </cell>
          <cell r="E30">
            <v>3</v>
          </cell>
          <cell r="F30">
            <v>1</v>
          </cell>
          <cell r="G30">
            <v>1</v>
          </cell>
          <cell r="H30">
            <v>2</v>
          </cell>
          <cell r="I30">
            <v>4</v>
          </cell>
          <cell r="J30">
            <v>7</v>
          </cell>
          <cell r="K30">
            <v>12</v>
          </cell>
        </row>
        <row r="31">
          <cell r="B31">
            <v>4</v>
          </cell>
          <cell r="D31" t="str">
            <v>Fo</v>
          </cell>
          <cell r="E31">
            <v>3</v>
          </cell>
          <cell r="F31">
            <v>1</v>
          </cell>
          <cell r="G31">
            <v>1</v>
          </cell>
          <cell r="H31">
            <v>2</v>
          </cell>
          <cell r="I31">
            <v>4</v>
          </cell>
          <cell r="J31">
            <v>7</v>
          </cell>
          <cell r="K31">
            <v>12</v>
          </cell>
        </row>
        <row r="32">
          <cell r="B32">
            <v>5</v>
          </cell>
          <cell r="D32" t="str">
            <v>Fo</v>
          </cell>
          <cell r="E32">
            <v>3</v>
          </cell>
          <cell r="F32">
            <v>1</v>
          </cell>
          <cell r="G32">
            <v>1</v>
          </cell>
          <cell r="H32">
            <v>2</v>
          </cell>
          <cell r="I32">
            <v>4</v>
          </cell>
          <cell r="J32">
            <v>7</v>
          </cell>
          <cell r="K32">
            <v>12</v>
          </cell>
        </row>
        <row r="33">
          <cell r="B33">
            <v>4</v>
          </cell>
          <cell r="D33" t="str">
            <v>Xian</v>
          </cell>
          <cell r="E33">
            <v>3</v>
          </cell>
          <cell r="F33">
            <v>1</v>
          </cell>
          <cell r="G33">
            <v>1</v>
          </cell>
          <cell r="H33">
            <v>2</v>
          </cell>
          <cell r="I33">
            <v>4</v>
          </cell>
          <cell r="J33">
            <v>7</v>
          </cell>
          <cell r="K33">
            <v>12</v>
          </cell>
        </row>
        <row r="34">
          <cell r="B34">
            <v>6</v>
          </cell>
          <cell r="D34" t="str">
            <v>Xian</v>
          </cell>
          <cell r="E34">
            <v>3</v>
          </cell>
          <cell r="F34">
            <v>1</v>
          </cell>
          <cell r="G34">
            <v>1</v>
          </cell>
          <cell r="H34">
            <v>2</v>
          </cell>
          <cell r="I34">
            <v>4</v>
          </cell>
          <cell r="J34">
            <v>7</v>
          </cell>
          <cell r="K34">
            <v>12</v>
          </cell>
        </row>
        <row r="35">
          <cell r="B35">
            <v>4</v>
          </cell>
          <cell r="D35" t="str">
            <v>Xian</v>
          </cell>
          <cell r="E35">
            <v>3</v>
          </cell>
          <cell r="F35">
            <v>1</v>
          </cell>
          <cell r="G35">
            <v>1</v>
          </cell>
          <cell r="H35">
            <v>2</v>
          </cell>
          <cell r="I35">
            <v>4</v>
          </cell>
          <cell r="J35">
            <v>7</v>
          </cell>
          <cell r="K35">
            <v>12</v>
          </cell>
        </row>
        <row r="36">
          <cell r="B36">
            <v>6</v>
          </cell>
          <cell r="D36" t="str">
            <v>Xian</v>
          </cell>
          <cell r="E36">
            <v>3</v>
          </cell>
          <cell r="F36">
            <v>1</v>
          </cell>
          <cell r="G36">
            <v>1</v>
          </cell>
          <cell r="H36">
            <v>2</v>
          </cell>
          <cell r="I36">
            <v>4</v>
          </cell>
          <cell r="J36">
            <v>7</v>
          </cell>
          <cell r="K36">
            <v>12</v>
          </cell>
        </row>
        <row r="37">
          <cell r="B37">
            <v>5</v>
          </cell>
          <cell r="D37" t="str">
            <v>Fo</v>
          </cell>
          <cell r="E37">
            <v>3</v>
          </cell>
          <cell r="F37">
            <v>1</v>
          </cell>
          <cell r="G37">
            <v>1</v>
          </cell>
          <cell r="H37">
            <v>2</v>
          </cell>
          <cell r="I37">
            <v>4</v>
          </cell>
          <cell r="J37">
            <v>7</v>
          </cell>
          <cell r="K37">
            <v>12</v>
          </cell>
        </row>
        <row r="38">
          <cell r="B38">
            <v>5</v>
          </cell>
          <cell r="D38" t="str">
            <v>Fo</v>
          </cell>
          <cell r="E38">
            <v>3</v>
          </cell>
          <cell r="F38">
            <v>1</v>
          </cell>
          <cell r="G38">
            <v>1</v>
          </cell>
          <cell r="H38">
            <v>2</v>
          </cell>
          <cell r="I38">
            <v>4</v>
          </cell>
          <cell r="J38">
            <v>7</v>
          </cell>
          <cell r="K38">
            <v>12</v>
          </cell>
        </row>
        <row r="39">
          <cell r="B39">
            <v>6</v>
          </cell>
          <cell r="D39" t="str">
            <v>Fo</v>
          </cell>
          <cell r="E39">
            <v>3</v>
          </cell>
          <cell r="F39">
            <v>1</v>
          </cell>
          <cell r="G39">
            <v>1</v>
          </cell>
          <cell r="H39">
            <v>2</v>
          </cell>
          <cell r="I39">
            <v>4</v>
          </cell>
          <cell r="J39">
            <v>7</v>
          </cell>
          <cell r="K39">
            <v>12</v>
          </cell>
        </row>
      </sheetData>
      <sheetData sheetId="9">
        <row r="1">
          <cell r="B1" t="str">
            <v>F_Zijinboyu</v>
          </cell>
          <cell r="C1" t="str">
            <v>F_Jiuhuanxizhang</v>
          </cell>
          <cell r="D1" t="str">
            <v>F_Jinnanjiasha</v>
          </cell>
          <cell r="E1" t="str">
            <v>F_Jinguzhou</v>
          </cell>
          <cell r="F1" t="str">
            <v>F_Jingubang</v>
          </cell>
          <cell r="G1" t="str">
            <v>F_Yulongyinqiang</v>
          </cell>
          <cell r="H1" t="str">
            <v>F_Longling</v>
          </cell>
          <cell r="I1" t="str">
            <v>F_Jiuchidingpa</v>
          </cell>
          <cell r="J1" t="str">
            <v>F_Yuanshuaizhanpao</v>
          </cell>
          <cell r="K1" t="str">
            <v>F_Dingfengzhu</v>
          </cell>
          <cell r="L1" t="str">
            <v>F_Yueyachan</v>
          </cell>
          <cell r="M1" t="str">
            <v>F_Xiangmochu</v>
          </cell>
          <cell r="N1" t="str">
            <v>F_Xuanhuabanfu</v>
          </cell>
          <cell r="O1" t="str">
            <v>F_Xianbingpipa</v>
          </cell>
          <cell r="P1" t="str">
            <v>F_Tiangwangbaojian</v>
          </cell>
          <cell r="Q1" t="str">
            <v>F_Chilong</v>
          </cell>
          <cell r="R1" t="str">
            <v>F_Baopan</v>
          </cell>
          <cell r="S1" t="str">
            <v>F_Yinshu</v>
          </cell>
          <cell r="T1" t="str">
            <v>F_Huojianqiang</v>
          </cell>
          <cell r="U1" t="str">
            <v>F_Qiankunquan</v>
          </cell>
          <cell r="V1" t="str">
            <v>F_Huntianling</v>
          </cell>
          <cell r="W1" t="str">
            <v>F_Fenghuolun</v>
          </cell>
          <cell r="X1" t="str">
            <v>F_Zhetianpan</v>
          </cell>
          <cell r="Y1" t="str">
            <v>F_Dunlongzhu</v>
          </cell>
          <cell r="Z1" t="str">
            <v>F_Wugoushuangjian</v>
          </cell>
          <cell r="AA1" t="str">
            <v>F_Qiqiaolinglongta</v>
          </cell>
          <cell r="AB1" t="str">
            <v>F_Sanjianliangrendao</v>
          </cell>
          <cell r="AC1" t="str">
            <v>F_Tianquanya</v>
          </cell>
          <cell r="AD1" t="str">
            <v>F_Jingangzhuo</v>
          </cell>
          <cell r="AE1" t="str">
            <v>F_Yujingping</v>
          </cell>
          <cell r="AF1" t="str">
            <v>F_Qianshouguanyin</v>
          </cell>
          <cell r="AG1" t="str">
            <v>F_Yudilongpao</v>
          </cell>
          <cell r="AH1" t="str">
            <v>F_Lingxiaobaodian</v>
          </cell>
          <cell r="AI1" t="str">
            <v>F_Wangmuhongling</v>
          </cell>
          <cell r="AJ1" t="str">
            <v>F_Yaochi</v>
          </cell>
          <cell r="AK1" t="str">
            <v>F_Foguang</v>
          </cell>
          <cell r="AL1" t="str">
            <v>F_Rulainianzhu</v>
          </cell>
          <cell r="AM1" t="str">
            <v>F_Jinshenwuzhi</v>
          </cell>
          <cell r="AN1" t="str">
            <v>F_Lianhuatai</v>
          </cell>
        </row>
        <row r="3">
          <cell r="B3">
            <v>10</v>
          </cell>
          <cell r="C3">
            <v>10</v>
          </cell>
          <cell r="D3">
            <v>10</v>
          </cell>
          <cell r="E3" t="str">
            <v>锁定</v>
          </cell>
        </row>
        <row r="4">
          <cell r="F4">
            <v>10</v>
          </cell>
        </row>
        <row r="5">
          <cell r="I5">
            <v>10</v>
          </cell>
          <cell r="J5" t="str">
            <v>锁定</v>
          </cell>
        </row>
        <row r="6">
          <cell r="L6">
            <v>10</v>
          </cell>
          <cell r="M6">
            <v>10</v>
          </cell>
        </row>
        <row r="7">
          <cell r="G7">
            <v>10</v>
          </cell>
          <cell r="H7" t="str">
            <v>锁定</v>
          </cell>
        </row>
        <row r="9">
          <cell r="F9">
            <v>10</v>
          </cell>
        </row>
        <row r="14">
          <cell r="K14">
            <v>10</v>
          </cell>
        </row>
        <row r="15">
          <cell r="K15">
            <v>10</v>
          </cell>
        </row>
        <row r="16">
          <cell r="N16">
            <v>10</v>
          </cell>
        </row>
        <row r="17">
          <cell r="O17">
            <v>10</v>
          </cell>
        </row>
        <row r="18">
          <cell r="P18">
            <v>10</v>
          </cell>
        </row>
        <row r="19">
          <cell r="Q19">
            <v>10</v>
          </cell>
        </row>
        <row r="20">
          <cell r="R20">
            <v>10</v>
          </cell>
          <cell r="S20">
            <v>10</v>
          </cell>
        </row>
        <row r="21">
          <cell r="T21">
            <v>10</v>
          </cell>
          <cell r="U21">
            <v>10</v>
          </cell>
          <cell r="V21">
            <v>10</v>
          </cell>
          <cell r="W21">
            <v>10</v>
          </cell>
          <cell r="X21">
            <v>10</v>
          </cell>
        </row>
        <row r="22">
          <cell r="Y22">
            <v>10</v>
          </cell>
        </row>
        <row r="23">
          <cell r="Z23">
            <v>10</v>
          </cell>
        </row>
        <row r="24">
          <cell r="AA24">
            <v>10</v>
          </cell>
        </row>
        <row r="25">
          <cell r="AB25">
            <v>10</v>
          </cell>
        </row>
        <row r="26">
          <cell r="AC26">
            <v>10</v>
          </cell>
        </row>
        <row r="27">
          <cell r="AD27">
            <v>10</v>
          </cell>
        </row>
        <row r="28">
          <cell r="AE28">
            <v>10</v>
          </cell>
          <cell r="AF28">
            <v>10</v>
          </cell>
        </row>
        <row r="29">
          <cell r="AG29">
            <v>10</v>
          </cell>
          <cell r="AH29">
            <v>10</v>
          </cell>
        </row>
        <row r="30">
          <cell r="AI30">
            <v>10</v>
          </cell>
          <cell r="AJ30">
            <v>10</v>
          </cell>
        </row>
        <row r="31">
          <cell r="AK31">
            <v>10</v>
          </cell>
          <cell r="AL31">
            <v>10</v>
          </cell>
          <cell r="AM31">
            <v>10</v>
          </cell>
          <cell r="AN31">
            <v>10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30"/>
  <sheetViews>
    <sheetView workbookViewId="0">
      <selection activeCell="E23" sqref="E23"/>
    </sheetView>
  </sheetViews>
  <sheetFormatPr defaultRowHeight="13.5" x14ac:dyDescent="0.15"/>
  <cols>
    <col min="1" max="1" width="12.5" customWidth="1"/>
    <col min="3" max="3" width="9" style="1"/>
  </cols>
  <sheetData>
    <row r="1" spans="1:3" x14ac:dyDescent="0.15">
      <c r="A1" t="str">
        <f>[1]玩家卡牌配置表!A1</f>
        <v>PlayerCardID</v>
      </c>
      <c r="B1" t="str">
        <f>[1]玩家卡牌配置表!B1</f>
        <v>Name</v>
      </c>
      <c r="C1" t="str">
        <f>[1]玩家卡牌配置表!C1</f>
        <v>Desc</v>
      </c>
    </row>
    <row r="2" spans="1:3" x14ac:dyDescent="0.15">
      <c r="A2">
        <f>[1]玩家卡牌配置表!A2</f>
        <v>1</v>
      </c>
      <c r="B2" t="str">
        <f>[1]玩家卡牌配置表!B2</f>
        <v>C_TangSangzang</v>
      </c>
      <c r="C2" t="str">
        <f>[1]玩家卡牌配置表!C2</f>
        <v>唐三藏</v>
      </c>
    </row>
    <row r="3" spans="1:3" x14ac:dyDescent="0.15">
      <c r="A3">
        <f>[1]玩家卡牌配置表!A3</f>
        <v>2</v>
      </c>
      <c r="B3" t="str">
        <f>[1]玩家卡牌配置表!B3</f>
        <v>C_SunWukong</v>
      </c>
      <c r="C3" t="str">
        <f>[1]玩家卡牌配置表!C3</f>
        <v>孙悟空</v>
      </c>
    </row>
    <row r="4" spans="1:3" x14ac:dyDescent="0.15">
      <c r="A4">
        <f>[1]玩家卡牌配置表!A4</f>
        <v>3</v>
      </c>
      <c r="B4" t="str">
        <f>[1]玩家卡牌配置表!B4</f>
        <v>C_ZhuBajie</v>
      </c>
      <c r="C4" t="str">
        <f>[1]玩家卡牌配置表!C4</f>
        <v>猪八戒</v>
      </c>
    </row>
    <row r="5" spans="1:3" x14ac:dyDescent="0.15">
      <c r="A5">
        <f>[1]玩家卡牌配置表!A5</f>
        <v>4</v>
      </c>
      <c r="B5" t="str">
        <f>[1]玩家卡牌配置表!B5</f>
        <v>C_ShaHeshang</v>
      </c>
      <c r="C5" t="str">
        <f>[1]玩家卡牌配置表!C5</f>
        <v>沙和尚</v>
      </c>
    </row>
    <row r="6" spans="1:3" x14ac:dyDescent="0.15">
      <c r="A6">
        <f>[1]玩家卡牌配置表!A6</f>
        <v>5</v>
      </c>
      <c r="B6" t="str">
        <f>[1]玩家卡牌配置表!B6</f>
        <v>C_BaiLongma</v>
      </c>
      <c r="C6" t="str">
        <f>[1]玩家卡牌配置表!C6</f>
        <v>小白龙</v>
      </c>
    </row>
    <row r="7" spans="1:3" x14ac:dyDescent="0.15">
      <c r="A7">
        <f>[1]玩家卡牌配置表!A7</f>
        <v>6</v>
      </c>
      <c r="B7" t="str">
        <f>[1]玩家卡牌配置表!B7</f>
        <v>C_LiuBoxin</v>
      </c>
      <c r="C7" t="str">
        <f>[1]玩家卡牌配置表!C7</f>
        <v>猎户刘伯钦</v>
      </c>
    </row>
    <row r="8" spans="1:3" x14ac:dyDescent="0.15">
      <c r="A8">
        <f>[1]玩家卡牌配置表!A8</f>
        <v>7</v>
      </c>
      <c r="B8" t="str">
        <f>[1]玩家卡牌配置表!B8</f>
        <v>C_WukongLiuyi</v>
      </c>
      <c r="C8" t="str">
        <f>[1]玩家卡牌配置表!C8</f>
        <v>悟空六意</v>
      </c>
    </row>
    <row r="9" spans="1:3" x14ac:dyDescent="0.15">
      <c r="A9">
        <f>[1]玩家卡牌配置表!A9</f>
        <v>8</v>
      </c>
      <c r="B9" t="str">
        <f>[1]玩家卡牌配置表!B9</f>
        <v>C_GuiChengxiang</v>
      </c>
      <c r="C9" t="str">
        <f>[1]玩家卡牌配置表!C9</f>
        <v>龟丞相</v>
      </c>
    </row>
    <row r="10" spans="1:3" x14ac:dyDescent="0.15">
      <c r="A10">
        <f>[1]玩家卡牌配置表!A10</f>
        <v>9</v>
      </c>
      <c r="B10" t="str">
        <f>[1]玩家卡牌配置表!B10</f>
        <v>C_LingXuzi</v>
      </c>
      <c r="C10" t="str">
        <f>[1]玩家卡牌配置表!C10</f>
        <v>凌虚子</v>
      </c>
    </row>
    <row r="11" spans="1:3" x14ac:dyDescent="0.15">
      <c r="A11">
        <f>[1]玩家卡牌配置表!A11</f>
        <v>10</v>
      </c>
      <c r="B11" t="str">
        <f>[1]玩家卡牌配置表!B11</f>
        <v>C_HeiXiongjing</v>
      </c>
      <c r="C11" t="str">
        <f>[1]玩家卡牌配置表!C11</f>
        <v>黑熊精</v>
      </c>
    </row>
    <row r="12" spans="1:3" x14ac:dyDescent="0.15">
      <c r="A12">
        <f>[1]玩家卡牌配置表!A12</f>
        <v>11</v>
      </c>
      <c r="B12" t="str">
        <f>[1]玩家卡牌配置表!B12</f>
        <v>C_HuXianfeng</v>
      </c>
      <c r="C12" t="str">
        <f>[1]玩家卡牌配置表!C12</f>
        <v>虎先锋</v>
      </c>
    </row>
    <row r="13" spans="1:3" x14ac:dyDescent="0.15">
      <c r="A13">
        <f>[1]玩家卡牌配置表!A13</f>
        <v>12</v>
      </c>
      <c r="B13" t="str">
        <f>[1]玩家卡牌配置表!B13</f>
        <v>C_HuangFengguai</v>
      </c>
      <c r="C13" t="str">
        <f>[1]玩家卡牌配置表!C13</f>
        <v>黄风怪</v>
      </c>
    </row>
    <row r="14" spans="1:3" x14ac:dyDescent="0.15">
      <c r="A14">
        <f>[1]玩家卡牌配置表!A14</f>
        <v>13</v>
      </c>
      <c r="B14" t="str">
        <f>[1]玩家卡牌配置表!B14</f>
        <v>C_LingjiPusa</v>
      </c>
      <c r="C14" t="str">
        <f>[1]玩家卡牌配置表!C14</f>
        <v>灵吉菩萨</v>
      </c>
    </row>
    <row r="15" spans="1:3" x14ac:dyDescent="0.15">
      <c r="A15">
        <f>[1]玩家卡牌配置表!A15</f>
        <v>14</v>
      </c>
      <c r="B15" t="str">
        <f>[1]玩家卡牌配置表!B15</f>
        <v>C_Julingshen</v>
      </c>
      <c r="C15" t="str">
        <f>[1]玩家卡牌配置表!C15</f>
        <v>巨灵神</v>
      </c>
    </row>
    <row r="16" spans="1:3" x14ac:dyDescent="0.15">
      <c r="A16">
        <f>[1]玩家卡牌配置表!A16</f>
        <v>15</v>
      </c>
      <c r="B16" t="str">
        <f>[1]玩家卡牌配置表!B16</f>
        <v>C_Duoluozha</v>
      </c>
      <c r="C16" t="str">
        <f>[1]玩家卡牌配置表!C16</f>
        <v>多罗吒</v>
      </c>
    </row>
    <row r="17" spans="1:3" x14ac:dyDescent="0.15">
      <c r="A17">
        <f>[1]玩家卡牌配置表!A17</f>
        <v>16</v>
      </c>
      <c r="B17" t="str">
        <f>[1]玩家卡牌配置表!B17</f>
        <v>C_Piliuli</v>
      </c>
      <c r="C17" t="str">
        <f>[1]玩家卡牌配置表!C17</f>
        <v>毗琉璃</v>
      </c>
    </row>
    <row r="18" spans="1:3" x14ac:dyDescent="0.15">
      <c r="A18">
        <f>[1]玩家卡牌配置表!A18</f>
        <v>17</v>
      </c>
      <c r="B18" t="str">
        <f>[1]玩家卡牌配置表!B18</f>
        <v>C_Liubocha</v>
      </c>
      <c r="C18" t="str">
        <f>[1]玩家卡牌配置表!C18</f>
        <v>留博叉</v>
      </c>
    </row>
    <row r="19" spans="1:3" x14ac:dyDescent="0.15">
      <c r="A19">
        <f>[1]玩家卡牌配置表!A19</f>
        <v>18</v>
      </c>
      <c r="B19" t="str">
        <f>[1]玩家卡牌配置表!B19</f>
        <v>C_Pishamen</v>
      </c>
      <c r="C19" t="str">
        <f>[1]玩家卡牌配置表!C19</f>
        <v>毗沙门</v>
      </c>
    </row>
    <row r="20" spans="1:3" x14ac:dyDescent="0.15">
      <c r="A20">
        <f>[1]玩家卡牌配置表!A20</f>
        <v>19</v>
      </c>
      <c r="B20" t="str">
        <f>[1]玩家卡牌配置表!B20</f>
        <v>C_Nezha</v>
      </c>
      <c r="C20" t="str">
        <f>[1]玩家卡牌配置表!C20</f>
        <v>哪咤</v>
      </c>
    </row>
    <row r="21" spans="1:3" x14ac:dyDescent="0.15">
      <c r="A21">
        <f>[1]玩家卡牌配置表!A21</f>
        <v>20</v>
      </c>
      <c r="B21" t="str">
        <f>[1]玩家卡牌配置表!B21</f>
        <v>C_Jinzha</v>
      </c>
      <c r="C21" t="str">
        <f>[1]玩家卡牌配置表!C21</f>
        <v>金吒</v>
      </c>
    </row>
    <row r="22" spans="1:3" x14ac:dyDescent="0.15">
      <c r="A22">
        <f>[1]玩家卡牌配置表!A22</f>
        <v>21</v>
      </c>
      <c r="B22" t="str">
        <f>[1]玩家卡牌配置表!B22</f>
        <v>C_Muzha</v>
      </c>
      <c r="C22" t="str">
        <f>[1]玩家卡牌配置表!C22</f>
        <v>木吒</v>
      </c>
    </row>
    <row r="23" spans="1:3" x14ac:dyDescent="0.15">
      <c r="A23">
        <f>[1]玩家卡牌配置表!A23</f>
        <v>22</v>
      </c>
      <c r="B23" t="str">
        <f>[1]玩家卡牌配置表!B23</f>
        <v>C_Lijing</v>
      </c>
      <c r="C23" t="str">
        <f>[1]玩家卡牌配置表!C23</f>
        <v>李靖</v>
      </c>
    </row>
    <row r="24" spans="1:3" x14ac:dyDescent="0.15">
      <c r="A24">
        <f>[1]玩家卡牌配置表!A24</f>
        <v>23</v>
      </c>
      <c r="B24" t="str">
        <f>[1]玩家卡牌配置表!B24</f>
        <v>C_Erlangshen</v>
      </c>
      <c r="C24" t="str">
        <f>[1]玩家卡牌配置表!C24</f>
        <v>二郎神</v>
      </c>
    </row>
    <row r="25" spans="1:3" x14ac:dyDescent="0.15">
      <c r="A25">
        <f>[1]玩家卡牌配置表!A25</f>
        <v>24</v>
      </c>
      <c r="B25" t="str">
        <f>[1]玩家卡牌配置表!B25</f>
        <v>C_Xiaotianquan</v>
      </c>
      <c r="C25" t="str">
        <f>[1]玩家卡牌配置表!C25</f>
        <v>哮天犬</v>
      </c>
    </row>
    <row r="26" spans="1:3" x14ac:dyDescent="0.15">
      <c r="A26">
        <f>[1]玩家卡牌配置表!A26</f>
        <v>25</v>
      </c>
      <c r="B26" t="str">
        <f>[1]玩家卡牌配置表!B26</f>
        <v>C_Taishanglaojun</v>
      </c>
      <c r="C26" t="str">
        <f>[1]玩家卡牌配置表!C26</f>
        <v>太上老君</v>
      </c>
    </row>
    <row r="27" spans="1:3" x14ac:dyDescent="0.15">
      <c r="A27">
        <f>[1]玩家卡牌配置表!A27</f>
        <v>26</v>
      </c>
      <c r="B27" t="str">
        <f>[1]玩家卡牌配置表!B27</f>
        <v>C_Guanyin</v>
      </c>
      <c r="C27" t="str">
        <f>[1]玩家卡牌配置表!C27</f>
        <v>观音</v>
      </c>
    </row>
    <row r="28" spans="1:3" x14ac:dyDescent="0.15">
      <c r="A28">
        <f>[1]玩家卡牌配置表!A28</f>
        <v>27</v>
      </c>
      <c r="B28" t="str">
        <f>[1]玩家卡牌配置表!B28</f>
        <v>C_Yudi</v>
      </c>
      <c r="C28" t="str">
        <f>[1]玩家卡牌配置表!C28</f>
        <v>玉帝</v>
      </c>
    </row>
    <row r="29" spans="1:3" x14ac:dyDescent="0.15">
      <c r="A29">
        <f>[1]玩家卡牌配置表!A29</f>
        <v>28</v>
      </c>
      <c r="B29" t="str">
        <f>[1]玩家卡牌配置表!B29</f>
        <v>C_Wangmu</v>
      </c>
      <c r="C29" t="str">
        <f>[1]玩家卡牌配置表!C29</f>
        <v>王母</v>
      </c>
    </row>
    <row r="30" spans="1:3" x14ac:dyDescent="0.15">
      <c r="A30">
        <f>[1]玩家卡牌配置表!A30</f>
        <v>29</v>
      </c>
      <c r="B30" t="str">
        <f>[1]玩家卡牌配置表!B30</f>
        <v>C_Rulai</v>
      </c>
      <c r="C30" t="str">
        <f>[1]玩家卡牌配置表!C30</f>
        <v>如来</v>
      </c>
    </row>
  </sheetData>
  <phoneticPr fontId="1" type="noConversion"/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SV">
                <anchor moveWithCells="1" sizeWithCells="1">
                  <from>
                    <xdr:col>5</xdr:col>
                    <xdr:colOff>304800</xdr:colOff>
                    <xdr:row>2</xdr:row>
                    <xdr:rowOff>28575</xdr:rowOff>
                  </from>
                  <to>
                    <xdr:col>6</xdr:col>
                    <xdr:colOff>609600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9"/>
  <sheetViews>
    <sheetView tabSelected="1" topLeftCell="A25" workbookViewId="0">
      <selection activeCell="C2" sqref="C2:J39"/>
    </sheetView>
  </sheetViews>
  <sheetFormatPr defaultRowHeight="13.5" x14ac:dyDescent="0.15"/>
  <sheetData>
    <row r="1" spans="1:10" x14ac:dyDescent="0.1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</row>
    <row r="2" spans="1:10" x14ac:dyDescent="0.15">
      <c r="A2" t="str">
        <f>[1]法宝人物匹配!$B$1</f>
        <v>F_Zijinboyu</v>
      </c>
      <c r="B2">
        <f>[1]法宝配置表!$B$2</f>
        <v>4</v>
      </c>
      <c r="C2" t="str">
        <f>[1]法宝配置表!$D$2</f>
        <v>Fo</v>
      </c>
      <c r="D2">
        <f>[1]法宝配置表!$E$2</f>
        <v>3</v>
      </c>
      <c r="E2">
        <f>[1]法宝配置表!$F$2</f>
        <v>1</v>
      </c>
      <c r="F2">
        <f>[1]法宝配置表!$G$2</f>
        <v>1</v>
      </c>
      <c r="G2">
        <f>[1]法宝配置表!$H$2</f>
        <v>2</v>
      </c>
      <c r="H2">
        <f>[1]法宝配置表!$I$2</f>
        <v>4</v>
      </c>
      <c r="I2">
        <f>[1]法宝配置表!$J$2</f>
        <v>7</v>
      </c>
      <c r="J2">
        <f>[1]法宝配置表!$K$2</f>
        <v>12</v>
      </c>
    </row>
    <row r="3" spans="1:10" x14ac:dyDescent="0.15">
      <c r="A3" t="str">
        <f>[1]法宝人物匹配!$C$1</f>
        <v>F_Jiuhuanxizhang</v>
      </c>
      <c r="B3">
        <f>[1]法宝配置表!$B$3</f>
        <v>5</v>
      </c>
      <c r="C3" t="str">
        <f>[1]法宝配置表!$D$3</f>
        <v>Fo</v>
      </c>
      <c r="D3">
        <f>[1]法宝配置表!$E$3</f>
        <v>3</v>
      </c>
      <c r="E3">
        <f>[1]法宝配置表!$F$3</f>
        <v>1</v>
      </c>
      <c r="F3">
        <f>[1]法宝配置表!$G$3</f>
        <v>1</v>
      </c>
      <c r="G3">
        <f>[1]法宝配置表!$H$3</f>
        <v>2</v>
      </c>
      <c r="H3">
        <f>[1]法宝配置表!$I$3</f>
        <v>4</v>
      </c>
      <c r="I3">
        <f>[1]法宝配置表!$J$3</f>
        <v>7</v>
      </c>
      <c r="J3">
        <f>[1]法宝配置表!$K$3</f>
        <v>12</v>
      </c>
    </row>
    <row r="4" spans="1:10" x14ac:dyDescent="0.15">
      <c r="A4" t="str">
        <f>[1]法宝人物匹配!$D$1</f>
        <v>F_Jinnanjiasha</v>
      </c>
      <c r="B4">
        <f>[1]法宝配置表!$B$4</f>
        <v>5</v>
      </c>
      <c r="C4" t="str">
        <f>[1]法宝配置表!$D$4</f>
        <v>Fo</v>
      </c>
      <c r="D4">
        <f>[1]法宝配置表!$E$4</f>
        <v>3</v>
      </c>
      <c r="E4">
        <f>[1]法宝配置表!$F$4</f>
        <v>1</v>
      </c>
      <c r="F4">
        <f>[1]法宝配置表!$G$4</f>
        <v>1</v>
      </c>
      <c r="G4">
        <f>[1]法宝配置表!$H$4</f>
        <v>2</v>
      </c>
      <c r="H4">
        <f>[1]法宝配置表!$I$4</f>
        <v>4</v>
      </c>
      <c r="I4">
        <f>[1]法宝配置表!$J$4</f>
        <v>7</v>
      </c>
      <c r="J4">
        <f>[1]法宝配置表!$K$4</f>
        <v>12</v>
      </c>
    </row>
    <row r="5" spans="1:10" x14ac:dyDescent="0.15">
      <c r="A5" t="str">
        <f>[1]法宝人物匹配!$E$1</f>
        <v>F_Jinguzhou</v>
      </c>
      <c r="B5">
        <f>[1]法宝配置表!$B$5</f>
        <v>4</v>
      </c>
      <c r="C5" t="str">
        <f>[1]法宝配置表!$D$5</f>
        <v>Fo</v>
      </c>
      <c r="D5">
        <f>[1]法宝配置表!$E$5</f>
        <v>3</v>
      </c>
      <c r="E5">
        <f>[1]法宝配置表!$F$5</f>
        <v>1</v>
      </c>
      <c r="F5">
        <f>[1]法宝配置表!$G$5</f>
        <v>1</v>
      </c>
      <c r="G5">
        <f>[1]法宝配置表!$H$5</f>
        <v>2</v>
      </c>
      <c r="H5">
        <f>[1]法宝配置表!$I$5</f>
        <v>4</v>
      </c>
      <c r="I5">
        <f>[1]法宝配置表!$J$5</f>
        <v>7</v>
      </c>
      <c r="J5">
        <f>[1]法宝配置表!$K$5</f>
        <v>12</v>
      </c>
    </row>
    <row r="6" spans="1:10" x14ac:dyDescent="0.15">
      <c r="A6" t="str">
        <f>[1]法宝人物匹配!$F$1</f>
        <v>F_Jingubang</v>
      </c>
      <c r="B6">
        <f>[1]法宝配置表!$B$6</f>
        <v>6</v>
      </c>
      <c r="C6" t="str">
        <f>[1]法宝配置表!$D$6</f>
        <v>Xian</v>
      </c>
      <c r="D6">
        <f>[1]法宝配置表!$E$6</f>
        <v>3</v>
      </c>
      <c r="E6">
        <f>[1]法宝配置表!$F$6</f>
        <v>1</v>
      </c>
      <c r="F6">
        <f>[1]法宝配置表!$G$6</f>
        <v>1</v>
      </c>
      <c r="G6">
        <f>[1]法宝配置表!$H$6</f>
        <v>2</v>
      </c>
      <c r="H6">
        <f>[1]法宝配置表!$I$6</f>
        <v>4</v>
      </c>
      <c r="I6">
        <f>[1]法宝配置表!$J$6</f>
        <v>7</v>
      </c>
      <c r="J6">
        <f>[1]法宝配置表!$K$6</f>
        <v>12</v>
      </c>
    </row>
    <row r="7" spans="1:10" x14ac:dyDescent="0.15">
      <c r="A7" t="str">
        <f>[1]法宝人物匹配!$G$1</f>
        <v>F_Yulongyinqiang</v>
      </c>
      <c r="B7">
        <f>[1]法宝配置表!$B$7</f>
        <v>3</v>
      </c>
      <c r="C7" t="str">
        <f>[1]法宝配置表!$D$7</f>
        <v>Sha</v>
      </c>
      <c r="D7">
        <f>[1]法宝配置表!$E$7</f>
        <v>3</v>
      </c>
      <c r="E7">
        <f>[1]法宝配置表!$F$7</f>
        <v>1</v>
      </c>
      <c r="F7">
        <f>[1]法宝配置表!$G$7</f>
        <v>1</v>
      </c>
      <c r="G7">
        <f>[1]法宝配置表!$H$7</f>
        <v>2</v>
      </c>
      <c r="H7">
        <f>[1]法宝配置表!$I$7</f>
        <v>4</v>
      </c>
      <c r="I7">
        <f>[1]法宝配置表!$J$7</f>
        <v>7</v>
      </c>
      <c r="J7">
        <f>[1]法宝配置表!$K$7</f>
        <v>12</v>
      </c>
    </row>
    <row r="8" spans="1:10" x14ac:dyDescent="0.15">
      <c r="A8" t="str">
        <f>[1]法宝人物匹配!$H$1</f>
        <v>F_Longling</v>
      </c>
      <c r="B8">
        <f>[1]法宝配置表!$B$8</f>
        <v>4</v>
      </c>
      <c r="C8" t="str">
        <f>[1]法宝配置表!$D$8</f>
        <v>Xian</v>
      </c>
      <c r="D8">
        <f>[1]法宝配置表!$E$8</f>
        <v>3</v>
      </c>
      <c r="E8">
        <f>[1]法宝配置表!$F$8</f>
        <v>1</v>
      </c>
      <c r="F8">
        <f>[1]法宝配置表!$G$8</f>
        <v>1</v>
      </c>
      <c r="G8">
        <f>[1]法宝配置表!$H$8</f>
        <v>2</v>
      </c>
      <c r="H8">
        <f>[1]法宝配置表!$I$8</f>
        <v>4</v>
      </c>
      <c r="I8">
        <f>[1]法宝配置表!$J$8</f>
        <v>7</v>
      </c>
      <c r="J8">
        <f>[1]法宝配置表!$K$8</f>
        <v>12</v>
      </c>
    </row>
    <row r="9" spans="1:10" x14ac:dyDescent="0.15">
      <c r="A9" t="str">
        <f>[1]法宝人物匹配!$I$1</f>
        <v>F_Jiuchidingpa</v>
      </c>
      <c r="B9">
        <f>[1]法宝配置表!$B$9</f>
        <v>4</v>
      </c>
      <c r="C9" t="str">
        <f>[1]法宝配置表!$D$9</f>
        <v>Sha</v>
      </c>
      <c r="D9">
        <f>[1]法宝配置表!$E$9</f>
        <v>3</v>
      </c>
      <c r="E9">
        <f>[1]法宝配置表!$F$9</f>
        <v>1</v>
      </c>
      <c r="F9">
        <f>[1]法宝配置表!$G$9</f>
        <v>1</v>
      </c>
      <c r="G9">
        <f>[1]法宝配置表!$H$9</f>
        <v>2</v>
      </c>
      <c r="H9">
        <f>[1]法宝配置表!$I$9</f>
        <v>4</v>
      </c>
      <c r="I9">
        <f>[1]法宝配置表!$J$9</f>
        <v>7</v>
      </c>
      <c r="J9">
        <f>[1]法宝配置表!$K$9</f>
        <v>12</v>
      </c>
    </row>
    <row r="10" spans="1:10" x14ac:dyDescent="0.15">
      <c r="A10" t="str">
        <f>[1]法宝人物匹配!$J$1</f>
        <v>F_Yuanshuaizhanpao</v>
      </c>
      <c r="B10">
        <f>[1]法宝配置表!$B$10</f>
        <v>5</v>
      </c>
      <c r="C10" t="str">
        <f>[1]法宝配置表!$D$10</f>
        <v>Xian</v>
      </c>
      <c r="D10">
        <f>[1]法宝配置表!$E$10</f>
        <v>3</v>
      </c>
      <c r="E10">
        <f>[1]法宝配置表!$F$10</f>
        <v>1</v>
      </c>
      <c r="F10">
        <f>[1]法宝配置表!$G$10</f>
        <v>1</v>
      </c>
      <c r="G10">
        <f>[1]法宝配置表!$H$10</f>
        <v>2</v>
      </c>
      <c r="H10">
        <f>[1]法宝配置表!$I$10</f>
        <v>4</v>
      </c>
      <c r="I10">
        <f>[1]法宝配置表!$J$10</f>
        <v>7</v>
      </c>
      <c r="J10">
        <f>[1]法宝配置表!$K$10</f>
        <v>12</v>
      </c>
    </row>
    <row r="11" spans="1:10" x14ac:dyDescent="0.15">
      <c r="A11" t="str">
        <f>[1]法宝人物匹配!$K$1</f>
        <v>F_Dingfengzhu</v>
      </c>
      <c r="B11">
        <f>[1]法宝配置表!$B$11</f>
        <v>3</v>
      </c>
      <c r="C11" t="str">
        <f>[1]法宝配置表!$D$11</f>
        <v>Mo</v>
      </c>
      <c r="D11">
        <f>[1]法宝配置表!$E$11</f>
        <v>3</v>
      </c>
      <c r="E11">
        <f>[1]法宝配置表!$F$11</f>
        <v>1</v>
      </c>
      <c r="F11">
        <f>[1]法宝配置表!$G$11</f>
        <v>1</v>
      </c>
      <c r="G11">
        <f>[1]法宝配置表!$H$11</f>
        <v>2</v>
      </c>
      <c r="H11">
        <f>[1]法宝配置表!$I$11</f>
        <v>4</v>
      </c>
      <c r="I11">
        <f>[1]法宝配置表!$J$11</f>
        <v>7</v>
      </c>
      <c r="J11">
        <f>[1]法宝配置表!$K$11</f>
        <v>12</v>
      </c>
    </row>
    <row r="12" spans="1:10" x14ac:dyDescent="0.15">
      <c r="A12" t="str">
        <f>[1]法宝人物匹配!$L$1</f>
        <v>F_Yueyachan</v>
      </c>
      <c r="B12">
        <f>[1]法宝配置表!$B$12</f>
        <v>4</v>
      </c>
      <c r="C12" t="str">
        <f>[1]法宝配置表!$D$12</f>
        <v>Mo</v>
      </c>
      <c r="D12">
        <f>[1]法宝配置表!$E$12</f>
        <v>3</v>
      </c>
      <c r="E12">
        <f>[1]法宝配置表!$F$12</f>
        <v>1</v>
      </c>
      <c r="F12">
        <f>[1]法宝配置表!$G$12</f>
        <v>1</v>
      </c>
      <c r="G12">
        <f>[1]法宝配置表!$H$12</f>
        <v>2</v>
      </c>
      <c r="H12">
        <f>[1]法宝配置表!$I$12</f>
        <v>4</v>
      </c>
      <c r="I12">
        <f>[1]法宝配置表!$J$12</f>
        <v>7</v>
      </c>
      <c r="J12">
        <f>[1]法宝配置表!$K$12</f>
        <v>12</v>
      </c>
    </row>
    <row r="13" spans="1:10" x14ac:dyDescent="0.15">
      <c r="A13" t="str">
        <f>[1]法宝人物匹配!$M$1</f>
        <v>F_Xiangmochu</v>
      </c>
      <c r="B13">
        <f>[1]法宝配置表!$B$13</f>
        <v>4</v>
      </c>
      <c r="C13" t="str">
        <f>[1]法宝配置表!$D$13</f>
        <v>Xian</v>
      </c>
      <c r="D13">
        <f>[1]法宝配置表!$E$13</f>
        <v>3</v>
      </c>
      <c r="E13">
        <f>[1]法宝配置表!$F$13</f>
        <v>1</v>
      </c>
      <c r="F13">
        <f>[1]法宝配置表!$G$13</f>
        <v>1</v>
      </c>
      <c r="G13">
        <f>[1]法宝配置表!$H$13</f>
        <v>2</v>
      </c>
      <c r="H13">
        <f>[1]法宝配置表!$I$13</f>
        <v>4</v>
      </c>
      <c r="I13">
        <f>[1]法宝配置表!$J$13</f>
        <v>7</v>
      </c>
      <c r="J13">
        <f>[1]法宝配置表!$K$13</f>
        <v>12</v>
      </c>
    </row>
    <row r="14" spans="1:10" x14ac:dyDescent="0.15">
      <c r="A14" t="str">
        <f>[1]法宝人物匹配!$N$1</f>
        <v>F_Xuanhuabanfu</v>
      </c>
      <c r="B14">
        <f>[1]法宝配置表!$B$14</f>
        <v>4</v>
      </c>
      <c r="C14" t="str">
        <f>[1]法宝配置表!$D$14</f>
        <v>Sha</v>
      </c>
      <c r="D14">
        <f>[1]法宝配置表!$E$14</f>
        <v>3</v>
      </c>
      <c r="E14">
        <f>[1]法宝配置表!$F$14</f>
        <v>1</v>
      </c>
      <c r="F14">
        <f>[1]法宝配置表!$G$14</f>
        <v>1</v>
      </c>
      <c r="G14">
        <f>[1]法宝配置表!$H$14</f>
        <v>2</v>
      </c>
      <c r="H14">
        <f>[1]法宝配置表!$I$14</f>
        <v>4</v>
      </c>
      <c r="I14">
        <f>[1]法宝配置表!$J$14</f>
        <v>7</v>
      </c>
      <c r="J14">
        <f>[1]法宝配置表!$K$14</f>
        <v>12</v>
      </c>
    </row>
    <row r="15" spans="1:10" x14ac:dyDescent="0.15">
      <c r="A15" t="str">
        <f>[1]法宝人物匹配!$O$1</f>
        <v>F_Xianbingpipa</v>
      </c>
      <c r="B15">
        <f>[1]法宝配置表!$B$15</f>
        <v>3</v>
      </c>
      <c r="C15" t="str">
        <f>[1]法宝配置表!$D$15</f>
        <v>Fo</v>
      </c>
      <c r="D15">
        <f>[1]法宝配置表!$E$15</f>
        <v>3</v>
      </c>
      <c r="E15">
        <f>[1]法宝配置表!$F$15</f>
        <v>1</v>
      </c>
      <c r="F15">
        <f>[1]法宝配置表!$G$15</f>
        <v>1</v>
      </c>
      <c r="G15">
        <f>[1]法宝配置表!$H$15</f>
        <v>2</v>
      </c>
      <c r="H15">
        <f>[1]法宝配置表!$I$15</f>
        <v>4</v>
      </c>
      <c r="I15">
        <f>[1]法宝配置表!$J$15</f>
        <v>7</v>
      </c>
      <c r="J15">
        <f>[1]法宝配置表!$K$15</f>
        <v>12</v>
      </c>
    </row>
    <row r="16" spans="1:10" x14ac:dyDescent="0.15">
      <c r="A16" t="str">
        <f>[1]法宝人物匹配!$P$1</f>
        <v>F_Tiangwangbaojian</v>
      </c>
      <c r="B16">
        <f>[1]法宝配置表!$B$16</f>
        <v>3</v>
      </c>
      <c r="C16" t="str">
        <f>[1]法宝配置表!$D$16</f>
        <v>Sha</v>
      </c>
      <c r="D16">
        <f>[1]法宝配置表!$E$16</f>
        <v>3</v>
      </c>
      <c r="E16">
        <f>[1]法宝配置表!$F$16</f>
        <v>1</v>
      </c>
      <c r="F16">
        <f>[1]法宝配置表!$G$16</f>
        <v>1</v>
      </c>
      <c r="G16">
        <f>[1]法宝配置表!$H$16</f>
        <v>2</v>
      </c>
      <c r="H16">
        <f>[1]法宝配置表!$I$16</f>
        <v>4</v>
      </c>
      <c r="I16">
        <f>[1]法宝配置表!$J$16</f>
        <v>7</v>
      </c>
      <c r="J16">
        <f>[1]法宝配置表!$K$16</f>
        <v>12</v>
      </c>
    </row>
    <row r="17" spans="1:10" x14ac:dyDescent="0.15">
      <c r="A17" t="str">
        <f>[1]法宝人物匹配!$Q$1</f>
        <v>F_Chilong</v>
      </c>
      <c r="B17">
        <f>[1]法宝配置表!$B$17</f>
        <v>3</v>
      </c>
      <c r="C17" t="str">
        <f>[1]法宝配置表!$D$17</f>
        <v>Fo</v>
      </c>
      <c r="D17">
        <f>[1]法宝配置表!$E$17</f>
        <v>3</v>
      </c>
      <c r="E17">
        <f>[1]法宝配置表!$F$17</f>
        <v>1</v>
      </c>
      <c r="F17">
        <f>[1]法宝配置表!$G$17</f>
        <v>1</v>
      </c>
      <c r="G17">
        <f>[1]法宝配置表!$H$17</f>
        <v>2</v>
      </c>
      <c r="H17">
        <f>[1]法宝配置表!$I$17</f>
        <v>4</v>
      </c>
      <c r="I17">
        <f>[1]法宝配置表!$J$17</f>
        <v>7</v>
      </c>
      <c r="J17">
        <f>[1]法宝配置表!$K$17</f>
        <v>12</v>
      </c>
    </row>
    <row r="18" spans="1:10" x14ac:dyDescent="0.15">
      <c r="A18" t="str">
        <f>[1]法宝人物匹配!$R$1</f>
        <v>F_Baopan</v>
      </c>
      <c r="B18">
        <f>[1]法宝配置表!$B$18</f>
        <v>3</v>
      </c>
      <c r="C18" t="str">
        <f>[1]法宝配置表!$D$18</f>
        <v>Fo</v>
      </c>
      <c r="D18">
        <f>[1]法宝配置表!$E$18</f>
        <v>3</v>
      </c>
      <c r="E18">
        <f>[1]法宝配置表!$F$18</f>
        <v>1</v>
      </c>
      <c r="F18">
        <f>[1]法宝配置表!$G$18</f>
        <v>1</v>
      </c>
      <c r="G18">
        <f>[1]法宝配置表!$H$18</f>
        <v>2</v>
      </c>
      <c r="H18">
        <f>[1]法宝配置表!$I$18</f>
        <v>4</v>
      </c>
      <c r="I18">
        <f>[1]法宝配置表!$J$18</f>
        <v>7</v>
      </c>
      <c r="J18">
        <f>[1]法宝配置表!$K$18</f>
        <v>12</v>
      </c>
    </row>
    <row r="19" spans="1:10" x14ac:dyDescent="0.15">
      <c r="A19" t="str">
        <f>[1]法宝人物匹配!$S$1</f>
        <v>F_Yinshu</v>
      </c>
      <c r="B19">
        <f>[1]法宝配置表!$B$19</f>
        <v>3</v>
      </c>
      <c r="C19" t="str">
        <f>[1]法宝配置表!$D$19</f>
        <v>Fo</v>
      </c>
      <c r="D19">
        <f>[1]法宝配置表!$E$19</f>
        <v>3</v>
      </c>
      <c r="E19">
        <f>[1]法宝配置表!$F$19</f>
        <v>1</v>
      </c>
      <c r="F19">
        <f>[1]法宝配置表!$G$19</f>
        <v>1</v>
      </c>
      <c r="G19">
        <f>[1]法宝配置表!$H$19</f>
        <v>2</v>
      </c>
      <c r="H19">
        <f>[1]法宝配置表!$I$19</f>
        <v>4</v>
      </c>
      <c r="I19">
        <f>[1]法宝配置表!$J$19</f>
        <v>7</v>
      </c>
      <c r="J19">
        <f>[1]法宝配置表!$K$19</f>
        <v>12</v>
      </c>
    </row>
    <row r="20" spans="1:10" x14ac:dyDescent="0.15">
      <c r="A20" t="str">
        <f>[1]法宝人物匹配!$T$1</f>
        <v>F_Huojianqiang</v>
      </c>
      <c r="B20">
        <f>[1]法宝配置表!$B$20</f>
        <v>4</v>
      </c>
      <c r="C20" t="str">
        <f>[1]法宝配置表!$D$20</f>
        <v>Sha</v>
      </c>
      <c r="D20">
        <f>[1]法宝配置表!$E$20</f>
        <v>3</v>
      </c>
      <c r="E20">
        <f>[1]法宝配置表!$F$20</f>
        <v>1</v>
      </c>
      <c r="F20">
        <f>[1]法宝配置表!$G$20</f>
        <v>1</v>
      </c>
      <c r="G20">
        <f>[1]法宝配置表!$H$20</f>
        <v>2</v>
      </c>
      <c r="H20">
        <f>[1]法宝配置表!$I$20</f>
        <v>4</v>
      </c>
      <c r="I20">
        <f>[1]法宝配置表!$J$20</f>
        <v>7</v>
      </c>
      <c r="J20">
        <f>[1]法宝配置表!$K$20</f>
        <v>12</v>
      </c>
    </row>
    <row r="21" spans="1:10" x14ac:dyDescent="0.15">
      <c r="A21" t="str">
        <f>[1]法宝人物匹配!$U$1</f>
        <v>F_Qiankunquan</v>
      </c>
      <c r="B21">
        <f>[1]法宝配置表!$B$21</f>
        <v>5</v>
      </c>
      <c r="C21" t="str">
        <f>[1]法宝配置表!$D$21</f>
        <v>Xian</v>
      </c>
      <c r="D21">
        <f>[1]法宝配置表!$E$21</f>
        <v>3</v>
      </c>
      <c r="E21">
        <f>[1]法宝配置表!$F$21</f>
        <v>1</v>
      </c>
      <c r="F21">
        <f>[1]法宝配置表!$G$21</f>
        <v>1</v>
      </c>
      <c r="G21">
        <f>[1]法宝配置表!$H$21</f>
        <v>2</v>
      </c>
      <c r="H21">
        <f>[1]法宝配置表!$I$21</f>
        <v>4</v>
      </c>
      <c r="I21">
        <f>[1]法宝配置表!$J$21</f>
        <v>7</v>
      </c>
      <c r="J21">
        <f>[1]法宝配置表!$K$21</f>
        <v>12</v>
      </c>
    </row>
    <row r="22" spans="1:10" x14ac:dyDescent="0.15">
      <c r="A22" t="str">
        <f>[1]法宝人物匹配!$V$1</f>
        <v>F_Huntianling</v>
      </c>
      <c r="B22">
        <f>[1]法宝配置表!$B$22</f>
        <v>4</v>
      </c>
      <c r="C22" t="str">
        <f>[1]法宝配置表!$D$22</f>
        <v>Xian</v>
      </c>
      <c r="D22">
        <f>[1]法宝配置表!$E$22</f>
        <v>3</v>
      </c>
      <c r="E22">
        <f>[1]法宝配置表!$F$22</f>
        <v>1</v>
      </c>
      <c r="F22">
        <f>[1]法宝配置表!$G$22</f>
        <v>1</v>
      </c>
      <c r="G22">
        <f>[1]法宝配置表!$H$22</f>
        <v>2</v>
      </c>
      <c r="H22">
        <f>[1]法宝配置表!$I$22</f>
        <v>4</v>
      </c>
      <c r="I22">
        <f>[1]法宝配置表!$J$22</f>
        <v>7</v>
      </c>
      <c r="J22">
        <f>[1]法宝配置表!$K$22</f>
        <v>12</v>
      </c>
    </row>
    <row r="23" spans="1:10" x14ac:dyDescent="0.15">
      <c r="A23" t="str">
        <f>[1]法宝人物匹配!$W$1</f>
        <v>F_Fenghuolun</v>
      </c>
      <c r="B23">
        <f>[1]法宝配置表!$B$23</f>
        <v>4</v>
      </c>
      <c r="C23" t="str">
        <f>[1]法宝配置表!$D$23</f>
        <v>Xian</v>
      </c>
      <c r="D23">
        <f>[1]法宝配置表!$E$23</f>
        <v>3</v>
      </c>
      <c r="E23">
        <f>[1]法宝配置表!$F$23</f>
        <v>1</v>
      </c>
      <c r="F23">
        <f>[1]法宝配置表!$G$23</f>
        <v>1</v>
      </c>
      <c r="G23">
        <f>[1]法宝配置表!$H$23</f>
        <v>2</v>
      </c>
      <c r="H23">
        <f>[1]法宝配置表!$I$23</f>
        <v>4</v>
      </c>
      <c r="I23">
        <f>[1]法宝配置表!$J$23</f>
        <v>7</v>
      </c>
      <c r="J23">
        <f>[1]法宝配置表!$K$23</f>
        <v>12</v>
      </c>
    </row>
    <row r="24" spans="1:10" x14ac:dyDescent="0.15">
      <c r="A24" t="str">
        <f>[1]法宝人物匹配!$X$1</f>
        <v>F_Zhetianpan</v>
      </c>
      <c r="B24">
        <f>[1]法宝配置表!$B$24</f>
        <v>4</v>
      </c>
      <c r="C24" t="str">
        <f>[1]法宝配置表!$D$24</f>
        <v>Xian</v>
      </c>
      <c r="D24">
        <f>[1]法宝配置表!$E$24</f>
        <v>3</v>
      </c>
      <c r="E24">
        <f>[1]法宝配置表!$F$24</f>
        <v>1</v>
      </c>
      <c r="F24">
        <f>[1]法宝配置表!$G$24</f>
        <v>1</v>
      </c>
      <c r="G24">
        <f>[1]法宝配置表!$H$24</f>
        <v>2</v>
      </c>
      <c r="H24">
        <f>[1]法宝配置表!$I$24</f>
        <v>4</v>
      </c>
      <c r="I24">
        <f>[1]法宝配置表!$J$24</f>
        <v>7</v>
      </c>
      <c r="J24">
        <f>[1]法宝配置表!$K$24</f>
        <v>12</v>
      </c>
    </row>
    <row r="25" spans="1:10" x14ac:dyDescent="0.15">
      <c r="A25" t="str">
        <f>[1]法宝人物匹配!$Y$1</f>
        <v>F_Dunlongzhu</v>
      </c>
      <c r="B25">
        <f>[1]法宝配置表!$B$25</f>
        <v>4</v>
      </c>
      <c r="C25" t="str">
        <f>[1]法宝配置表!$D$25</f>
        <v>Xian</v>
      </c>
      <c r="D25">
        <f>[1]法宝配置表!$E$25</f>
        <v>3</v>
      </c>
      <c r="E25">
        <f>[1]法宝配置表!$F$25</f>
        <v>1</v>
      </c>
      <c r="F25">
        <f>[1]法宝配置表!$G$25</f>
        <v>1</v>
      </c>
      <c r="G25">
        <f>[1]法宝配置表!$H$25</f>
        <v>2</v>
      </c>
      <c r="H25">
        <f>[1]法宝配置表!$I$25</f>
        <v>4</v>
      </c>
      <c r="I25">
        <f>[1]法宝配置表!$J$25</f>
        <v>7</v>
      </c>
      <c r="J25">
        <f>[1]法宝配置表!$K$25</f>
        <v>12</v>
      </c>
    </row>
    <row r="26" spans="1:10" x14ac:dyDescent="0.15">
      <c r="A26" t="str">
        <f>[1]法宝人物匹配!$Z$1</f>
        <v>F_Wugoushuangjian</v>
      </c>
      <c r="B26">
        <f>[1]法宝配置表!$B$26</f>
        <v>4</v>
      </c>
      <c r="C26" t="str">
        <f>[1]法宝配置表!$D$26</f>
        <v>Sha</v>
      </c>
      <c r="D26">
        <f>[1]法宝配置表!$E$26</f>
        <v>3</v>
      </c>
      <c r="E26">
        <f>[1]法宝配置表!$F$26</f>
        <v>1</v>
      </c>
      <c r="F26">
        <f>[1]法宝配置表!$G$26</f>
        <v>1</v>
      </c>
      <c r="G26">
        <f>[1]法宝配置表!$H$26</f>
        <v>2</v>
      </c>
      <c r="H26">
        <f>[1]法宝配置表!$I$26</f>
        <v>4</v>
      </c>
      <c r="I26">
        <f>[1]法宝配置表!$J$26</f>
        <v>7</v>
      </c>
      <c r="J26">
        <f>[1]法宝配置表!$K$26</f>
        <v>12</v>
      </c>
    </row>
    <row r="27" spans="1:10" x14ac:dyDescent="0.15">
      <c r="A27" t="str">
        <f>[1]法宝人物匹配!$AA$1</f>
        <v>F_Qiqiaolinglongta</v>
      </c>
      <c r="B27">
        <f>[1]法宝配置表!$B$27</f>
        <v>6</v>
      </c>
      <c r="C27" t="str">
        <f>[1]法宝配置表!$D$27</f>
        <v>Xian</v>
      </c>
      <c r="D27">
        <f>[1]法宝配置表!$E$27</f>
        <v>3</v>
      </c>
      <c r="E27">
        <f>[1]法宝配置表!$F$27</f>
        <v>1</v>
      </c>
      <c r="F27">
        <f>[1]法宝配置表!$G$27</f>
        <v>1</v>
      </c>
      <c r="G27">
        <f>[1]法宝配置表!$H$27</f>
        <v>2</v>
      </c>
      <c r="H27">
        <f>[1]法宝配置表!$I$27</f>
        <v>4</v>
      </c>
      <c r="I27">
        <f>[1]法宝配置表!$J$27</f>
        <v>7</v>
      </c>
      <c r="J27">
        <f>[1]法宝配置表!$K$27</f>
        <v>12</v>
      </c>
    </row>
    <row r="28" spans="1:10" x14ac:dyDescent="0.15">
      <c r="A28" t="str">
        <f>[1]法宝人物匹配!$AB$1</f>
        <v>F_Sanjianliangrendao</v>
      </c>
      <c r="B28">
        <f>[1]法宝配置表!$B$28</f>
        <v>6</v>
      </c>
      <c r="C28" t="str">
        <f>[1]法宝配置表!$D$28</f>
        <v>Sha</v>
      </c>
      <c r="D28">
        <f>[1]法宝配置表!$E$28</f>
        <v>3</v>
      </c>
      <c r="E28">
        <f>[1]法宝配置表!$F$28</f>
        <v>1</v>
      </c>
      <c r="F28">
        <f>[1]法宝配置表!$G$28</f>
        <v>1</v>
      </c>
      <c r="G28">
        <f>[1]法宝配置表!$H$28</f>
        <v>2</v>
      </c>
      <c r="H28">
        <f>[1]法宝配置表!$I$28</f>
        <v>4</v>
      </c>
      <c r="I28">
        <f>[1]法宝配置表!$J$28</f>
        <v>7</v>
      </c>
      <c r="J28">
        <f>[1]法宝配置表!$K$28</f>
        <v>12</v>
      </c>
    </row>
    <row r="29" spans="1:10" x14ac:dyDescent="0.15">
      <c r="A29" t="str">
        <f>[1]法宝人物匹配!$AC$1</f>
        <v>F_Tianquanya</v>
      </c>
      <c r="B29">
        <f>[1]法宝配置表!$B$29</f>
        <v>3</v>
      </c>
      <c r="C29" t="str">
        <f>[1]法宝配置表!$D$29</f>
        <v>Mo</v>
      </c>
      <c r="D29">
        <f>[1]法宝配置表!$E$29</f>
        <v>3</v>
      </c>
      <c r="E29">
        <f>[1]法宝配置表!$F$29</f>
        <v>1</v>
      </c>
      <c r="F29">
        <f>[1]法宝配置表!$G$29</f>
        <v>1</v>
      </c>
      <c r="G29">
        <f>[1]法宝配置表!$H$29</f>
        <v>2</v>
      </c>
      <c r="H29">
        <f>[1]法宝配置表!$I$29</f>
        <v>4</v>
      </c>
      <c r="I29">
        <f>[1]法宝配置表!$J$29</f>
        <v>7</v>
      </c>
      <c r="J29">
        <f>[1]法宝配置表!$K$29</f>
        <v>12</v>
      </c>
    </row>
    <row r="30" spans="1:10" x14ac:dyDescent="0.15">
      <c r="A30" t="str">
        <f>[1]法宝人物匹配!$AD$1</f>
        <v>F_Jingangzhuo</v>
      </c>
      <c r="B30">
        <f>[1]法宝配置表!$B$30</f>
        <v>4</v>
      </c>
      <c r="C30" t="str">
        <f>[1]法宝配置表!$D$30</f>
        <v>Xian</v>
      </c>
      <c r="D30">
        <f>[1]法宝配置表!$E$30</f>
        <v>3</v>
      </c>
      <c r="E30">
        <f>[1]法宝配置表!$F$30</f>
        <v>1</v>
      </c>
      <c r="F30">
        <f>[1]法宝配置表!$G$30</f>
        <v>1</v>
      </c>
      <c r="G30">
        <f>[1]法宝配置表!$H$30</f>
        <v>2</v>
      </c>
      <c r="H30">
        <f>[1]法宝配置表!$I$30</f>
        <v>4</v>
      </c>
      <c r="I30">
        <f>[1]法宝配置表!$J$30</f>
        <v>7</v>
      </c>
      <c r="J30">
        <f>[1]法宝配置表!$K$30</f>
        <v>12</v>
      </c>
    </row>
    <row r="31" spans="1:10" x14ac:dyDescent="0.15">
      <c r="A31" t="str">
        <f>[1]法宝人物匹配!$AE$1</f>
        <v>F_Yujingping</v>
      </c>
      <c r="B31">
        <f>[1]法宝配置表!$B$31</f>
        <v>4</v>
      </c>
      <c r="C31" t="str">
        <f>[1]法宝配置表!$D$31</f>
        <v>Fo</v>
      </c>
      <c r="D31">
        <f>[1]法宝配置表!$E$31</f>
        <v>3</v>
      </c>
      <c r="E31">
        <f>[1]法宝配置表!$F$31</f>
        <v>1</v>
      </c>
      <c r="F31">
        <f>[1]法宝配置表!$G$31</f>
        <v>1</v>
      </c>
      <c r="G31">
        <f>[1]法宝配置表!$H$31</f>
        <v>2</v>
      </c>
      <c r="H31">
        <f>[1]法宝配置表!$I$31</f>
        <v>4</v>
      </c>
      <c r="I31">
        <f>[1]法宝配置表!$J$31</f>
        <v>7</v>
      </c>
      <c r="J31">
        <f>[1]法宝配置表!$K$31</f>
        <v>12</v>
      </c>
    </row>
    <row r="32" spans="1:10" x14ac:dyDescent="0.15">
      <c r="A32" t="str">
        <f>[1]法宝人物匹配!$AF$1</f>
        <v>F_Qianshouguanyin</v>
      </c>
      <c r="B32">
        <f>[1]法宝配置表!$B$32</f>
        <v>5</v>
      </c>
      <c r="C32" t="str">
        <f>[1]法宝配置表!$D$32</f>
        <v>Fo</v>
      </c>
      <c r="D32">
        <f>[1]法宝配置表!$E$32</f>
        <v>3</v>
      </c>
      <c r="E32">
        <f>[1]法宝配置表!$F$32</f>
        <v>1</v>
      </c>
      <c r="F32">
        <f>[1]法宝配置表!$G$32</f>
        <v>1</v>
      </c>
      <c r="G32">
        <f>[1]法宝配置表!$H$32</f>
        <v>2</v>
      </c>
      <c r="H32">
        <f>[1]法宝配置表!$I$32</f>
        <v>4</v>
      </c>
      <c r="I32">
        <f>[1]法宝配置表!$J$32</f>
        <v>7</v>
      </c>
      <c r="J32">
        <f>[1]法宝配置表!$K$32</f>
        <v>12</v>
      </c>
    </row>
    <row r="33" spans="1:10" x14ac:dyDescent="0.15">
      <c r="A33" t="str">
        <f>[1]法宝人物匹配!$AG$1</f>
        <v>F_Yudilongpao</v>
      </c>
      <c r="B33">
        <f>[1]法宝配置表!$B$33</f>
        <v>4</v>
      </c>
      <c r="C33" t="str">
        <f>[1]法宝配置表!$D$33</f>
        <v>Xian</v>
      </c>
      <c r="D33">
        <f>[1]法宝配置表!$E$33</f>
        <v>3</v>
      </c>
      <c r="E33">
        <f>[1]法宝配置表!$F$33</f>
        <v>1</v>
      </c>
      <c r="F33">
        <f>[1]法宝配置表!$G$33</f>
        <v>1</v>
      </c>
      <c r="G33">
        <f>[1]法宝配置表!$H$33</f>
        <v>2</v>
      </c>
      <c r="H33">
        <f>[1]法宝配置表!$I$33</f>
        <v>4</v>
      </c>
      <c r="I33">
        <f>[1]法宝配置表!$J$33</f>
        <v>7</v>
      </c>
      <c r="J33">
        <f>[1]法宝配置表!$K$33</f>
        <v>12</v>
      </c>
    </row>
    <row r="34" spans="1:10" x14ac:dyDescent="0.15">
      <c r="A34" t="str">
        <f>[1]法宝人物匹配!$AH$1</f>
        <v>F_Lingxiaobaodian</v>
      </c>
      <c r="B34">
        <f>[1]法宝配置表!$B$34</f>
        <v>6</v>
      </c>
      <c r="C34" t="str">
        <f>[1]法宝配置表!$D$34</f>
        <v>Xian</v>
      </c>
      <c r="D34">
        <f>[1]法宝配置表!$E$34</f>
        <v>3</v>
      </c>
      <c r="E34">
        <f>[1]法宝配置表!$F$34</f>
        <v>1</v>
      </c>
      <c r="F34">
        <f>[1]法宝配置表!$G$34</f>
        <v>1</v>
      </c>
      <c r="G34">
        <f>[1]法宝配置表!$H$34</f>
        <v>2</v>
      </c>
      <c r="H34">
        <f>[1]法宝配置表!$I$34</f>
        <v>4</v>
      </c>
      <c r="I34">
        <f>[1]法宝配置表!$J$34</f>
        <v>7</v>
      </c>
      <c r="J34">
        <f>[1]法宝配置表!$K$34</f>
        <v>12</v>
      </c>
    </row>
    <row r="35" spans="1:10" x14ac:dyDescent="0.15">
      <c r="A35" t="str">
        <f>[1]法宝人物匹配!$AI$1</f>
        <v>F_Wangmuhongling</v>
      </c>
      <c r="B35">
        <f>[1]法宝配置表!$B$35</f>
        <v>4</v>
      </c>
      <c r="C35" t="str">
        <f>[1]法宝配置表!$D$35</f>
        <v>Xian</v>
      </c>
      <c r="D35">
        <f>[1]法宝配置表!$E$35</f>
        <v>3</v>
      </c>
      <c r="E35">
        <f>[1]法宝配置表!$F$35</f>
        <v>1</v>
      </c>
      <c r="F35">
        <f>[1]法宝配置表!$G$35</f>
        <v>1</v>
      </c>
      <c r="G35">
        <f>[1]法宝配置表!$H$35</f>
        <v>2</v>
      </c>
      <c r="H35">
        <f>[1]法宝配置表!$I$35</f>
        <v>4</v>
      </c>
      <c r="I35">
        <f>[1]法宝配置表!$J$35</f>
        <v>7</v>
      </c>
      <c r="J35">
        <f>[1]法宝配置表!$K$35</f>
        <v>12</v>
      </c>
    </row>
    <row r="36" spans="1:10" x14ac:dyDescent="0.15">
      <c r="A36" t="str">
        <f>[1]法宝人物匹配!$AJ$1</f>
        <v>F_Yaochi</v>
      </c>
      <c r="B36">
        <f>[1]法宝配置表!$B$36</f>
        <v>6</v>
      </c>
      <c r="C36" t="str">
        <f>[1]法宝配置表!$D$36</f>
        <v>Xian</v>
      </c>
      <c r="D36">
        <f>[1]法宝配置表!$E$36</f>
        <v>3</v>
      </c>
      <c r="E36">
        <f>[1]法宝配置表!$F$36</f>
        <v>1</v>
      </c>
      <c r="F36">
        <f>[1]法宝配置表!$G$36</f>
        <v>1</v>
      </c>
      <c r="G36">
        <f>[1]法宝配置表!$H$36</f>
        <v>2</v>
      </c>
      <c r="H36">
        <f>[1]法宝配置表!$I$36</f>
        <v>4</v>
      </c>
      <c r="I36">
        <f>[1]法宝配置表!$J$36</f>
        <v>7</v>
      </c>
      <c r="J36">
        <f>[1]法宝配置表!$K$36</f>
        <v>12</v>
      </c>
    </row>
    <row r="37" spans="1:10" x14ac:dyDescent="0.15">
      <c r="A37" t="str">
        <f>[1]法宝人物匹配!$AK$1</f>
        <v>F_Foguang</v>
      </c>
      <c r="B37">
        <f>[1]法宝配置表!$B$37</f>
        <v>5</v>
      </c>
      <c r="C37" t="str">
        <f>[1]法宝配置表!$D$37</f>
        <v>Fo</v>
      </c>
      <c r="D37">
        <f>[1]法宝配置表!$E$37</f>
        <v>3</v>
      </c>
      <c r="E37">
        <f>[1]法宝配置表!$F$37</f>
        <v>1</v>
      </c>
      <c r="F37">
        <f>[1]法宝配置表!$G$37</f>
        <v>1</v>
      </c>
      <c r="G37">
        <f>[1]法宝配置表!$H$37</f>
        <v>2</v>
      </c>
      <c r="H37">
        <f>[1]法宝配置表!$I$37</f>
        <v>4</v>
      </c>
      <c r="I37">
        <f>[1]法宝配置表!$J$37</f>
        <v>7</v>
      </c>
      <c r="J37">
        <f>[1]法宝配置表!$K$37</f>
        <v>12</v>
      </c>
    </row>
    <row r="38" spans="1:10" x14ac:dyDescent="0.15">
      <c r="A38" t="str">
        <f>[1]法宝人物匹配!$AL$1</f>
        <v>F_Rulainianzhu</v>
      </c>
      <c r="B38">
        <f>[1]法宝配置表!$B$38</f>
        <v>5</v>
      </c>
      <c r="C38" t="str">
        <f>[1]法宝配置表!$D$38</f>
        <v>Fo</v>
      </c>
      <c r="D38">
        <f>[1]法宝配置表!$E$38</f>
        <v>3</v>
      </c>
      <c r="E38">
        <f>[1]法宝配置表!$F$38</f>
        <v>1</v>
      </c>
      <c r="F38">
        <f>[1]法宝配置表!$G$38</f>
        <v>1</v>
      </c>
      <c r="G38">
        <f>[1]法宝配置表!$H$38</f>
        <v>2</v>
      </c>
      <c r="H38">
        <f>[1]法宝配置表!$I$38</f>
        <v>4</v>
      </c>
      <c r="I38">
        <f>[1]法宝配置表!$J$38</f>
        <v>7</v>
      </c>
      <c r="J38">
        <f>[1]法宝配置表!$K$38</f>
        <v>12</v>
      </c>
    </row>
    <row r="39" spans="1:10" x14ac:dyDescent="0.15">
      <c r="A39" t="str">
        <f>[1]法宝人物匹配!$AM$1</f>
        <v>F_Jinshenwuzhi</v>
      </c>
      <c r="B39">
        <f>[1]法宝配置表!$B$39</f>
        <v>6</v>
      </c>
      <c r="C39" t="str">
        <f>[1]法宝配置表!$D$39</f>
        <v>Fo</v>
      </c>
      <c r="D39">
        <f>[1]法宝配置表!$E$39</f>
        <v>3</v>
      </c>
      <c r="E39">
        <f>[1]法宝配置表!$F$39</f>
        <v>1</v>
      </c>
      <c r="F39">
        <f>[1]法宝配置表!$G$39</f>
        <v>1</v>
      </c>
      <c r="G39">
        <f>[1]法宝配置表!$H$39</f>
        <v>2</v>
      </c>
      <c r="H39">
        <f>[1]法宝配置表!$I$39</f>
        <v>4</v>
      </c>
      <c r="I39">
        <f>[1]法宝配置表!$J$39</f>
        <v>7</v>
      </c>
      <c r="J39">
        <f>[1]法宝配置表!$K$39</f>
        <v>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30"/>
  <sheetViews>
    <sheetView topLeftCell="P1" workbookViewId="0">
      <selection activeCell="B1" sqref="B1:AN1"/>
    </sheetView>
  </sheetViews>
  <sheetFormatPr defaultRowHeight="13.5" x14ac:dyDescent="0.15"/>
  <cols>
    <col min="1" max="1" width="14" customWidth="1"/>
    <col min="2" max="2" width="11" customWidth="1"/>
    <col min="3" max="3" width="14.125" customWidth="1"/>
    <col min="4" max="4" width="17.75" customWidth="1"/>
  </cols>
  <sheetData>
    <row r="1" spans="1:41" x14ac:dyDescent="0.15">
      <c r="A1" t="s">
        <v>15</v>
      </c>
      <c r="B1" t="str">
        <f>[1]法宝人物匹配!B1</f>
        <v>F_Zijinboyu</v>
      </c>
      <c r="C1" t="str">
        <f>[1]法宝人物匹配!C1</f>
        <v>F_Jiuhuanxizhang</v>
      </c>
      <c r="D1" t="str">
        <f>[1]法宝人物匹配!D1</f>
        <v>F_Jinnanjiasha</v>
      </c>
      <c r="E1" t="str">
        <f>[1]法宝人物匹配!E1</f>
        <v>F_Jinguzhou</v>
      </c>
      <c r="F1" t="str">
        <f>[1]法宝人物匹配!F1</f>
        <v>F_Jingubang</v>
      </c>
      <c r="G1" t="str">
        <f>[1]法宝人物匹配!G1</f>
        <v>F_Yulongyinqiang</v>
      </c>
      <c r="H1" t="str">
        <f>[1]法宝人物匹配!H1</f>
        <v>F_Longling</v>
      </c>
      <c r="I1" t="str">
        <f>[1]法宝人物匹配!I1</f>
        <v>F_Jiuchidingpa</v>
      </c>
      <c r="J1" t="str">
        <f>[1]法宝人物匹配!J1</f>
        <v>F_Yuanshuaizhanpao</v>
      </c>
      <c r="K1" t="str">
        <f>[1]法宝人物匹配!K1</f>
        <v>F_Dingfengzhu</v>
      </c>
      <c r="L1" t="str">
        <f>[1]法宝人物匹配!L1</f>
        <v>F_Yueyachan</v>
      </c>
      <c r="M1" t="str">
        <f>[1]法宝人物匹配!M1</f>
        <v>F_Xiangmochu</v>
      </c>
      <c r="N1" t="str">
        <f>[1]法宝人物匹配!N1</f>
        <v>F_Xuanhuabanfu</v>
      </c>
      <c r="O1" t="str">
        <f>[1]法宝人物匹配!O1</f>
        <v>F_Xianbingpipa</v>
      </c>
      <c r="P1" t="str">
        <f>[1]法宝人物匹配!P1</f>
        <v>F_Tiangwangbaojian</v>
      </c>
      <c r="Q1" t="str">
        <f>[1]法宝人物匹配!Q1</f>
        <v>F_Chilong</v>
      </c>
      <c r="R1" t="str">
        <f>[1]法宝人物匹配!R1</f>
        <v>F_Baopan</v>
      </c>
      <c r="S1" t="str">
        <f>[1]法宝人物匹配!S1</f>
        <v>F_Yinshu</v>
      </c>
      <c r="T1" t="str">
        <f>[1]法宝人物匹配!T1</f>
        <v>F_Huojianqiang</v>
      </c>
      <c r="U1" t="str">
        <f>[1]法宝人物匹配!U1</f>
        <v>F_Qiankunquan</v>
      </c>
      <c r="V1" t="str">
        <f>[1]法宝人物匹配!V1</f>
        <v>F_Huntianling</v>
      </c>
      <c r="W1" t="str">
        <f>[1]法宝人物匹配!W1</f>
        <v>F_Fenghuolun</v>
      </c>
      <c r="X1" t="str">
        <f>[1]法宝人物匹配!X1</f>
        <v>F_Zhetianpan</v>
      </c>
      <c r="Y1" t="str">
        <f>[1]法宝人物匹配!Y1</f>
        <v>F_Dunlongzhu</v>
      </c>
      <c r="Z1" t="str">
        <f>[1]法宝人物匹配!Z1</f>
        <v>F_Wugoushuangjian</v>
      </c>
      <c r="AA1" t="str">
        <f>[1]法宝人物匹配!AA1</f>
        <v>F_Qiqiaolinglongta</v>
      </c>
      <c r="AB1" t="str">
        <f>[1]法宝人物匹配!AB1</f>
        <v>F_Sanjianliangrendao</v>
      </c>
      <c r="AC1" t="str">
        <f>[1]法宝人物匹配!AC1</f>
        <v>F_Tianquanya</v>
      </c>
      <c r="AD1" t="str">
        <f>[1]法宝人物匹配!AD1</f>
        <v>F_Jingangzhuo</v>
      </c>
      <c r="AE1" t="str">
        <f>[1]法宝人物匹配!AE1</f>
        <v>F_Yujingping</v>
      </c>
      <c r="AF1" t="str">
        <f>[1]法宝人物匹配!AF1</f>
        <v>F_Qianshouguanyin</v>
      </c>
      <c r="AG1" t="str">
        <f>[1]法宝人物匹配!AG1</f>
        <v>F_Yudilongpao</v>
      </c>
      <c r="AH1" t="str">
        <f>[1]法宝人物匹配!AH1</f>
        <v>F_Lingxiaobaodian</v>
      </c>
      <c r="AI1" t="str">
        <f>[1]法宝人物匹配!AI1</f>
        <v>F_Wangmuhongling</v>
      </c>
      <c r="AJ1" t="str">
        <f>[1]法宝人物匹配!AJ1</f>
        <v>F_Yaochi</v>
      </c>
      <c r="AK1" t="str">
        <f>[1]法宝人物匹配!AK1</f>
        <v>F_Foguang</v>
      </c>
      <c r="AL1" t="str">
        <f>[1]法宝人物匹配!AL1</f>
        <v>F_Rulainianzhu</v>
      </c>
      <c r="AM1" t="str">
        <f>[1]法宝人物匹配!AM1</f>
        <v>F_Jinshenwuzhi</v>
      </c>
      <c r="AN1" t="str">
        <f>[1]法宝人物匹配!AN1</f>
        <v>F_Lianhuatai</v>
      </c>
      <c r="AO1">
        <f>[1]法宝人物匹配!AO1</f>
        <v>0</v>
      </c>
    </row>
    <row r="2" spans="1:41" x14ac:dyDescent="0.15">
      <c r="A2" t="str">
        <f>玩家卡牌配置表!B2</f>
        <v>C_TangSangzang</v>
      </c>
      <c r="B2">
        <f>[1]法宝人物匹配!B3</f>
        <v>10</v>
      </c>
      <c r="C2">
        <f>[1]法宝人物匹配!C3</f>
        <v>10</v>
      </c>
      <c r="D2">
        <f>[1]法宝人物匹配!D3</f>
        <v>10</v>
      </c>
      <c r="E2" t="str">
        <f>[1]法宝人物匹配!E3</f>
        <v>锁定</v>
      </c>
      <c r="F2">
        <f>[1]法宝人物匹配!F3</f>
        <v>0</v>
      </c>
      <c r="G2">
        <f>[1]法宝人物匹配!G3</f>
        <v>0</v>
      </c>
      <c r="H2">
        <f>[1]法宝人物匹配!H3</f>
        <v>0</v>
      </c>
      <c r="I2">
        <f>[1]法宝人物匹配!I3</f>
        <v>0</v>
      </c>
      <c r="J2">
        <f>[1]法宝人物匹配!J3</f>
        <v>0</v>
      </c>
      <c r="K2">
        <f>[1]法宝人物匹配!K3</f>
        <v>0</v>
      </c>
      <c r="L2">
        <f>[1]法宝人物匹配!L3</f>
        <v>0</v>
      </c>
      <c r="M2">
        <f>[1]法宝人物匹配!M3</f>
        <v>0</v>
      </c>
      <c r="N2">
        <f>[1]法宝人物匹配!N3</f>
        <v>0</v>
      </c>
      <c r="O2">
        <f>[1]法宝人物匹配!O3</f>
        <v>0</v>
      </c>
      <c r="P2">
        <f>[1]法宝人物匹配!P3</f>
        <v>0</v>
      </c>
      <c r="Q2">
        <f>[1]法宝人物匹配!Q3</f>
        <v>0</v>
      </c>
      <c r="R2">
        <f>[1]法宝人物匹配!R3</f>
        <v>0</v>
      </c>
      <c r="S2">
        <f>[1]法宝人物匹配!S3</f>
        <v>0</v>
      </c>
      <c r="T2">
        <f>[1]法宝人物匹配!T3</f>
        <v>0</v>
      </c>
      <c r="U2">
        <f>[1]法宝人物匹配!U3</f>
        <v>0</v>
      </c>
      <c r="V2">
        <f>[1]法宝人物匹配!V3</f>
        <v>0</v>
      </c>
      <c r="W2">
        <f>[1]法宝人物匹配!W3</f>
        <v>0</v>
      </c>
      <c r="X2">
        <f>[1]法宝人物匹配!X3</f>
        <v>0</v>
      </c>
      <c r="Y2">
        <f>[1]法宝人物匹配!Y3</f>
        <v>0</v>
      </c>
      <c r="Z2">
        <f>[1]法宝人物匹配!Z3</f>
        <v>0</v>
      </c>
      <c r="AA2">
        <f>[1]法宝人物匹配!AA3</f>
        <v>0</v>
      </c>
      <c r="AB2">
        <f>[1]法宝人物匹配!AB3</f>
        <v>0</v>
      </c>
      <c r="AC2">
        <f>[1]法宝人物匹配!AC3</f>
        <v>0</v>
      </c>
      <c r="AD2">
        <f>[1]法宝人物匹配!AD3</f>
        <v>0</v>
      </c>
      <c r="AE2">
        <f>[1]法宝人物匹配!AE3</f>
        <v>0</v>
      </c>
      <c r="AF2">
        <f>[1]法宝人物匹配!AF3</f>
        <v>0</v>
      </c>
      <c r="AG2">
        <f>[1]法宝人物匹配!AG3</f>
        <v>0</v>
      </c>
      <c r="AH2">
        <f>[1]法宝人物匹配!AH3</f>
        <v>0</v>
      </c>
      <c r="AI2">
        <f>[1]法宝人物匹配!AI3</f>
        <v>0</v>
      </c>
      <c r="AJ2">
        <f>[1]法宝人物匹配!AJ3</f>
        <v>0</v>
      </c>
      <c r="AK2">
        <f>[1]法宝人物匹配!AK3</f>
        <v>0</v>
      </c>
      <c r="AL2">
        <f>[1]法宝人物匹配!AL3</f>
        <v>0</v>
      </c>
      <c r="AM2">
        <f>[1]法宝人物匹配!AM3</f>
        <v>0</v>
      </c>
      <c r="AN2">
        <f>[1]法宝人物匹配!AN3</f>
        <v>0</v>
      </c>
    </row>
    <row r="3" spans="1:41" x14ac:dyDescent="0.15">
      <c r="A3" t="str">
        <f>玩家卡牌配置表!B3</f>
        <v>C_SunWukong</v>
      </c>
      <c r="B3">
        <f>[1]法宝人物匹配!B4</f>
        <v>0</v>
      </c>
      <c r="C3">
        <f>[1]法宝人物匹配!C4</f>
        <v>0</v>
      </c>
      <c r="D3">
        <f>[1]法宝人物匹配!D4</f>
        <v>0</v>
      </c>
      <c r="E3">
        <f>[1]法宝人物匹配!E4</f>
        <v>0</v>
      </c>
      <c r="F3">
        <f>[1]法宝人物匹配!F4</f>
        <v>10</v>
      </c>
      <c r="G3">
        <f>[1]法宝人物匹配!G4</f>
        <v>0</v>
      </c>
      <c r="H3">
        <f>[1]法宝人物匹配!H4</f>
        <v>0</v>
      </c>
      <c r="I3">
        <f>[1]法宝人物匹配!I4</f>
        <v>0</v>
      </c>
      <c r="J3">
        <f>[1]法宝人物匹配!J4</f>
        <v>0</v>
      </c>
      <c r="K3">
        <f>[1]法宝人物匹配!K4</f>
        <v>0</v>
      </c>
      <c r="L3">
        <f>[1]法宝人物匹配!L4</f>
        <v>0</v>
      </c>
      <c r="M3">
        <f>[1]法宝人物匹配!M4</f>
        <v>0</v>
      </c>
      <c r="N3">
        <f>[1]法宝人物匹配!N4</f>
        <v>0</v>
      </c>
      <c r="O3">
        <f>[1]法宝人物匹配!O4</f>
        <v>0</v>
      </c>
      <c r="P3">
        <f>[1]法宝人物匹配!P4</f>
        <v>0</v>
      </c>
      <c r="Q3">
        <f>[1]法宝人物匹配!Q4</f>
        <v>0</v>
      </c>
      <c r="R3">
        <f>[1]法宝人物匹配!R4</f>
        <v>0</v>
      </c>
      <c r="S3">
        <f>[1]法宝人物匹配!S4</f>
        <v>0</v>
      </c>
      <c r="T3">
        <f>[1]法宝人物匹配!T4</f>
        <v>0</v>
      </c>
      <c r="U3">
        <f>[1]法宝人物匹配!U4</f>
        <v>0</v>
      </c>
      <c r="V3">
        <f>[1]法宝人物匹配!V4</f>
        <v>0</v>
      </c>
      <c r="W3">
        <f>[1]法宝人物匹配!W4</f>
        <v>0</v>
      </c>
      <c r="X3">
        <f>[1]法宝人物匹配!X4</f>
        <v>0</v>
      </c>
      <c r="Y3">
        <f>[1]法宝人物匹配!Y4</f>
        <v>0</v>
      </c>
      <c r="Z3">
        <f>[1]法宝人物匹配!Z4</f>
        <v>0</v>
      </c>
      <c r="AA3">
        <f>[1]法宝人物匹配!AA4</f>
        <v>0</v>
      </c>
      <c r="AB3">
        <f>[1]法宝人物匹配!AB4</f>
        <v>0</v>
      </c>
      <c r="AC3">
        <f>[1]法宝人物匹配!AC4</f>
        <v>0</v>
      </c>
      <c r="AD3">
        <f>[1]法宝人物匹配!AD4</f>
        <v>0</v>
      </c>
      <c r="AE3">
        <f>[1]法宝人物匹配!AE4</f>
        <v>0</v>
      </c>
      <c r="AF3">
        <f>[1]法宝人物匹配!AF4</f>
        <v>0</v>
      </c>
      <c r="AG3">
        <f>[1]法宝人物匹配!AG4</f>
        <v>0</v>
      </c>
      <c r="AH3">
        <f>[1]法宝人物匹配!AH4</f>
        <v>0</v>
      </c>
      <c r="AI3">
        <f>[1]法宝人物匹配!AI4</f>
        <v>0</v>
      </c>
      <c r="AJ3">
        <f>[1]法宝人物匹配!AJ4</f>
        <v>0</v>
      </c>
      <c r="AK3">
        <f>[1]法宝人物匹配!AK4</f>
        <v>0</v>
      </c>
      <c r="AL3">
        <f>[1]法宝人物匹配!AL4</f>
        <v>0</v>
      </c>
      <c r="AM3">
        <f>[1]法宝人物匹配!AM4</f>
        <v>0</v>
      </c>
      <c r="AN3">
        <f>[1]法宝人物匹配!AN4</f>
        <v>0</v>
      </c>
    </row>
    <row r="4" spans="1:41" x14ac:dyDescent="0.15">
      <c r="A4" t="str">
        <f>玩家卡牌配置表!B4</f>
        <v>C_ZhuBajie</v>
      </c>
      <c r="B4">
        <f>[1]法宝人物匹配!B5</f>
        <v>0</v>
      </c>
      <c r="C4">
        <f>[1]法宝人物匹配!C5</f>
        <v>0</v>
      </c>
      <c r="D4">
        <f>[1]法宝人物匹配!D5</f>
        <v>0</v>
      </c>
      <c r="E4">
        <f>[1]法宝人物匹配!E5</f>
        <v>0</v>
      </c>
      <c r="F4">
        <f>[1]法宝人物匹配!F5</f>
        <v>0</v>
      </c>
      <c r="G4">
        <f>[1]法宝人物匹配!G5</f>
        <v>0</v>
      </c>
      <c r="H4">
        <f>[1]法宝人物匹配!H5</f>
        <v>0</v>
      </c>
      <c r="I4">
        <f>[1]法宝人物匹配!I5</f>
        <v>10</v>
      </c>
      <c r="J4" t="str">
        <f>[1]法宝人物匹配!J5</f>
        <v>锁定</v>
      </c>
      <c r="K4">
        <f>[1]法宝人物匹配!K5</f>
        <v>0</v>
      </c>
      <c r="L4">
        <f>[1]法宝人物匹配!L5</f>
        <v>0</v>
      </c>
      <c r="M4">
        <f>[1]法宝人物匹配!M5</f>
        <v>0</v>
      </c>
      <c r="N4">
        <f>[1]法宝人物匹配!N5</f>
        <v>0</v>
      </c>
      <c r="O4">
        <f>[1]法宝人物匹配!O5</f>
        <v>0</v>
      </c>
      <c r="P4">
        <f>[1]法宝人物匹配!P5</f>
        <v>0</v>
      </c>
      <c r="Q4">
        <f>[1]法宝人物匹配!Q5</f>
        <v>0</v>
      </c>
      <c r="R4">
        <f>[1]法宝人物匹配!R5</f>
        <v>0</v>
      </c>
      <c r="S4">
        <f>[1]法宝人物匹配!S5</f>
        <v>0</v>
      </c>
      <c r="T4">
        <f>[1]法宝人物匹配!T5</f>
        <v>0</v>
      </c>
      <c r="U4">
        <f>[1]法宝人物匹配!U5</f>
        <v>0</v>
      </c>
      <c r="V4">
        <f>[1]法宝人物匹配!V5</f>
        <v>0</v>
      </c>
      <c r="W4">
        <f>[1]法宝人物匹配!W5</f>
        <v>0</v>
      </c>
      <c r="X4">
        <f>[1]法宝人物匹配!X5</f>
        <v>0</v>
      </c>
      <c r="Y4">
        <f>[1]法宝人物匹配!Y5</f>
        <v>0</v>
      </c>
      <c r="Z4">
        <f>[1]法宝人物匹配!Z5</f>
        <v>0</v>
      </c>
      <c r="AA4">
        <f>[1]法宝人物匹配!AA5</f>
        <v>0</v>
      </c>
      <c r="AB4">
        <f>[1]法宝人物匹配!AB5</f>
        <v>0</v>
      </c>
      <c r="AC4">
        <f>[1]法宝人物匹配!AC5</f>
        <v>0</v>
      </c>
      <c r="AD4">
        <f>[1]法宝人物匹配!AD5</f>
        <v>0</v>
      </c>
      <c r="AE4">
        <f>[1]法宝人物匹配!AE5</f>
        <v>0</v>
      </c>
      <c r="AF4">
        <f>[1]法宝人物匹配!AF5</f>
        <v>0</v>
      </c>
      <c r="AG4">
        <f>[1]法宝人物匹配!AG5</f>
        <v>0</v>
      </c>
      <c r="AH4">
        <f>[1]法宝人物匹配!AH5</f>
        <v>0</v>
      </c>
      <c r="AI4">
        <f>[1]法宝人物匹配!AI5</f>
        <v>0</v>
      </c>
      <c r="AJ4">
        <f>[1]法宝人物匹配!AJ5</f>
        <v>0</v>
      </c>
      <c r="AK4">
        <f>[1]法宝人物匹配!AK5</f>
        <v>0</v>
      </c>
      <c r="AL4">
        <f>[1]法宝人物匹配!AL5</f>
        <v>0</v>
      </c>
      <c r="AM4">
        <f>[1]法宝人物匹配!AM5</f>
        <v>0</v>
      </c>
      <c r="AN4">
        <f>[1]法宝人物匹配!AN5</f>
        <v>0</v>
      </c>
    </row>
    <row r="5" spans="1:41" x14ac:dyDescent="0.15">
      <c r="A5" t="str">
        <f>玩家卡牌配置表!B5</f>
        <v>C_ShaHeshang</v>
      </c>
      <c r="B5">
        <f>[1]法宝人物匹配!B6</f>
        <v>0</v>
      </c>
      <c r="C5">
        <f>[1]法宝人物匹配!C6</f>
        <v>0</v>
      </c>
      <c r="D5">
        <f>[1]法宝人物匹配!D6</f>
        <v>0</v>
      </c>
      <c r="E5">
        <f>[1]法宝人物匹配!E6</f>
        <v>0</v>
      </c>
      <c r="F5">
        <f>[1]法宝人物匹配!F6</f>
        <v>0</v>
      </c>
      <c r="G5">
        <f>[1]法宝人物匹配!G6</f>
        <v>0</v>
      </c>
      <c r="H5">
        <f>[1]法宝人物匹配!H6</f>
        <v>0</v>
      </c>
      <c r="I5">
        <f>[1]法宝人物匹配!I6</f>
        <v>0</v>
      </c>
      <c r="J5">
        <f>[1]法宝人物匹配!J6</f>
        <v>0</v>
      </c>
      <c r="K5">
        <f>[1]法宝人物匹配!K6</f>
        <v>0</v>
      </c>
      <c r="L5">
        <f>[1]法宝人物匹配!L6</f>
        <v>10</v>
      </c>
      <c r="M5">
        <f>[1]法宝人物匹配!M6</f>
        <v>10</v>
      </c>
      <c r="N5">
        <f>[1]法宝人物匹配!N6</f>
        <v>0</v>
      </c>
      <c r="O5">
        <f>[1]法宝人物匹配!O6</f>
        <v>0</v>
      </c>
      <c r="P5">
        <f>[1]法宝人物匹配!P6</f>
        <v>0</v>
      </c>
      <c r="Q5">
        <f>[1]法宝人物匹配!Q6</f>
        <v>0</v>
      </c>
      <c r="R5">
        <f>[1]法宝人物匹配!R6</f>
        <v>0</v>
      </c>
      <c r="S5">
        <f>[1]法宝人物匹配!S6</f>
        <v>0</v>
      </c>
      <c r="T5">
        <f>[1]法宝人物匹配!T6</f>
        <v>0</v>
      </c>
      <c r="U5">
        <f>[1]法宝人物匹配!U6</f>
        <v>0</v>
      </c>
      <c r="V5">
        <f>[1]法宝人物匹配!V6</f>
        <v>0</v>
      </c>
      <c r="W5">
        <f>[1]法宝人物匹配!W6</f>
        <v>0</v>
      </c>
      <c r="X5">
        <f>[1]法宝人物匹配!X6</f>
        <v>0</v>
      </c>
      <c r="Y5">
        <f>[1]法宝人物匹配!Y6</f>
        <v>0</v>
      </c>
      <c r="Z5">
        <f>[1]法宝人物匹配!Z6</f>
        <v>0</v>
      </c>
      <c r="AA5">
        <f>[1]法宝人物匹配!AA6</f>
        <v>0</v>
      </c>
      <c r="AB5">
        <f>[1]法宝人物匹配!AB6</f>
        <v>0</v>
      </c>
      <c r="AC5">
        <f>[1]法宝人物匹配!AC6</f>
        <v>0</v>
      </c>
      <c r="AD5">
        <f>[1]法宝人物匹配!AD6</f>
        <v>0</v>
      </c>
      <c r="AE5">
        <f>[1]法宝人物匹配!AE6</f>
        <v>0</v>
      </c>
      <c r="AF5">
        <f>[1]法宝人物匹配!AF6</f>
        <v>0</v>
      </c>
      <c r="AG5">
        <f>[1]法宝人物匹配!AG6</f>
        <v>0</v>
      </c>
      <c r="AH5">
        <f>[1]法宝人物匹配!AH6</f>
        <v>0</v>
      </c>
      <c r="AI5">
        <f>[1]法宝人物匹配!AI6</f>
        <v>0</v>
      </c>
      <c r="AJ5">
        <f>[1]法宝人物匹配!AJ6</f>
        <v>0</v>
      </c>
      <c r="AK5">
        <f>[1]法宝人物匹配!AK6</f>
        <v>0</v>
      </c>
      <c r="AL5">
        <f>[1]法宝人物匹配!AL6</f>
        <v>0</v>
      </c>
      <c r="AM5">
        <f>[1]法宝人物匹配!AM6</f>
        <v>0</v>
      </c>
      <c r="AN5">
        <f>[1]法宝人物匹配!AN6</f>
        <v>0</v>
      </c>
    </row>
    <row r="6" spans="1:41" x14ac:dyDescent="0.15">
      <c r="A6" t="str">
        <f>玩家卡牌配置表!B6</f>
        <v>C_BaiLongma</v>
      </c>
      <c r="B6">
        <f>[1]法宝人物匹配!B7</f>
        <v>0</v>
      </c>
      <c r="C6">
        <f>[1]法宝人物匹配!C7</f>
        <v>0</v>
      </c>
      <c r="D6">
        <f>[1]法宝人物匹配!D7</f>
        <v>0</v>
      </c>
      <c r="E6">
        <f>[1]法宝人物匹配!E7</f>
        <v>0</v>
      </c>
      <c r="F6">
        <f>[1]法宝人物匹配!F7</f>
        <v>0</v>
      </c>
      <c r="G6">
        <f>[1]法宝人物匹配!G7</f>
        <v>10</v>
      </c>
      <c r="H6" t="str">
        <f>[1]法宝人物匹配!H7</f>
        <v>锁定</v>
      </c>
      <c r="I6">
        <f>[1]法宝人物匹配!I7</f>
        <v>0</v>
      </c>
      <c r="J6">
        <f>[1]法宝人物匹配!J7</f>
        <v>0</v>
      </c>
      <c r="K6">
        <f>[1]法宝人物匹配!K7</f>
        <v>0</v>
      </c>
      <c r="L6">
        <f>[1]法宝人物匹配!L7</f>
        <v>0</v>
      </c>
      <c r="M6">
        <f>[1]法宝人物匹配!M7</f>
        <v>0</v>
      </c>
      <c r="N6">
        <f>[1]法宝人物匹配!N7</f>
        <v>0</v>
      </c>
      <c r="O6">
        <f>[1]法宝人物匹配!O7</f>
        <v>0</v>
      </c>
      <c r="P6">
        <f>[1]法宝人物匹配!P7</f>
        <v>0</v>
      </c>
      <c r="Q6">
        <f>[1]法宝人物匹配!Q7</f>
        <v>0</v>
      </c>
      <c r="R6">
        <f>[1]法宝人物匹配!R7</f>
        <v>0</v>
      </c>
      <c r="S6">
        <f>[1]法宝人物匹配!S7</f>
        <v>0</v>
      </c>
      <c r="T6">
        <f>[1]法宝人物匹配!T7</f>
        <v>0</v>
      </c>
      <c r="U6">
        <f>[1]法宝人物匹配!U7</f>
        <v>0</v>
      </c>
      <c r="V6">
        <f>[1]法宝人物匹配!V7</f>
        <v>0</v>
      </c>
      <c r="W6">
        <f>[1]法宝人物匹配!W7</f>
        <v>0</v>
      </c>
      <c r="X6">
        <f>[1]法宝人物匹配!X7</f>
        <v>0</v>
      </c>
      <c r="Y6">
        <f>[1]法宝人物匹配!Y7</f>
        <v>0</v>
      </c>
      <c r="Z6">
        <f>[1]法宝人物匹配!Z7</f>
        <v>0</v>
      </c>
      <c r="AA6">
        <f>[1]法宝人物匹配!AA7</f>
        <v>0</v>
      </c>
      <c r="AB6">
        <f>[1]法宝人物匹配!AB7</f>
        <v>0</v>
      </c>
      <c r="AC6">
        <f>[1]法宝人物匹配!AC7</f>
        <v>0</v>
      </c>
      <c r="AD6">
        <f>[1]法宝人物匹配!AD7</f>
        <v>0</v>
      </c>
      <c r="AE6">
        <f>[1]法宝人物匹配!AE7</f>
        <v>0</v>
      </c>
      <c r="AF6">
        <f>[1]法宝人物匹配!AF7</f>
        <v>0</v>
      </c>
      <c r="AG6">
        <f>[1]法宝人物匹配!AG7</f>
        <v>0</v>
      </c>
      <c r="AH6">
        <f>[1]法宝人物匹配!AH7</f>
        <v>0</v>
      </c>
      <c r="AI6">
        <f>[1]法宝人物匹配!AI7</f>
        <v>0</v>
      </c>
      <c r="AJ6">
        <f>[1]法宝人物匹配!AJ7</f>
        <v>0</v>
      </c>
      <c r="AK6">
        <f>[1]法宝人物匹配!AK7</f>
        <v>0</v>
      </c>
      <c r="AL6">
        <f>[1]法宝人物匹配!AL7</f>
        <v>0</v>
      </c>
      <c r="AM6">
        <f>[1]法宝人物匹配!AM7</f>
        <v>0</v>
      </c>
      <c r="AN6">
        <f>[1]法宝人物匹配!AN7</f>
        <v>0</v>
      </c>
    </row>
    <row r="7" spans="1:41" x14ac:dyDescent="0.15">
      <c r="A7" t="str">
        <f>玩家卡牌配置表!B7</f>
        <v>C_LiuBoxin</v>
      </c>
      <c r="B7">
        <f>[1]法宝人物匹配!B8</f>
        <v>0</v>
      </c>
      <c r="C7">
        <f>[1]法宝人物匹配!C8</f>
        <v>0</v>
      </c>
      <c r="D7">
        <f>[1]法宝人物匹配!D8</f>
        <v>0</v>
      </c>
      <c r="E7">
        <f>[1]法宝人物匹配!E8</f>
        <v>0</v>
      </c>
      <c r="F7">
        <f>[1]法宝人物匹配!F8</f>
        <v>0</v>
      </c>
      <c r="G7">
        <f>[1]法宝人物匹配!G8</f>
        <v>0</v>
      </c>
      <c r="H7">
        <f>[1]法宝人物匹配!H8</f>
        <v>0</v>
      </c>
      <c r="I7">
        <f>[1]法宝人物匹配!I8</f>
        <v>0</v>
      </c>
      <c r="J7">
        <f>[1]法宝人物匹配!J8</f>
        <v>0</v>
      </c>
      <c r="K7">
        <f>[1]法宝人物匹配!K8</f>
        <v>0</v>
      </c>
      <c r="L7">
        <f>[1]法宝人物匹配!L8</f>
        <v>0</v>
      </c>
      <c r="M7">
        <f>[1]法宝人物匹配!M8</f>
        <v>0</v>
      </c>
      <c r="N7">
        <f>[1]法宝人物匹配!N8</f>
        <v>0</v>
      </c>
      <c r="O7">
        <f>[1]法宝人物匹配!O8</f>
        <v>0</v>
      </c>
      <c r="P7">
        <f>[1]法宝人物匹配!P8</f>
        <v>0</v>
      </c>
      <c r="Q7">
        <f>[1]法宝人物匹配!Q8</f>
        <v>0</v>
      </c>
      <c r="R7">
        <f>[1]法宝人物匹配!R8</f>
        <v>0</v>
      </c>
      <c r="S7">
        <f>[1]法宝人物匹配!S8</f>
        <v>0</v>
      </c>
      <c r="T7">
        <f>[1]法宝人物匹配!T8</f>
        <v>0</v>
      </c>
      <c r="U7">
        <f>[1]法宝人物匹配!U8</f>
        <v>0</v>
      </c>
      <c r="V7">
        <f>[1]法宝人物匹配!V8</f>
        <v>0</v>
      </c>
      <c r="W7">
        <f>[1]法宝人物匹配!W8</f>
        <v>0</v>
      </c>
      <c r="X7">
        <f>[1]法宝人物匹配!X8</f>
        <v>0</v>
      </c>
      <c r="Y7">
        <f>[1]法宝人物匹配!Y8</f>
        <v>0</v>
      </c>
      <c r="Z7">
        <f>[1]法宝人物匹配!Z8</f>
        <v>0</v>
      </c>
      <c r="AA7">
        <f>[1]法宝人物匹配!AA8</f>
        <v>0</v>
      </c>
      <c r="AB7">
        <f>[1]法宝人物匹配!AB8</f>
        <v>0</v>
      </c>
      <c r="AC7">
        <f>[1]法宝人物匹配!AC8</f>
        <v>0</v>
      </c>
      <c r="AD7">
        <f>[1]法宝人物匹配!AD8</f>
        <v>0</v>
      </c>
      <c r="AE7">
        <f>[1]法宝人物匹配!AE8</f>
        <v>0</v>
      </c>
      <c r="AF7">
        <f>[1]法宝人物匹配!AF8</f>
        <v>0</v>
      </c>
      <c r="AG7">
        <f>[1]法宝人物匹配!AG8</f>
        <v>0</v>
      </c>
      <c r="AH7">
        <f>[1]法宝人物匹配!AH8</f>
        <v>0</v>
      </c>
      <c r="AI7">
        <f>[1]法宝人物匹配!AI8</f>
        <v>0</v>
      </c>
      <c r="AJ7">
        <f>[1]法宝人物匹配!AJ8</f>
        <v>0</v>
      </c>
      <c r="AK7">
        <f>[1]法宝人物匹配!AK8</f>
        <v>0</v>
      </c>
      <c r="AL7">
        <f>[1]法宝人物匹配!AL8</f>
        <v>0</v>
      </c>
      <c r="AM7">
        <f>[1]法宝人物匹配!AM8</f>
        <v>0</v>
      </c>
      <c r="AN7">
        <f>[1]法宝人物匹配!AN8</f>
        <v>0</v>
      </c>
    </row>
    <row r="8" spans="1:41" x14ac:dyDescent="0.15">
      <c r="A8" t="str">
        <f>玩家卡牌配置表!B8</f>
        <v>C_WukongLiuyi</v>
      </c>
      <c r="B8">
        <f>[1]法宝人物匹配!B9</f>
        <v>0</v>
      </c>
      <c r="C8">
        <f>[1]法宝人物匹配!C9</f>
        <v>0</v>
      </c>
      <c r="D8">
        <f>[1]法宝人物匹配!D9</f>
        <v>0</v>
      </c>
      <c r="E8">
        <f>[1]法宝人物匹配!E9</f>
        <v>0</v>
      </c>
      <c r="F8">
        <f>[1]法宝人物匹配!F9</f>
        <v>10</v>
      </c>
      <c r="G8">
        <f>[1]法宝人物匹配!G9</f>
        <v>0</v>
      </c>
      <c r="H8">
        <f>[1]法宝人物匹配!H9</f>
        <v>0</v>
      </c>
      <c r="I8">
        <f>[1]法宝人物匹配!I9</f>
        <v>0</v>
      </c>
      <c r="J8">
        <f>[1]法宝人物匹配!J9</f>
        <v>0</v>
      </c>
      <c r="K8">
        <f>[1]法宝人物匹配!K9</f>
        <v>0</v>
      </c>
      <c r="L8">
        <f>[1]法宝人物匹配!L9</f>
        <v>0</v>
      </c>
      <c r="M8">
        <f>[1]法宝人物匹配!M9</f>
        <v>0</v>
      </c>
      <c r="N8">
        <f>[1]法宝人物匹配!N9</f>
        <v>0</v>
      </c>
      <c r="O8">
        <f>[1]法宝人物匹配!O9</f>
        <v>0</v>
      </c>
      <c r="P8">
        <f>[1]法宝人物匹配!P9</f>
        <v>0</v>
      </c>
      <c r="Q8">
        <f>[1]法宝人物匹配!Q9</f>
        <v>0</v>
      </c>
      <c r="R8">
        <f>[1]法宝人物匹配!R9</f>
        <v>0</v>
      </c>
      <c r="S8">
        <f>[1]法宝人物匹配!S9</f>
        <v>0</v>
      </c>
      <c r="T8">
        <f>[1]法宝人物匹配!T9</f>
        <v>0</v>
      </c>
      <c r="U8">
        <f>[1]法宝人物匹配!U9</f>
        <v>0</v>
      </c>
      <c r="V8">
        <f>[1]法宝人物匹配!V9</f>
        <v>0</v>
      </c>
      <c r="W8">
        <f>[1]法宝人物匹配!W9</f>
        <v>0</v>
      </c>
      <c r="X8">
        <f>[1]法宝人物匹配!X9</f>
        <v>0</v>
      </c>
      <c r="Y8">
        <f>[1]法宝人物匹配!Y9</f>
        <v>0</v>
      </c>
      <c r="Z8">
        <f>[1]法宝人物匹配!Z9</f>
        <v>0</v>
      </c>
      <c r="AA8">
        <f>[1]法宝人物匹配!AA9</f>
        <v>0</v>
      </c>
      <c r="AB8">
        <f>[1]法宝人物匹配!AB9</f>
        <v>0</v>
      </c>
      <c r="AC8">
        <f>[1]法宝人物匹配!AC9</f>
        <v>0</v>
      </c>
      <c r="AD8">
        <f>[1]法宝人物匹配!AD9</f>
        <v>0</v>
      </c>
      <c r="AE8">
        <f>[1]法宝人物匹配!AE9</f>
        <v>0</v>
      </c>
      <c r="AF8">
        <f>[1]法宝人物匹配!AF9</f>
        <v>0</v>
      </c>
      <c r="AG8">
        <f>[1]法宝人物匹配!AG9</f>
        <v>0</v>
      </c>
      <c r="AH8">
        <f>[1]法宝人物匹配!AH9</f>
        <v>0</v>
      </c>
      <c r="AI8">
        <f>[1]法宝人物匹配!AI9</f>
        <v>0</v>
      </c>
      <c r="AJ8">
        <f>[1]法宝人物匹配!AJ9</f>
        <v>0</v>
      </c>
      <c r="AK8">
        <f>[1]法宝人物匹配!AK9</f>
        <v>0</v>
      </c>
      <c r="AL8">
        <f>[1]法宝人物匹配!AL9</f>
        <v>0</v>
      </c>
      <c r="AM8">
        <f>[1]法宝人物匹配!AM9</f>
        <v>0</v>
      </c>
      <c r="AN8">
        <f>[1]法宝人物匹配!AN9</f>
        <v>0</v>
      </c>
    </row>
    <row r="9" spans="1:41" x14ac:dyDescent="0.15">
      <c r="A9" t="str">
        <f>玩家卡牌配置表!B9</f>
        <v>C_GuiChengxiang</v>
      </c>
      <c r="B9">
        <f>[1]法宝人物匹配!B10</f>
        <v>0</v>
      </c>
      <c r="C9">
        <f>[1]法宝人物匹配!C10</f>
        <v>0</v>
      </c>
      <c r="D9">
        <f>[1]法宝人物匹配!D10</f>
        <v>0</v>
      </c>
      <c r="E9">
        <f>[1]法宝人物匹配!E10</f>
        <v>0</v>
      </c>
      <c r="F9">
        <f>[1]法宝人物匹配!F10</f>
        <v>0</v>
      </c>
      <c r="G9">
        <f>[1]法宝人物匹配!G10</f>
        <v>0</v>
      </c>
      <c r="H9">
        <f>[1]法宝人物匹配!H10</f>
        <v>0</v>
      </c>
      <c r="I9">
        <f>[1]法宝人物匹配!I10</f>
        <v>0</v>
      </c>
      <c r="J9">
        <f>[1]法宝人物匹配!J10</f>
        <v>0</v>
      </c>
      <c r="K9">
        <f>[1]法宝人物匹配!K10</f>
        <v>0</v>
      </c>
      <c r="L9">
        <f>[1]法宝人物匹配!L10</f>
        <v>0</v>
      </c>
      <c r="M9">
        <f>[1]法宝人物匹配!M10</f>
        <v>0</v>
      </c>
      <c r="N9">
        <f>[1]法宝人物匹配!N10</f>
        <v>0</v>
      </c>
      <c r="O9">
        <f>[1]法宝人物匹配!O10</f>
        <v>0</v>
      </c>
      <c r="P9">
        <f>[1]法宝人物匹配!P10</f>
        <v>0</v>
      </c>
      <c r="Q9">
        <f>[1]法宝人物匹配!Q10</f>
        <v>0</v>
      </c>
      <c r="R9">
        <f>[1]法宝人物匹配!R10</f>
        <v>0</v>
      </c>
      <c r="S9">
        <f>[1]法宝人物匹配!S10</f>
        <v>0</v>
      </c>
      <c r="T9">
        <f>[1]法宝人物匹配!T10</f>
        <v>0</v>
      </c>
      <c r="U9">
        <f>[1]法宝人物匹配!U10</f>
        <v>0</v>
      </c>
      <c r="V9">
        <f>[1]法宝人物匹配!V10</f>
        <v>0</v>
      </c>
      <c r="W9">
        <f>[1]法宝人物匹配!W10</f>
        <v>0</v>
      </c>
      <c r="X9">
        <f>[1]法宝人物匹配!X10</f>
        <v>0</v>
      </c>
      <c r="Y9">
        <f>[1]法宝人物匹配!Y10</f>
        <v>0</v>
      </c>
      <c r="Z9">
        <f>[1]法宝人物匹配!Z10</f>
        <v>0</v>
      </c>
      <c r="AA9">
        <f>[1]法宝人物匹配!AA10</f>
        <v>0</v>
      </c>
      <c r="AB9">
        <f>[1]法宝人物匹配!AB10</f>
        <v>0</v>
      </c>
      <c r="AC9">
        <f>[1]法宝人物匹配!AC10</f>
        <v>0</v>
      </c>
      <c r="AD9">
        <f>[1]法宝人物匹配!AD10</f>
        <v>0</v>
      </c>
      <c r="AE9">
        <f>[1]法宝人物匹配!AE10</f>
        <v>0</v>
      </c>
      <c r="AF9">
        <f>[1]法宝人物匹配!AF10</f>
        <v>0</v>
      </c>
      <c r="AG9">
        <f>[1]法宝人物匹配!AG10</f>
        <v>0</v>
      </c>
      <c r="AH9">
        <f>[1]法宝人物匹配!AH10</f>
        <v>0</v>
      </c>
      <c r="AI9">
        <f>[1]法宝人物匹配!AI10</f>
        <v>0</v>
      </c>
      <c r="AJ9">
        <f>[1]法宝人物匹配!AJ10</f>
        <v>0</v>
      </c>
      <c r="AK9">
        <f>[1]法宝人物匹配!AK10</f>
        <v>0</v>
      </c>
      <c r="AL9">
        <f>[1]法宝人物匹配!AL10</f>
        <v>0</v>
      </c>
      <c r="AM9">
        <f>[1]法宝人物匹配!AM10</f>
        <v>0</v>
      </c>
      <c r="AN9">
        <f>[1]法宝人物匹配!AN10</f>
        <v>0</v>
      </c>
    </row>
    <row r="10" spans="1:41" x14ac:dyDescent="0.15">
      <c r="A10" t="str">
        <f>玩家卡牌配置表!B10</f>
        <v>C_LingXuzi</v>
      </c>
      <c r="B10">
        <f>[1]法宝人物匹配!B11</f>
        <v>0</v>
      </c>
      <c r="C10">
        <f>[1]法宝人物匹配!C11</f>
        <v>0</v>
      </c>
      <c r="D10">
        <f>[1]法宝人物匹配!D11</f>
        <v>0</v>
      </c>
      <c r="E10">
        <f>[1]法宝人物匹配!E11</f>
        <v>0</v>
      </c>
      <c r="F10">
        <f>[1]法宝人物匹配!F11</f>
        <v>0</v>
      </c>
      <c r="G10">
        <f>[1]法宝人物匹配!G11</f>
        <v>0</v>
      </c>
      <c r="H10">
        <f>[1]法宝人物匹配!H11</f>
        <v>0</v>
      </c>
      <c r="I10">
        <f>[1]法宝人物匹配!I11</f>
        <v>0</v>
      </c>
      <c r="J10">
        <f>[1]法宝人物匹配!J11</f>
        <v>0</v>
      </c>
      <c r="K10">
        <f>[1]法宝人物匹配!K11</f>
        <v>0</v>
      </c>
      <c r="L10">
        <f>[1]法宝人物匹配!L11</f>
        <v>0</v>
      </c>
      <c r="M10">
        <f>[1]法宝人物匹配!M11</f>
        <v>0</v>
      </c>
      <c r="N10">
        <f>[1]法宝人物匹配!N11</f>
        <v>0</v>
      </c>
      <c r="O10">
        <f>[1]法宝人物匹配!O11</f>
        <v>0</v>
      </c>
      <c r="P10">
        <f>[1]法宝人物匹配!P11</f>
        <v>0</v>
      </c>
      <c r="Q10">
        <f>[1]法宝人物匹配!Q11</f>
        <v>0</v>
      </c>
      <c r="R10">
        <f>[1]法宝人物匹配!R11</f>
        <v>0</v>
      </c>
      <c r="S10">
        <f>[1]法宝人物匹配!S11</f>
        <v>0</v>
      </c>
      <c r="T10">
        <f>[1]法宝人物匹配!T11</f>
        <v>0</v>
      </c>
      <c r="U10">
        <f>[1]法宝人物匹配!U11</f>
        <v>0</v>
      </c>
      <c r="V10">
        <f>[1]法宝人物匹配!V11</f>
        <v>0</v>
      </c>
      <c r="W10">
        <f>[1]法宝人物匹配!W11</f>
        <v>0</v>
      </c>
      <c r="X10">
        <f>[1]法宝人物匹配!X11</f>
        <v>0</v>
      </c>
      <c r="Y10">
        <f>[1]法宝人物匹配!Y11</f>
        <v>0</v>
      </c>
      <c r="Z10">
        <f>[1]法宝人物匹配!Z11</f>
        <v>0</v>
      </c>
      <c r="AA10">
        <f>[1]法宝人物匹配!AA11</f>
        <v>0</v>
      </c>
      <c r="AB10">
        <f>[1]法宝人物匹配!AB11</f>
        <v>0</v>
      </c>
      <c r="AC10">
        <f>[1]法宝人物匹配!AC11</f>
        <v>0</v>
      </c>
      <c r="AD10">
        <f>[1]法宝人物匹配!AD11</f>
        <v>0</v>
      </c>
      <c r="AE10">
        <f>[1]法宝人物匹配!AE11</f>
        <v>0</v>
      </c>
      <c r="AF10">
        <f>[1]法宝人物匹配!AF11</f>
        <v>0</v>
      </c>
      <c r="AG10">
        <f>[1]法宝人物匹配!AG11</f>
        <v>0</v>
      </c>
      <c r="AH10">
        <f>[1]法宝人物匹配!AH11</f>
        <v>0</v>
      </c>
      <c r="AI10">
        <f>[1]法宝人物匹配!AI11</f>
        <v>0</v>
      </c>
      <c r="AJ10">
        <f>[1]法宝人物匹配!AJ11</f>
        <v>0</v>
      </c>
      <c r="AK10">
        <f>[1]法宝人物匹配!AK11</f>
        <v>0</v>
      </c>
      <c r="AL10">
        <f>[1]法宝人物匹配!AL11</f>
        <v>0</v>
      </c>
      <c r="AM10">
        <f>[1]法宝人物匹配!AM11</f>
        <v>0</v>
      </c>
      <c r="AN10">
        <f>[1]法宝人物匹配!AN11</f>
        <v>0</v>
      </c>
    </row>
    <row r="11" spans="1:41" x14ac:dyDescent="0.15">
      <c r="A11" t="str">
        <f>玩家卡牌配置表!B11</f>
        <v>C_HeiXiongjing</v>
      </c>
      <c r="B11">
        <f>[1]法宝人物匹配!B12</f>
        <v>0</v>
      </c>
      <c r="C11">
        <f>[1]法宝人物匹配!C12</f>
        <v>0</v>
      </c>
      <c r="D11">
        <f>[1]法宝人物匹配!D12</f>
        <v>0</v>
      </c>
      <c r="E11">
        <f>[1]法宝人物匹配!E12</f>
        <v>0</v>
      </c>
      <c r="F11">
        <f>[1]法宝人物匹配!F12</f>
        <v>0</v>
      </c>
      <c r="G11">
        <f>[1]法宝人物匹配!G12</f>
        <v>0</v>
      </c>
      <c r="H11">
        <f>[1]法宝人物匹配!H12</f>
        <v>0</v>
      </c>
      <c r="I11">
        <f>[1]法宝人物匹配!I12</f>
        <v>0</v>
      </c>
      <c r="J11">
        <f>[1]法宝人物匹配!J12</f>
        <v>0</v>
      </c>
      <c r="K11">
        <f>[1]法宝人物匹配!K12</f>
        <v>0</v>
      </c>
      <c r="L11">
        <f>[1]法宝人物匹配!L12</f>
        <v>0</v>
      </c>
      <c r="M11">
        <f>[1]法宝人物匹配!M12</f>
        <v>0</v>
      </c>
      <c r="N11">
        <f>[1]法宝人物匹配!N12</f>
        <v>0</v>
      </c>
      <c r="O11">
        <f>[1]法宝人物匹配!O12</f>
        <v>0</v>
      </c>
      <c r="P11">
        <f>[1]法宝人物匹配!P12</f>
        <v>0</v>
      </c>
      <c r="Q11">
        <f>[1]法宝人物匹配!Q12</f>
        <v>0</v>
      </c>
      <c r="R11">
        <f>[1]法宝人物匹配!R12</f>
        <v>0</v>
      </c>
      <c r="S11">
        <f>[1]法宝人物匹配!S12</f>
        <v>0</v>
      </c>
      <c r="T11">
        <f>[1]法宝人物匹配!T12</f>
        <v>0</v>
      </c>
      <c r="U11">
        <f>[1]法宝人物匹配!U12</f>
        <v>0</v>
      </c>
      <c r="V11">
        <f>[1]法宝人物匹配!V12</f>
        <v>0</v>
      </c>
      <c r="W11">
        <f>[1]法宝人物匹配!W12</f>
        <v>0</v>
      </c>
      <c r="X11">
        <f>[1]法宝人物匹配!X12</f>
        <v>0</v>
      </c>
      <c r="Y11">
        <f>[1]法宝人物匹配!Y12</f>
        <v>0</v>
      </c>
      <c r="Z11">
        <f>[1]法宝人物匹配!Z12</f>
        <v>0</v>
      </c>
      <c r="AA11">
        <f>[1]法宝人物匹配!AA12</f>
        <v>0</v>
      </c>
      <c r="AB11">
        <f>[1]法宝人物匹配!AB12</f>
        <v>0</v>
      </c>
      <c r="AC11">
        <f>[1]法宝人物匹配!AC12</f>
        <v>0</v>
      </c>
      <c r="AD11">
        <f>[1]法宝人物匹配!AD12</f>
        <v>0</v>
      </c>
      <c r="AE11">
        <f>[1]法宝人物匹配!AE12</f>
        <v>0</v>
      </c>
      <c r="AF11">
        <f>[1]法宝人物匹配!AF12</f>
        <v>0</v>
      </c>
      <c r="AG11">
        <f>[1]法宝人物匹配!AG12</f>
        <v>0</v>
      </c>
      <c r="AH11">
        <f>[1]法宝人物匹配!AH12</f>
        <v>0</v>
      </c>
      <c r="AI11">
        <f>[1]法宝人物匹配!AI12</f>
        <v>0</v>
      </c>
      <c r="AJ11">
        <f>[1]法宝人物匹配!AJ12</f>
        <v>0</v>
      </c>
      <c r="AK11">
        <f>[1]法宝人物匹配!AK12</f>
        <v>0</v>
      </c>
      <c r="AL11">
        <f>[1]法宝人物匹配!AL12</f>
        <v>0</v>
      </c>
      <c r="AM11">
        <f>[1]法宝人物匹配!AM12</f>
        <v>0</v>
      </c>
      <c r="AN11">
        <f>[1]法宝人物匹配!AN12</f>
        <v>0</v>
      </c>
    </row>
    <row r="12" spans="1:41" x14ac:dyDescent="0.15">
      <c r="A12" t="str">
        <f>玩家卡牌配置表!B12</f>
        <v>C_HuXianfeng</v>
      </c>
      <c r="B12">
        <f>[1]法宝人物匹配!B13</f>
        <v>0</v>
      </c>
      <c r="C12">
        <f>[1]法宝人物匹配!C13</f>
        <v>0</v>
      </c>
      <c r="D12">
        <f>[1]法宝人物匹配!D13</f>
        <v>0</v>
      </c>
      <c r="E12">
        <f>[1]法宝人物匹配!E13</f>
        <v>0</v>
      </c>
      <c r="F12">
        <f>[1]法宝人物匹配!F13</f>
        <v>0</v>
      </c>
      <c r="G12">
        <f>[1]法宝人物匹配!G13</f>
        <v>0</v>
      </c>
      <c r="H12">
        <f>[1]法宝人物匹配!H13</f>
        <v>0</v>
      </c>
      <c r="I12">
        <f>[1]法宝人物匹配!I13</f>
        <v>0</v>
      </c>
      <c r="J12">
        <f>[1]法宝人物匹配!J13</f>
        <v>0</v>
      </c>
      <c r="K12">
        <f>[1]法宝人物匹配!K13</f>
        <v>0</v>
      </c>
      <c r="L12">
        <f>[1]法宝人物匹配!L13</f>
        <v>0</v>
      </c>
      <c r="M12">
        <f>[1]法宝人物匹配!M13</f>
        <v>0</v>
      </c>
      <c r="N12">
        <f>[1]法宝人物匹配!N13</f>
        <v>0</v>
      </c>
      <c r="O12">
        <f>[1]法宝人物匹配!O13</f>
        <v>0</v>
      </c>
      <c r="P12">
        <f>[1]法宝人物匹配!P13</f>
        <v>0</v>
      </c>
      <c r="Q12">
        <f>[1]法宝人物匹配!Q13</f>
        <v>0</v>
      </c>
      <c r="R12">
        <f>[1]法宝人物匹配!R13</f>
        <v>0</v>
      </c>
      <c r="S12">
        <f>[1]法宝人物匹配!S13</f>
        <v>0</v>
      </c>
      <c r="T12">
        <f>[1]法宝人物匹配!T13</f>
        <v>0</v>
      </c>
      <c r="U12">
        <f>[1]法宝人物匹配!U13</f>
        <v>0</v>
      </c>
      <c r="V12">
        <f>[1]法宝人物匹配!V13</f>
        <v>0</v>
      </c>
      <c r="W12">
        <f>[1]法宝人物匹配!W13</f>
        <v>0</v>
      </c>
      <c r="X12">
        <f>[1]法宝人物匹配!X13</f>
        <v>0</v>
      </c>
      <c r="Y12">
        <f>[1]法宝人物匹配!Y13</f>
        <v>0</v>
      </c>
      <c r="Z12">
        <f>[1]法宝人物匹配!Z13</f>
        <v>0</v>
      </c>
      <c r="AA12">
        <f>[1]法宝人物匹配!AA13</f>
        <v>0</v>
      </c>
      <c r="AB12">
        <f>[1]法宝人物匹配!AB13</f>
        <v>0</v>
      </c>
      <c r="AC12">
        <f>[1]法宝人物匹配!AC13</f>
        <v>0</v>
      </c>
      <c r="AD12">
        <f>[1]法宝人物匹配!AD13</f>
        <v>0</v>
      </c>
      <c r="AE12">
        <f>[1]法宝人物匹配!AE13</f>
        <v>0</v>
      </c>
      <c r="AF12">
        <f>[1]法宝人物匹配!AF13</f>
        <v>0</v>
      </c>
      <c r="AG12">
        <f>[1]法宝人物匹配!AG13</f>
        <v>0</v>
      </c>
      <c r="AH12">
        <f>[1]法宝人物匹配!AH13</f>
        <v>0</v>
      </c>
      <c r="AI12">
        <f>[1]法宝人物匹配!AI13</f>
        <v>0</v>
      </c>
      <c r="AJ12">
        <f>[1]法宝人物匹配!AJ13</f>
        <v>0</v>
      </c>
      <c r="AK12">
        <f>[1]法宝人物匹配!AK13</f>
        <v>0</v>
      </c>
      <c r="AL12">
        <f>[1]法宝人物匹配!AL13</f>
        <v>0</v>
      </c>
      <c r="AM12">
        <f>[1]法宝人物匹配!AM13</f>
        <v>0</v>
      </c>
      <c r="AN12">
        <f>[1]法宝人物匹配!AN13</f>
        <v>0</v>
      </c>
    </row>
    <row r="13" spans="1:41" x14ac:dyDescent="0.15">
      <c r="A13" t="str">
        <f>玩家卡牌配置表!B13</f>
        <v>C_HuangFengguai</v>
      </c>
      <c r="B13">
        <f>[1]法宝人物匹配!B14</f>
        <v>0</v>
      </c>
      <c r="C13">
        <f>[1]法宝人物匹配!C14</f>
        <v>0</v>
      </c>
      <c r="D13">
        <f>[1]法宝人物匹配!D14</f>
        <v>0</v>
      </c>
      <c r="E13">
        <f>[1]法宝人物匹配!E14</f>
        <v>0</v>
      </c>
      <c r="F13">
        <f>[1]法宝人物匹配!F14</f>
        <v>0</v>
      </c>
      <c r="G13">
        <f>[1]法宝人物匹配!G14</f>
        <v>0</v>
      </c>
      <c r="H13">
        <f>[1]法宝人物匹配!H14</f>
        <v>0</v>
      </c>
      <c r="I13">
        <f>[1]法宝人物匹配!I14</f>
        <v>0</v>
      </c>
      <c r="J13">
        <f>[1]法宝人物匹配!J14</f>
        <v>0</v>
      </c>
      <c r="K13">
        <f>[1]法宝人物匹配!K14</f>
        <v>10</v>
      </c>
      <c r="L13">
        <f>[1]法宝人物匹配!L14</f>
        <v>0</v>
      </c>
      <c r="M13">
        <f>[1]法宝人物匹配!M14</f>
        <v>0</v>
      </c>
      <c r="N13">
        <f>[1]法宝人物匹配!N14</f>
        <v>0</v>
      </c>
      <c r="O13">
        <f>[1]法宝人物匹配!O14</f>
        <v>0</v>
      </c>
      <c r="P13">
        <f>[1]法宝人物匹配!P14</f>
        <v>0</v>
      </c>
      <c r="Q13">
        <f>[1]法宝人物匹配!Q14</f>
        <v>0</v>
      </c>
      <c r="R13">
        <f>[1]法宝人物匹配!R14</f>
        <v>0</v>
      </c>
      <c r="S13">
        <f>[1]法宝人物匹配!S14</f>
        <v>0</v>
      </c>
      <c r="T13">
        <f>[1]法宝人物匹配!T14</f>
        <v>0</v>
      </c>
      <c r="U13">
        <f>[1]法宝人物匹配!U14</f>
        <v>0</v>
      </c>
      <c r="V13">
        <f>[1]法宝人物匹配!V14</f>
        <v>0</v>
      </c>
      <c r="W13">
        <f>[1]法宝人物匹配!W14</f>
        <v>0</v>
      </c>
      <c r="X13">
        <f>[1]法宝人物匹配!X14</f>
        <v>0</v>
      </c>
      <c r="Y13">
        <f>[1]法宝人物匹配!Y14</f>
        <v>0</v>
      </c>
      <c r="Z13">
        <f>[1]法宝人物匹配!Z14</f>
        <v>0</v>
      </c>
      <c r="AA13">
        <f>[1]法宝人物匹配!AA14</f>
        <v>0</v>
      </c>
      <c r="AB13">
        <f>[1]法宝人物匹配!AB14</f>
        <v>0</v>
      </c>
      <c r="AC13">
        <f>[1]法宝人物匹配!AC14</f>
        <v>0</v>
      </c>
      <c r="AD13">
        <f>[1]法宝人物匹配!AD14</f>
        <v>0</v>
      </c>
      <c r="AE13">
        <f>[1]法宝人物匹配!AE14</f>
        <v>0</v>
      </c>
      <c r="AF13">
        <f>[1]法宝人物匹配!AF14</f>
        <v>0</v>
      </c>
      <c r="AG13">
        <f>[1]法宝人物匹配!AG14</f>
        <v>0</v>
      </c>
      <c r="AH13">
        <f>[1]法宝人物匹配!AH14</f>
        <v>0</v>
      </c>
      <c r="AI13">
        <f>[1]法宝人物匹配!AI14</f>
        <v>0</v>
      </c>
      <c r="AJ13">
        <f>[1]法宝人物匹配!AJ14</f>
        <v>0</v>
      </c>
      <c r="AK13">
        <f>[1]法宝人物匹配!AK14</f>
        <v>0</v>
      </c>
      <c r="AL13">
        <f>[1]法宝人物匹配!AL14</f>
        <v>0</v>
      </c>
      <c r="AM13">
        <f>[1]法宝人物匹配!AM14</f>
        <v>0</v>
      </c>
      <c r="AN13">
        <f>[1]法宝人物匹配!AN14</f>
        <v>0</v>
      </c>
    </row>
    <row r="14" spans="1:41" x14ac:dyDescent="0.15">
      <c r="A14" t="str">
        <f>玩家卡牌配置表!B14</f>
        <v>C_LingjiPusa</v>
      </c>
      <c r="B14">
        <f>[1]法宝人物匹配!B15</f>
        <v>0</v>
      </c>
      <c r="C14">
        <f>[1]法宝人物匹配!C15</f>
        <v>0</v>
      </c>
      <c r="D14">
        <f>[1]法宝人物匹配!D15</f>
        <v>0</v>
      </c>
      <c r="E14">
        <f>[1]法宝人物匹配!E15</f>
        <v>0</v>
      </c>
      <c r="F14">
        <f>[1]法宝人物匹配!F15</f>
        <v>0</v>
      </c>
      <c r="G14">
        <f>[1]法宝人物匹配!G15</f>
        <v>0</v>
      </c>
      <c r="H14">
        <f>[1]法宝人物匹配!H15</f>
        <v>0</v>
      </c>
      <c r="I14">
        <f>[1]法宝人物匹配!I15</f>
        <v>0</v>
      </c>
      <c r="J14">
        <f>[1]法宝人物匹配!J15</f>
        <v>0</v>
      </c>
      <c r="K14">
        <f>[1]法宝人物匹配!K15</f>
        <v>10</v>
      </c>
      <c r="L14">
        <f>[1]法宝人物匹配!L15</f>
        <v>0</v>
      </c>
      <c r="M14">
        <f>[1]法宝人物匹配!M15</f>
        <v>0</v>
      </c>
      <c r="N14">
        <f>[1]法宝人物匹配!N15</f>
        <v>0</v>
      </c>
      <c r="O14">
        <f>[1]法宝人物匹配!O15</f>
        <v>0</v>
      </c>
      <c r="P14">
        <f>[1]法宝人物匹配!P15</f>
        <v>0</v>
      </c>
      <c r="Q14">
        <f>[1]法宝人物匹配!Q15</f>
        <v>0</v>
      </c>
      <c r="R14">
        <f>[1]法宝人物匹配!R15</f>
        <v>0</v>
      </c>
      <c r="S14">
        <f>[1]法宝人物匹配!S15</f>
        <v>0</v>
      </c>
      <c r="T14">
        <f>[1]法宝人物匹配!T15</f>
        <v>0</v>
      </c>
      <c r="U14">
        <f>[1]法宝人物匹配!U15</f>
        <v>0</v>
      </c>
      <c r="V14">
        <f>[1]法宝人物匹配!V15</f>
        <v>0</v>
      </c>
      <c r="W14">
        <f>[1]法宝人物匹配!W15</f>
        <v>0</v>
      </c>
      <c r="X14">
        <f>[1]法宝人物匹配!X15</f>
        <v>0</v>
      </c>
      <c r="Y14">
        <f>[1]法宝人物匹配!Y15</f>
        <v>0</v>
      </c>
      <c r="Z14">
        <f>[1]法宝人物匹配!Z15</f>
        <v>0</v>
      </c>
      <c r="AA14">
        <f>[1]法宝人物匹配!AA15</f>
        <v>0</v>
      </c>
      <c r="AB14">
        <f>[1]法宝人物匹配!AB15</f>
        <v>0</v>
      </c>
      <c r="AC14">
        <f>[1]法宝人物匹配!AC15</f>
        <v>0</v>
      </c>
      <c r="AD14">
        <f>[1]法宝人物匹配!AD15</f>
        <v>0</v>
      </c>
      <c r="AE14">
        <f>[1]法宝人物匹配!AE15</f>
        <v>0</v>
      </c>
      <c r="AF14">
        <f>[1]法宝人物匹配!AF15</f>
        <v>0</v>
      </c>
      <c r="AG14">
        <f>[1]法宝人物匹配!AG15</f>
        <v>0</v>
      </c>
      <c r="AH14">
        <f>[1]法宝人物匹配!AH15</f>
        <v>0</v>
      </c>
      <c r="AI14">
        <f>[1]法宝人物匹配!AI15</f>
        <v>0</v>
      </c>
      <c r="AJ14">
        <f>[1]法宝人物匹配!AJ15</f>
        <v>0</v>
      </c>
      <c r="AK14">
        <f>[1]法宝人物匹配!AK15</f>
        <v>0</v>
      </c>
      <c r="AL14">
        <f>[1]法宝人物匹配!AL15</f>
        <v>0</v>
      </c>
      <c r="AM14">
        <f>[1]法宝人物匹配!AM15</f>
        <v>0</v>
      </c>
      <c r="AN14">
        <f>[1]法宝人物匹配!AN15</f>
        <v>0</v>
      </c>
    </row>
    <row r="15" spans="1:41" x14ac:dyDescent="0.15">
      <c r="A15" t="str">
        <f>玩家卡牌配置表!B15</f>
        <v>C_Julingshen</v>
      </c>
      <c r="B15">
        <f>[1]法宝人物匹配!B16</f>
        <v>0</v>
      </c>
      <c r="C15">
        <f>[1]法宝人物匹配!C16</f>
        <v>0</v>
      </c>
      <c r="D15">
        <f>[1]法宝人物匹配!D16</f>
        <v>0</v>
      </c>
      <c r="E15">
        <f>[1]法宝人物匹配!E16</f>
        <v>0</v>
      </c>
      <c r="F15">
        <f>[1]法宝人物匹配!F16</f>
        <v>0</v>
      </c>
      <c r="G15">
        <f>[1]法宝人物匹配!G16</f>
        <v>0</v>
      </c>
      <c r="H15">
        <f>[1]法宝人物匹配!H16</f>
        <v>0</v>
      </c>
      <c r="I15">
        <f>[1]法宝人物匹配!I16</f>
        <v>0</v>
      </c>
      <c r="J15">
        <f>[1]法宝人物匹配!J16</f>
        <v>0</v>
      </c>
      <c r="K15">
        <f>[1]法宝人物匹配!K16</f>
        <v>0</v>
      </c>
      <c r="L15">
        <f>[1]法宝人物匹配!L16</f>
        <v>0</v>
      </c>
      <c r="M15">
        <f>[1]法宝人物匹配!M16</f>
        <v>0</v>
      </c>
      <c r="N15">
        <f>[1]法宝人物匹配!N16</f>
        <v>10</v>
      </c>
      <c r="O15">
        <f>[1]法宝人物匹配!O16</f>
        <v>0</v>
      </c>
      <c r="P15">
        <f>[1]法宝人物匹配!P16</f>
        <v>0</v>
      </c>
      <c r="Q15">
        <f>[1]法宝人物匹配!Q16</f>
        <v>0</v>
      </c>
      <c r="R15">
        <f>[1]法宝人物匹配!R16</f>
        <v>0</v>
      </c>
      <c r="S15">
        <f>[1]法宝人物匹配!S16</f>
        <v>0</v>
      </c>
      <c r="T15">
        <f>[1]法宝人物匹配!T16</f>
        <v>0</v>
      </c>
      <c r="U15">
        <f>[1]法宝人物匹配!U16</f>
        <v>0</v>
      </c>
      <c r="V15">
        <f>[1]法宝人物匹配!V16</f>
        <v>0</v>
      </c>
      <c r="W15">
        <f>[1]法宝人物匹配!W16</f>
        <v>0</v>
      </c>
      <c r="X15">
        <f>[1]法宝人物匹配!X16</f>
        <v>0</v>
      </c>
      <c r="Y15">
        <f>[1]法宝人物匹配!Y16</f>
        <v>0</v>
      </c>
      <c r="Z15">
        <f>[1]法宝人物匹配!Z16</f>
        <v>0</v>
      </c>
      <c r="AA15">
        <f>[1]法宝人物匹配!AA16</f>
        <v>0</v>
      </c>
      <c r="AB15">
        <f>[1]法宝人物匹配!AB16</f>
        <v>0</v>
      </c>
      <c r="AC15">
        <f>[1]法宝人物匹配!AC16</f>
        <v>0</v>
      </c>
      <c r="AD15">
        <f>[1]法宝人物匹配!AD16</f>
        <v>0</v>
      </c>
      <c r="AE15">
        <f>[1]法宝人物匹配!AE16</f>
        <v>0</v>
      </c>
      <c r="AF15">
        <f>[1]法宝人物匹配!AF16</f>
        <v>0</v>
      </c>
      <c r="AG15">
        <f>[1]法宝人物匹配!AG16</f>
        <v>0</v>
      </c>
      <c r="AH15">
        <f>[1]法宝人物匹配!AH16</f>
        <v>0</v>
      </c>
      <c r="AI15">
        <f>[1]法宝人物匹配!AI16</f>
        <v>0</v>
      </c>
      <c r="AJ15">
        <f>[1]法宝人物匹配!AJ16</f>
        <v>0</v>
      </c>
      <c r="AK15">
        <f>[1]法宝人物匹配!AK16</f>
        <v>0</v>
      </c>
      <c r="AL15">
        <f>[1]法宝人物匹配!AL16</f>
        <v>0</v>
      </c>
      <c r="AM15">
        <f>[1]法宝人物匹配!AM16</f>
        <v>0</v>
      </c>
      <c r="AN15">
        <f>[1]法宝人物匹配!AN16</f>
        <v>0</v>
      </c>
    </row>
    <row r="16" spans="1:41" x14ac:dyDescent="0.15">
      <c r="A16" t="str">
        <f>玩家卡牌配置表!B16</f>
        <v>C_Duoluozha</v>
      </c>
      <c r="B16">
        <f>[1]法宝人物匹配!B17</f>
        <v>0</v>
      </c>
      <c r="C16">
        <f>[1]法宝人物匹配!C17</f>
        <v>0</v>
      </c>
      <c r="D16">
        <f>[1]法宝人物匹配!D17</f>
        <v>0</v>
      </c>
      <c r="E16">
        <f>[1]法宝人物匹配!E17</f>
        <v>0</v>
      </c>
      <c r="F16">
        <f>[1]法宝人物匹配!F17</f>
        <v>0</v>
      </c>
      <c r="G16">
        <f>[1]法宝人物匹配!G17</f>
        <v>0</v>
      </c>
      <c r="H16">
        <f>[1]法宝人物匹配!H17</f>
        <v>0</v>
      </c>
      <c r="I16">
        <f>[1]法宝人物匹配!I17</f>
        <v>0</v>
      </c>
      <c r="J16">
        <f>[1]法宝人物匹配!J17</f>
        <v>0</v>
      </c>
      <c r="K16">
        <f>[1]法宝人物匹配!K17</f>
        <v>0</v>
      </c>
      <c r="L16">
        <f>[1]法宝人物匹配!L17</f>
        <v>0</v>
      </c>
      <c r="M16">
        <f>[1]法宝人物匹配!M17</f>
        <v>0</v>
      </c>
      <c r="N16">
        <f>[1]法宝人物匹配!N17</f>
        <v>0</v>
      </c>
      <c r="O16">
        <f>[1]法宝人物匹配!O17</f>
        <v>10</v>
      </c>
      <c r="P16">
        <f>[1]法宝人物匹配!P17</f>
        <v>0</v>
      </c>
      <c r="Q16">
        <f>[1]法宝人物匹配!Q17</f>
        <v>0</v>
      </c>
      <c r="R16">
        <f>[1]法宝人物匹配!R17</f>
        <v>0</v>
      </c>
      <c r="S16">
        <f>[1]法宝人物匹配!S17</f>
        <v>0</v>
      </c>
      <c r="T16">
        <f>[1]法宝人物匹配!T17</f>
        <v>0</v>
      </c>
      <c r="U16">
        <f>[1]法宝人物匹配!U17</f>
        <v>0</v>
      </c>
      <c r="V16">
        <f>[1]法宝人物匹配!V17</f>
        <v>0</v>
      </c>
      <c r="W16">
        <f>[1]法宝人物匹配!W17</f>
        <v>0</v>
      </c>
      <c r="X16">
        <f>[1]法宝人物匹配!X17</f>
        <v>0</v>
      </c>
      <c r="Y16">
        <f>[1]法宝人物匹配!Y17</f>
        <v>0</v>
      </c>
      <c r="Z16">
        <f>[1]法宝人物匹配!Z17</f>
        <v>0</v>
      </c>
      <c r="AA16">
        <f>[1]法宝人物匹配!AA17</f>
        <v>0</v>
      </c>
      <c r="AB16">
        <f>[1]法宝人物匹配!AB17</f>
        <v>0</v>
      </c>
      <c r="AC16">
        <f>[1]法宝人物匹配!AC17</f>
        <v>0</v>
      </c>
      <c r="AD16">
        <f>[1]法宝人物匹配!AD17</f>
        <v>0</v>
      </c>
      <c r="AE16">
        <f>[1]法宝人物匹配!AE17</f>
        <v>0</v>
      </c>
      <c r="AF16">
        <f>[1]法宝人物匹配!AF17</f>
        <v>0</v>
      </c>
      <c r="AG16">
        <f>[1]法宝人物匹配!AG17</f>
        <v>0</v>
      </c>
      <c r="AH16">
        <f>[1]法宝人物匹配!AH17</f>
        <v>0</v>
      </c>
      <c r="AI16">
        <f>[1]法宝人物匹配!AI17</f>
        <v>0</v>
      </c>
      <c r="AJ16">
        <f>[1]法宝人物匹配!AJ17</f>
        <v>0</v>
      </c>
      <c r="AK16">
        <f>[1]法宝人物匹配!AK17</f>
        <v>0</v>
      </c>
      <c r="AL16">
        <f>[1]法宝人物匹配!AL17</f>
        <v>0</v>
      </c>
      <c r="AM16">
        <f>[1]法宝人物匹配!AM17</f>
        <v>0</v>
      </c>
      <c r="AN16">
        <f>[1]法宝人物匹配!AN17</f>
        <v>0</v>
      </c>
    </row>
    <row r="17" spans="1:40" x14ac:dyDescent="0.15">
      <c r="A17" t="str">
        <f>玩家卡牌配置表!B17</f>
        <v>C_Piliuli</v>
      </c>
      <c r="B17">
        <f>[1]法宝人物匹配!B18</f>
        <v>0</v>
      </c>
      <c r="C17">
        <f>[1]法宝人物匹配!C18</f>
        <v>0</v>
      </c>
      <c r="D17">
        <f>[1]法宝人物匹配!D18</f>
        <v>0</v>
      </c>
      <c r="E17">
        <f>[1]法宝人物匹配!E18</f>
        <v>0</v>
      </c>
      <c r="F17">
        <f>[1]法宝人物匹配!F18</f>
        <v>0</v>
      </c>
      <c r="G17">
        <f>[1]法宝人物匹配!G18</f>
        <v>0</v>
      </c>
      <c r="H17">
        <f>[1]法宝人物匹配!H18</f>
        <v>0</v>
      </c>
      <c r="I17">
        <f>[1]法宝人物匹配!I18</f>
        <v>0</v>
      </c>
      <c r="J17">
        <f>[1]法宝人物匹配!J18</f>
        <v>0</v>
      </c>
      <c r="K17">
        <f>[1]法宝人物匹配!K18</f>
        <v>0</v>
      </c>
      <c r="L17">
        <f>[1]法宝人物匹配!L18</f>
        <v>0</v>
      </c>
      <c r="M17">
        <f>[1]法宝人物匹配!M18</f>
        <v>0</v>
      </c>
      <c r="N17">
        <f>[1]法宝人物匹配!N18</f>
        <v>0</v>
      </c>
      <c r="O17">
        <f>[1]法宝人物匹配!O18</f>
        <v>0</v>
      </c>
      <c r="P17">
        <f>[1]法宝人物匹配!P18</f>
        <v>10</v>
      </c>
      <c r="Q17">
        <f>[1]法宝人物匹配!Q18</f>
        <v>0</v>
      </c>
      <c r="R17">
        <f>[1]法宝人物匹配!R18</f>
        <v>0</v>
      </c>
      <c r="S17">
        <f>[1]法宝人物匹配!S18</f>
        <v>0</v>
      </c>
      <c r="T17">
        <f>[1]法宝人物匹配!T18</f>
        <v>0</v>
      </c>
      <c r="U17">
        <f>[1]法宝人物匹配!U18</f>
        <v>0</v>
      </c>
      <c r="V17">
        <f>[1]法宝人物匹配!V18</f>
        <v>0</v>
      </c>
      <c r="W17">
        <f>[1]法宝人物匹配!W18</f>
        <v>0</v>
      </c>
      <c r="X17">
        <f>[1]法宝人物匹配!X18</f>
        <v>0</v>
      </c>
      <c r="Y17">
        <f>[1]法宝人物匹配!Y18</f>
        <v>0</v>
      </c>
      <c r="Z17">
        <f>[1]法宝人物匹配!Z18</f>
        <v>0</v>
      </c>
      <c r="AA17">
        <f>[1]法宝人物匹配!AA18</f>
        <v>0</v>
      </c>
      <c r="AB17">
        <f>[1]法宝人物匹配!AB18</f>
        <v>0</v>
      </c>
      <c r="AC17">
        <f>[1]法宝人物匹配!AC18</f>
        <v>0</v>
      </c>
      <c r="AD17">
        <f>[1]法宝人物匹配!AD18</f>
        <v>0</v>
      </c>
      <c r="AE17">
        <f>[1]法宝人物匹配!AE18</f>
        <v>0</v>
      </c>
      <c r="AF17">
        <f>[1]法宝人物匹配!AF18</f>
        <v>0</v>
      </c>
      <c r="AG17">
        <f>[1]法宝人物匹配!AG18</f>
        <v>0</v>
      </c>
      <c r="AH17">
        <f>[1]法宝人物匹配!AH18</f>
        <v>0</v>
      </c>
      <c r="AI17">
        <f>[1]法宝人物匹配!AI18</f>
        <v>0</v>
      </c>
      <c r="AJ17">
        <f>[1]法宝人物匹配!AJ18</f>
        <v>0</v>
      </c>
      <c r="AK17">
        <f>[1]法宝人物匹配!AK18</f>
        <v>0</v>
      </c>
      <c r="AL17">
        <f>[1]法宝人物匹配!AL18</f>
        <v>0</v>
      </c>
      <c r="AM17">
        <f>[1]法宝人物匹配!AM18</f>
        <v>0</v>
      </c>
      <c r="AN17">
        <f>[1]法宝人物匹配!AN18</f>
        <v>0</v>
      </c>
    </row>
    <row r="18" spans="1:40" x14ac:dyDescent="0.15">
      <c r="A18" t="str">
        <f>玩家卡牌配置表!B18</f>
        <v>C_Liubocha</v>
      </c>
      <c r="B18">
        <f>[1]法宝人物匹配!B19</f>
        <v>0</v>
      </c>
      <c r="C18">
        <f>[1]法宝人物匹配!C19</f>
        <v>0</v>
      </c>
      <c r="D18">
        <f>[1]法宝人物匹配!D19</f>
        <v>0</v>
      </c>
      <c r="E18">
        <f>[1]法宝人物匹配!E19</f>
        <v>0</v>
      </c>
      <c r="F18">
        <f>[1]法宝人物匹配!F19</f>
        <v>0</v>
      </c>
      <c r="G18">
        <f>[1]法宝人物匹配!G19</f>
        <v>0</v>
      </c>
      <c r="H18">
        <f>[1]法宝人物匹配!H19</f>
        <v>0</v>
      </c>
      <c r="I18">
        <f>[1]法宝人物匹配!I19</f>
        <v>0</v>
      </c>
      <c r="J18">
        <f>[1]法宝人物匹配!J19</f>
        <v>0</v>
      </c>
      <c r="K18">
        <f>[1]法宝人物匹配!K19</f>
        <v>0</v>
      </c>
      <c r="L18">
        <f>[1]法宝人物匹配!L19</f>
        <v>0</v>
      </c>
      <c r="M18">
        <f>[1]法宝人物匹配!M19</f>
        <v>0</v>
      </c>
      <c r="N18">
        <f>[1]法宝人物匹配!N19</f>
        <v>0</v>
      </c>
      <c r="O18">
        <f>[1]法宝人物匹配!O19</f>
        <v>0</v>
      </c>
      <c r="P18">
        <f>[1]法宝人物匹配!P19</f>
        <v>0</v>
      </c>
      <c r="Q18">
        <f>[1]法宝人物匹配!Q19</f>
        <v>10</v>
      </c>
      <c r="R18">
        <f>[1]法宝人物匹配!R19</f>
        <v>0</v>
      </c>
      <c r="S18">
        <f>[1]法宝人物匹配!S19</f>
        <v>0</v>
      </c>
      <c r="T18">
        <f>[1]法宝人物匹配!T19</f>
        <v>0</v>
      </c>
      <c r="U18">
        <f>[1]法宝人物匹配!U19</f>
        <v>0</v>
      </c>
      <c r="V18">
        <f>[1]法宝人物匹配!V19</f>
        <v>0</v>
      </c>
      <c r="W18">
        <f>[1]法宝人物匹配!W19</f>
        <v>0</v>
      </c>
      <c r="X18">
        <f>[1]法宝人物匹配!X19</f>
        <v>0</v>
      </c>
      <c r="Y18">
        <f>[1]法宝人物匹配!Y19</f>
        <v>0</v>
      </c>
      <c r="Z18">
        <f>[1]法宝人物匹配!Z19</f>
        <v>0</v>
      </c>
      <c r="AA18">
        <f>[1]法宝人物匹配!AA19</f>
        <v>0</v>
      </c>
      <c r="AB18">
        <f>[1]法宝人物匹配!AB19</f>
        <v>0</v>
      </c>
      <c r="AC18">
        <f>[1]法宝人物匹配!AC19</f>
        <v>0</v>
      </c>
      <c r="AD18">
        <f>[1]法宝人物匹配!AD19</f>
        <v>0</v>
      </c>
      <c r="AE18">
        <f>[1]法宝人物匹配!AE19</f>
        <v>0</v>
      </c>
      <c r="AF18">
        <f>[1]法宝人物匹配!AF19</f>
        <v>0</v>
      </c>
      <c r="AG18">
        <f>[1]法宝人物匹配!AG19</f>
        <v>0</v>
      </c>
      <c r="AH18">
        <f>[1]法宝人物匹配!AH19</f>
        <v>0</v>
      </c>
      <c r="AI18">
        <f>[1]法宝人物匹配!AI19</f>
        <v>0</v>
      </c>
      <c r="AJ18">
        <f>[1]法宝人物匹配!AJ19</f>
        <v>0</v>
      </c>
      <c r="AK18">
        <f>[1]法宝人物匹配!AK19</f>
        <v>0</v>
      </c>
      <c r="AL18">
        <f>[1]法宝人物匹配!AL19</f>
        <v>0</v>
      </c>
      <c r="AM18">
        <f>[1]法宝人物匹配!AM19</f>
        <v>0</v>
      </c>
      <c r="AN18">
        <f>[1]法宝人物匹配!AN19</f>
        <v>0</v>
      </c>
    </row>
    <row r="19" spans="1:40" x14ac:dyDescent="0.15">
      <c r="A19" t="str">
        <f>玩家卡牌配置表!B19</f>
        <v>C_Pishamen</v>
      </c>
      <c r="B19">
        <f>[1]法宝人物匹配!B20</f>
        <v>0</v>
      </c>
      <c r="C19">
        <f>[1]法宝人物匹配!C20</f>
        <v>0</v>
      </c>
      <c r="D19">
        <f>[1]法宝人物匹配!D20</f>
        <v>0</v>
      </c>
      <c r="E19">
        <f>[1]法宝人物匹配!E20</f>
        <v>0</v>
      </c>
      <c r="F19">
        <f>[1]法宝人物匹配!F20</f>
        <v>0</v>
      </c>
      <c r="G19">
        <f>[1]法宝人物匹配!G20</f>
        <v>0</v>
      </c>
      <c r="H19">
        <f>[1]法宝人物匹配!H20</f>
        <v>0</v>
      </c>
      <c r="I19">
        <f>[1]法宝人物匹配!I20</f>
        <v>0</v>
      </c>
      <c r="J19">
        <f>[1]法宝人物匹配!J20</f>
        <v>0</v>
      </c>
      <c r="K19">
        <f>[1]法宝人物匹配!K20</f>
        <v>0</v>
      </c>
      <c r="L19">
        <f>[1]法宝人物匹配!L20</f>
        <v>0</v>
      </c>
      <c r="M19">
        <f>[1]法宝人物匹配!M20</f>
        <v>0</v>
      </c>
      <c r="N19">
        <f>[1]法宝人物匹配!N20</f>
        <v>0</v>
      </c>
      <c r="O19">
        <f>[1]法宝人物匹配!O20</f>
        <v>0</v>
      </c>
      <c r="P19">
        <f>[1]法宝人物匹配!P20</f>
        <v>0</v>
      </c>
      <c r="Q19">
        <f>[1]法宝人物匹配!Q20</f>
        <v>0</v>
      </c>
      <c r="R19">
        <f>[1]法宝人物匹配!R20</f>
        <v>10</v>
      </c>
      <c r="S19">
        <f>[1]法宝人物匹配!S20</f>
        <v>10</v>
      </c>
      <c r="T19">
        <f>[1]法宝人物匹配!T20</f>
        <v>0</v>
      </c>
      <c r="U19">
        <f>[1]法宝人物匹配!U20</f>
        <v>0</v>
      </c>
      <c r="V19">
        <f>[1]法宝人物匹配!V20</f>
        <v>0</v>
      </c>
      <c r="W19">
        <f>[1]法宝人物匹配!W20</f>
        <v>0</v>
      </c>
      <c r="X19">
        <f>[1]法宝人物匹配!X20</f>
        <v>0</v>
      </c>
      <c r="Y19">
        <f>[1]法宝人物匹配!Y20</f>
        <v>0</v>
      </c>
      <c r="Z19">
        <f>[1]法宝人物匹配!Z20</f>
        <v>0</v>
      </c>
      <c r="AA19">
        <f>[1]法宝人物匹配!AA20</f>
        <v>0</v>
      </c>
      <c r="AB19">
        <f>[1]法宝人物匹配!AB20</f>
        <v>0</v>
      </c>
      <c r="AC19">
        <f>[1]法宝人物匹配!AC20</f>
        <v>0</v>
      </c>
      <c r="AD19">
        <f>[1]法宝人物匹配!AD20</f>
        <v>0</v>
      </c>
      <c r="AE19">
        <f>[1]法宝人物匹配!AE20</f>
        <v>0</v>
      </c>
      <c r="AF19">
        <f>[1]法宝人物匹配!AF20</f>
        <v>0</v>
      </c>
      <c r="AG19">
        <f>[1]法宝人物匹配!AG20</f>
        <v>0</v>
      </c>
      <c r="AH19">
        <f>[1]法宝人物匹配!AH20</f>
        <v>0</v>
      </c>
      <c r="AI19">
        <f>[1]法宝人物匹配!AI20</f>
        <v>0</v>
      </c>
      <c r="AJ19">
        <f>[1]法宝人物匹配!AJ20</f>
        <v>0</v>
      </c>
      <c r="AK19">
        <f>[1]法宝人物匹配!AK20</f>
        <v>0</v>
      </c>
      <c r="AL19">
        <f>[1]法宝人物匹配!AL20</f>
        <v>0</v>
      </c>
      <c r="AM19">
        <f>[1]法宝人物匹配!AM20</f>
        <v>0</v>
      </c>
      <c r="AN19">
        <f>[1]法宝人物匹配!AN20</f>
        <v>0</v>
      </c>
    </row>
    <row r="20" spans="1:40" x14ac:dyDescent="0.15">
      <c r="A20" t="str">
        <f>玩家卡牌配置表!B20</f>
        <v>C_Nezha</v>
      </c>
      <c r="B20">
        <f>[1]法宝人物匹配!B21</f>
        <v>0</v>
      </c>
      <c r="C20">
        <f>[1]法宝人物匹配!C21</f>
        <v>0</v>
      </c>
      <c r="D20">
        <f>[1]法宝人物匹配!D21</f>
        <v>0</v>
      </c>
      <c r="E20">
        <f>[1]法宝人物匹配!E21</f>
        <v>0</v>
      </c>
      <c r="F20">
        <f>[1]法宝人物匹配!F21</f>
        <v>0</v>
      </c>
      <c r="G20">
        <f>[1]法宝人物匹配!G21</f>
        <v>0</v>
      </c>
      <c r="H20">
        <f>[1]法宝人物匹配!H21</f>
        <v>0</v>
      </c>
      <c r="I20">
        <f>[1]法宝人物匹配!I21</f>
        <v>0</v>
      </c>
      <c r="J20">
        <f>[1]法宝人物匹配!J21</f>
        <v>0</v>
      </c>
      <c r="K20">
        <f>[1]法宝人物匹配!K21</f>
        <v>0</v>
      </c>
      <c r="L20">
        <f>[1]法宝人物匹配!L21</f>
        <v>0</v>
      </c>
      <c r="M20">
        <f>[1]法宝人物匹配!M21</f>
        <v>0</v>
      </c>
      <c r="N20">
        <f>[1]法宝人物匹配!N21</f>
        <v>0</v>
      </c>
      <c r="O20">
        <f>[1]法宝人物匹配!O21</f>
        <v>0</v>
      </c>
      <c r="P20">
        <f>[1]法宝人物匹配!P21</f>
        <v>0</v>
      </c>
      <c r="Q20">
        <f>[1]法宝人物匹配!Q21</f>
        <v>0</v>
      </c>
      <c r="R20">
        <f>[1]法宝人物匹配!R21</f>
        <v>0</v>
      </c>
      <c r="S20">
        <f>[1]法宝人物匹配!S21</f>
        <v>0</v>
      </c>
      <c r="T20">
        <f>[1]法宝人物匹配!T21</f>
        <v>10</v>
      </c>
      <c r="U20">
        <f>[1]法宝人物匹配!U21</f>
        <v>10</v>
      </c>
      <c r="V20">
        <f>[1]法宝人物匹配!V21</f>
        <v>10</v>
      </c>
      <c r="W20">
        <f>[1]法宝人物匹配!W21</f>
        <v>10</v>
      </c>
      <c r="X20">
        <f>[1]法宝人物匹配!X21</f>
        <v>10</v>
      </c>
      <c r="Y20">
        <f>[1]法宝人物匹配!Y21</f>
        <v>0</v>
      </c>
      <c r="Z20">
        <f>[1]法宝人物匹配!Z21</f>
        <v>0</v>
      </c>
      <c r="AA20">
        <f>[1]法宝人物匹配!AA21</f>
        <v>0</v>
      </c>
      <c r="AB20">
        <f>[1]法宝人物匹配!AB21</f>
        <v>0</v>
      </c>
      <c r="AC20">
        <f>[1]法宝人物匹配!AC21</f>
        <v>0</v>
      </c>
      <c r="AD20">
        <f>[1]法宝人物匹配!AD21</f>
        <v>0</v>
      </c>
      <c r="AE20">
        <f>[1]法宝人物匹配!AE21</f>
        <v>0</v>
      </c>
      <c r="AF20">
        <f>[1]法宝人物匹配!AF21</f>
        <v>0</v>
      </c>
      <c r="AG20">
        <f>[1]法宝人物匹配!AG21</f>
        <v>0</v>
      </c>
      <c r="AH20">
        <f>[1]法宝人物匹配!AH21</f>
        <v>0</v>
      </c>
      <c r="AI20">
        <f>[1]法宝人物匹配!AI21</f>
        <v>0</v>
      </c>
      <c r="AJ20">
        <f>[1]法宝人物匹配!AJ21</f>
        <v>0</v>
      </c>
      <c r="AK20">
        <f>[1]法宝人物匹配!AK21</f>
        <v>0</v>
      </c>
      <c r="AL20">
        <f>[1]法宝人物匹配!AL21</f>
        <v>0</v>
      </c>
      <c r="AM20">
        <f>[1]法宝人物匹配!AM21</f>
        <v>0</v>
      </c>
      <c r="AN20">
        <f>[1]法宝人物匹配!AN21</f>
        <v>0</v>
      </c>
    </row>
    <row r="21" spans="1:40" x14ac:dyDescent="0.15">
      <c r="A21" t="str">
        <f>玩家卡牌配置表!B21</f>
        <v>C_Jinzha</v>
      </c>
      <c r="B21">
        <f>[1]法宝人物匹配!B22</f>
        <v>0</v>
      </c>
      <c r="C21">
        <f>[1]法宝人物匹配!C22</f>
        <v>0</v>
      </c>
      <c r="D21">
        <f>[1]法宝人物匹配!D22</f>
        <v>0</v>
      </c>
      <c r="E21">
        <f>[1]法宝人物匹配!E22</f>
        <v>0</v>
      </c>
      <c r="F21">
        <f>[1]法宝人物匹配!F22</f>
        <v>0</v>
      </c>
      <c r="G21">
        <f>[1]法宝人物匹配!G22</f>
        <v>0</v>
      </c>
      <c r="H21">
        <f>[1]法宝人物匹配!H22</f>
        <v>0</v>
      </c>
      <c r="I21">
        <f>[1]法宝人物匹配!I22</f>
        <v>0</v>
      </c>
      <c r="J21">
        <f>[1]法宝人物匹配!J22</f>
        <v>0</v>
      </c>
      <c r="K21">
        <f>[1]法宝人物匹配!K22</f>
        <v>0</v>
      </c>
      <c r="L21">
        <f>[1]法宝人物匹配!L22</f>
        <v>0</v>
      </c>
      <c r="M21">
        <f>[1]法宝人物匹配!M22</f>
        <v>0</v>
      </c>
      <c r="N21">
        <f>[1]法宝人物匹配!N22</f>
        <v>0</v>
      </c>
      <c r="O21">
        <f>[1]法宝人物匹配!O22</f>
        <v>0</v>
      </c>
      <c r="P21">
        <f>[1]法宝人物匹配!P22</f>
        <v>0</v>
      </c>
      <c r="Q21">
        <f>[1]法宝人物匹配!Q22</f>
        <v>0</v>
      </c>
      <c r="R21">
        <f>[1]法宝人物匹配!R22</f>
        <v>0</v>
      </c>
      <c r="S21">
        <f>[1]法宝人物匹配!S22</f>
        <v>0</v>
      </c>
      <c r="T21">
        <f>[1]法宝人物匹配!T22</f>
        <v>0</v>
      </c>
      <c r="U21">
        <f>[1]法宝人物匹配!U22</f>
        <v>0</v>
      </c>
      <c r="V21">
        <f>[1]法宝人物匹配!V22</f>
        <v>0</v>
      </c>
      <c r="W21">
        <f>[1]法宝人物匹配!W22</f>
        <v>0</v>
      </c>
      <c r="X21">
        <f>[1]法宝人物匹配!X22</f>
        <v>0</v>
      </c>
      <c r="Y21">
        <f>[1]法宝人物匹配!Y22</f>
        <v>10</v>
      </c>
      <c r="Z21">
        <f>[1]法宝人物匹配!Z22</f>
        <v>0</v>
      </c>
      <c r="AA21">
        <f>[1]法宝人物匹配!AA22</f>
        <v>0</v>
      </c>
      <c r="AB21">
        <f>[1]法宝人物匹配!AB22</f>
        <v>0</v>
      </c>
      <c r="AC21">
        <f>[1]法宝人物匹配!AC22</f>
        <v>0</v>
      </c>
      <c r="AD21">
        <f>[1]法宝人物匹配!AD22</f>
        <v>0</v>
      </c>
      <c r="AE21">
        <f>[1]法宝人物匹配!AE22</f>
        <v>0</v>
      </c>
      <c r="AF21">
        <f>[1]法宝人物匹配!AF22</f>
        <v>0</v>
      </c>
      <c r="AG21">
        <f>[1]法宝人物匹配!AG22</f>
        <v>0</v>
      </c>
      <c r="AH21">
        <f>[1]法宝人物匹配!AH22</f>
        <v>0</v>
      </c>
      <c r="AI21">
        <f>[1]法宝人物匹配!AI22</f>
        <v>0</v>
      </c>
      <c r="AJ21">
        <f>[1]法宝人物匹配!AJ22</f>
        <v>0</v>
      </c>
      <c r="AK21">
        <f>[1]法宝人物匹配!AK22</f>
        <v>0</v>
      </c>
      <c r="AL21">
        <f>[1]法宝人物匹配!AL22</f>
        <v>0</v>
      </c>
      <c r="AM21">
        <f>[1]法宝人物匹配!AM22</f>
        <v>0</v>
      </c>
      <c r="AN21">
        <f>[1]法宝人物匹配!AN22</f>
        <v>0</v>
      </c>
    </row>
    <row r="22" spans="1:40" x14ac:dyDescent="0.15">
      <c r="A22" t="str">
        <f>玩家卡牌配置表!B22</f>
        <v>C_Muzha</v>
      </c>
      <c r="B22">
        <f>[1]法宝人物匹配!B23</f>
        <v>0</v>
      </c>
      <c r="C22">
        <f>[1]法宝人物匹配!C23</f>
        <v>0</v>
      </c>
      <c r="D22">
        <f>[1]法宝人物匹配!D23</f>
        <v>0</v>
      </c>
      <c r="E22">
        <f>[1]法宝人物匹配!E23</f>
        <v>0</v>
      </c>
      <c r="F22">
        <f>[1]法宝人物匹配!F23</f>
        <v>0</v>
      </c>
      <c r="G22">
        <f>[1]法宝人物匹配!G23</f>
        <v>0</v>
      </c>
      <c r="H22">
        <f>[1]法宝人物匹配!H23</f>
        <v>0</v>
      </c>
      <c r="I22">
        <f>[1]法宝人物匹配!I23</f>
        <v>0</v>
      </c>
      <c r="J22">
        <f>[1]法宝人物匹配!J23</f>
        <v>0</v>
      </c>
      <c r="K22">
        <f>[1]法宝人物匹配!K23</f>
        <v>0</v>
      </c>
      <c r="L22">
        <f>[1]法宝人物匹配!L23</f>
        <v>0</v>
      </c>
      <c r="M22">
        <f>[1]法宝人物匹配!M23</f>
        <v>0</v>
      </c>
      <c r="N22">
        <f>[1]法宝人物匹配!N23</f>
        <v>0</v>
      </c>
      <c r="O22">
        <f>[1]法宝人物匹配!O23</f>
        <v>0</v>
      </c>
      <c r="P22">
        <f>[1]法宝人物匹配!P23</f>
        <v>0</v>
      </c>
      <c r="Q22">
        <f>[1]法宝人物匹配!Q23</f>
        <v>0</v>
      </c>
      <c r="R22">
        <f>[1]法宝人物匹配!R23</f>
        <v>0</v>
      </c>
      <c r="S22">
        <f>[1]法宝人物匹配!S23</f>
        <v>0</v>
      </c>
      <c r="T22">
        <f>[1]法宝人物匹配!T23</f>
        <v>0</v>
      </c>
      <c r="U22">
        <f>[1]法宝人物匹配!U23</f>
        <v>0</v>
      </c>
      <c r="V22">
        <f>[1]法宝人物匹配!V23</f>
        <v>0</v>
      </c>
      <c r="W22">
        <f>[1]法宝人物匹配!W23</f>
        <v>0</v>
      </c>
      <c r="X22">
        <f>[1]法宝人物匹配!X23</f>
        <v>0</v>
      </c>
      <c r="Y22">
        <f>[1]法宝人物匹配!Y23</f>
        <v>0</v>
      </c>
      <c r="Z22">
        <f>[1]法宝人物匹配!Z23</f>
        <v>10</v>
      </c>
      <c r="AA22">
        <f>[1]法宝人物匹配!AA23</f>
        <v>0</v>
      </c>
      <c r="AB22">
        <f>[1]法宝人物匹配!AB23</f>
        <v>0</v>
      </c>
      <c r="AC22">
        <f>[1]法宝人物匹配!AC23</f>
        <v>0</v>
      </c>
      <c r="AD22">
        <f>[1]法宝人物匹配!AD23</f>
        <v>0</v>
      </c>
      <c r="AE22">
        <f>[1]法宝人物匹配!AE23</f>
        <v>0</v>
      </c>
      <c r="AF22">
        <f>[1]法宝人物匹配!AF23</f>
        <v>0</v>
      </c>
      <c r="AG22">
        <f>[1]法宝人物匹配!AG23</f>
        <v>0</v>
      </c>
      <c r="AH22">
        <f>[1]法宝人物匹配!AH23</f>
        <v>0</v>
      </c>
      <c r="AI22">
        <f>[1]法宝人物匹配!AI23</f>
        <v>0</v>
      </c>
      <c r="AJ22">
        <f>[1]法宝人物匹配!AJ23</f>
        <v>0</v>
      </c>
      <c r="AK22">
        <f>[1]法宝人物匹配!AK23</f>
        <v>0</v>
      </c>
      <c r="AL22">
        <f>[1]法宝人物匹配!AL23</f>
        <v>0</v>
      </c>
      <c r="AM22">
        <f>[1]法宝人物匹配!AM23</f>
        <v>0</v>
      </c>
      <c r="AN22">
        <f>[1]法宝人物匹配!AN23</f>
        <v>0</v>
      </c>
    </row>
    <row r="23" spans="1:40" x14ac:dyDescent="0.15">
      <c r="A23" t="str">
        <f>玩家卡牌配置表!B23</f>
        <v>C_Lijing</v>
      </c>
      <c r="B23">
        <f>[1]法宝人物匹配!B24</f>
        <v>0</v>
      </c>
      <c r="C23">
        <f>[1]法宝人物匹配!C24</f>
        <v>0</v>
      </c>
      <c r="D23">
        <f>[1]法宝人物匹配!D24</f>
        <v>0</v>
      </c>
      <c r="E23">
        <f>[1]法宝人物匹配!E24</f>
        <v>0</v>
      </c>
      <c r="F23">
        <f>[1]法宝人物匹配!F24</f>
        <v>0</v>
      </c>
      <c r="G23">
        <f>[1]法宝人物匹配!G24</f>
        <v>0</v>
      </c>
      <c r="H23">
        <f>[1]法宝人物匹配!H24</f>
        <v>0</v>
      </c>
      <c r="I23">
        <f>[1]法宝人物匹配!I24</f>
        <v>0</v>
      </c>
      <c r="J23">
        <f>[1]法宝人物匹配!J24</f>
        <v>0</v>
      </c>
      <c r="K23">
        <f>[1]法宝人物匹配!K24</f>
        <v>0</v>
      </c>
      <c r="L23">
        <f>[1]法宝人物匹配!L24</f>
        <v>0</v>
      </c>
      <c r="M23">
        <f>[1]法宝人物匹配!M24</f>
        <v>0</v>
      </c>
      <c r="N23">
        <f>[1]法宝人物匹配!N24</f>
        <v>0</v>
      </c>
      <c r="O23">
        <f>[1]法宝人物匹配!O24</f>
        <v>0</v>
      </c>
      <c r="P23">
        <f>[1]法宝人物匹配!P24</f>
        <v>0</v>
      </c>
      <c r="Q23">
        <f>[1]法宝人物匹配!Q24</f>
        <v>0</v>
      </c>
      <c r="R23">
        <f>[1]法宝人物匹配!R24</f>
        <v>0</v>
      </c>
      <c r="S23">
        <f>[1]法宝人物匹配!S24</f>
        <v>0</v>
      </c>
      <c r="T23">
        <f>[1]法宝人物匹配!T24</f>
        <v>0</v>
      </c>
      <c r="U23">
        <f>[1]法宝人物匹配!U24</f>
        <v>0</v>
      </c>
      <c r="V23">
        <f>[1]法宝人物匹配!V24</f>
        <v>0</v>
      </c>
      <c r="W23">
        <f>[1]法宝人物匹配!W24</f>
        <v>0</v>
      </c>
      <c r="X23">
        <f>[1]法宝人物匹配!X24</f>
        <v>0</v>
      </c>
      <c r="Y23">
        <f>[1]法宝人物匹配!Y24</f>
        <v>0</v>
      </c>
      <c r="Z23">
        <f>[1]法宝人物匹配!Z24</f>
        <v>0</v>
      </c>
      <c r="AA23">
        <f>[1]法宝人物匹配!AA24</f>
        <v>10</v>
      </c>
      <c r="AB23">
        <f>[1]法宝人物匹配!AB24</f>
        <v>0</v>
      </c>
      <c r="AC23">
        <f>[1]法宝人物匹配!AC24</f>
        <v>0</v>
      </c>
      <c r="AD23">
        <f>[1]法宝人物匹配!AD24</f>
        <v>0</v>
      </c>
      <c r="AE23">
        <f>[1]法宝人物匹配!AE24</f>
        <v>0</v>
      </c>
      <c r="AF23">
        <f>[1]法宝人物匹配!AF24</f>
        <v>0</v>
      </c>
      <c r="AG23">
        <f>[1]法宝人物匹配!AG24</f>
        <v>0</v>
      </c>
      <c r="AH23">
        <f>[1]法宝人物匹配!AH24</f>
        <v>0</v>
      </c>
      <c r="AI23">
        <f>[1]法宝人物匹配!AI24</f>
        <v>0</v>
      </c>
      <c r="AJ23">
        <f>[1]法宝人物匹配!AJ24</f>
        <v>0</v>
      </c>
      <c r="AK23">
        <f>[1]法宝人物匹配!AK24</f>
        <v>0</v>
      </c>
      <c r="AL23">
        <f>[1]法宝人物匹配!AL24</f>
        <v>0</v>
      </c>
      <c r="AM23">
        <f>[1]法宝人物匹配!AM24</f>
        <v>0</v>
      </c>
      <c r="AN23">
        <f>[1]法宝人物匹配!AN24</f>
        <v>0</v>
      </c>
    </row>
    <row r="24" spans="1:40" x14ac:dyDescent="0.15">
      <c r="A24" t="str">
        <f>玩家卡牌配置表!B24</f>
        <v>C_Erlangshen</v>
      </c>
      <c r="B24">
        <f>[1]法宝人物匹配!B25</f>
        <v>0</v>
      </c>
      <c r="C24">
        <f>[1]法宝人物匹配!C25</f>
        <v>0</v>
      </c>
      <c r="D24">
        <f>[1]法宝人物匹配!D25</f>
        <v>0</v>
      </c>
      <c r="E24">
        <f>[1]法宝人物匹配!E25</f>
        <v>0</v>
      </c>
      <c r="F24">
        <f>[1]法宝人物匹配!F25</f>
        <v>0</v>
      </c>
      <c r="G24">
        <f>[1]法宝人物匹配!G25</f>
        <v>0</v>
      </c>
      <c r="H24">
        <f>[1]法宝人物匹配!H25</f>
        <v>0</v>
      </c>
      <c r="I24">
        <f>[1]法宝人物匹配!I25</f>
        <v>0</v>
      </c>
      <c r="J24">
        <f>[1]法宝人物匹配!J25</f>
        <v>0</v>
      </c>
      <c r="K24">
        <f>[1]法宝人物匹配!K25</f>
        <v>0</v>
      </c>
      <c r="L24">
        <f>[1]法宝人物匹配!L25</f>
        <v>0</v>
      </c>
      <c r="M24">
        <f>[1]法宝人物匹配!M25</f>
        <v>0</v>
      </c>
      <c r="N24">
        <f>[1]法宝人物匹配!N25</f>
        <v>0</v>
      </c>
      <c r="O24">
        <f>[1]法宝人物匹配!O25</f>
        <v>0</v>
      </c>
      <c r="P24">
        <f>[1]法宝人物匹配!P25</f>
        <v>0</v>
      </c>
      <c r="Q24">
        <f>[1]法宝人物匹配!Q25</f>
        <v>0</v>
      </c>
      <c r="R24">
        <f>[1]法宝人物匹配!R25</f>
        <v>0</v>
      </c>
      <c r="S24">
        <f>[1]法宝人物匹配!S25</f>
        <v>0</v>
      </c>
      <c r="T24">
        <f>[1]法宝人物匹配!T25</f>
        <v>0</v>
      </c>
      <c r="U24">
        <f>[1]法宝人物匹配!U25</f>
        <v>0</v>
      </c>
      <c r="V24">
        <f>[1]法宝人物匹配!V25</f>
        <v>0</v>
      </c>
      <c r="W24">
        <f>[1]法宝人物匹配!W25</f>
        <v>0</v>
      </c>
      <c r="X24">
        <f>[1]法宝人物匹配!X25</f>
        <v>0</v>
      </c>
      <c r="Y24">
        <f>[1]法宝人物匹配!Y25</f>
        <v>0</v>
      </c>
      <c r="Z24">
        <f>[1]法宝人物匹配!Z25</f>
        <v>0</v>
      </c>
      <c r="AA24">
        <f>[1]法宝人物匹配!AA25</f>
        <v>0</v>
      </c>
      <c r="AB24">
        <f>[1]法宝人物匹配!AB25</f>
        <v>10</v>
      </c>
      <c r="AC24">
        <f>[1]法宝人物匹配!AC25</f>
        <v>0</v>
      </c>
      <c r="AD24">
        <f>[1]法宝人物匹配!AD25</f>
        <v>0</v>
      </c>
      <c r="AE24">
        <f>[1]法宝人物匹配!AE25</f>
        <v>0</v>
      </c>
      <c r="AF24">
        <f>[1]法宝人物匹配!AF25</f>
        <v>0</v>
      </c>
      <c r="AG24">
        <f>[1]法宝人物匹配!AG25</f>
        <v>0</v>
      </c>
      <c r="AH24">
        <f>[1]法宝人物匹配!AH25</f>
        <v>0</v>
      </c>
      <c r="AI24">
        <f>[1]法宝人物匹配!AI25</f>
        <v>0</v>
      </c>
      <c r="AJ24">
        <f>[1]法宝人物匹配!AJ25</f>
        <v>0</v>
      </c>
      <c r="AK24">
        <f>[1]法宝人物匹配!AK25</f>
        <v>0</v>
      </c>
      <c r="AL24">
        <f>[1]法宝人物匹配!AL25</f>
        <v>0</v>
      </c>
      <c r="AM24">
        <f>[1]法宝人物匹配!AM25</f>
        <v>0</v>
      </c>
      <c r="AN24">
        <f>[1]法宝人物匹配!AN25</f>
        <v>0</v>
      </c>
    </row>
    <row r="25" spans="1:40" x14ac:dyDescent="0.15">
      <c r="A25" t="str">
        <f>玩家卡牌配置表!B25</f>
        <v>C_Xiaotianquan</v>
      </c>
      <c r="B25">
        <f>[1]法宝人物匹配!B26</f>
        <v>0</v>
      </c>
      <c r="C25">
        <f>[1]法宝人物匹配!C26</f>
        <v>0</v>
      </c>
      <c r="D25">
        <f>[1]法宝人物匹配!D26</f>
        <v>0</v>
      </c>
      <c r="E25">
        <f>[1]法宝人物匹配!E26</f>
        <v>0</v>
      </c>
      <c r="F25">
        <f>[1]法宝人物匹配!F26</f>
        <v>0</v>
      </c>
      <c r="G25">
        <f>[1]法宝人物匹配!G26</f>
        <v>0</v>
      </c>
      <c r="H25">
        <f>[1]法宝人物匹配!H26</f>
        <v>0</v>
      </c>
      <c r="I25">
        <f>[1]法宝人物匹配!I26</f>
        <v>0</v>
      </c>
      <c r="J25">
        <f>[1]法宝人物匹配!J26</f>
        <v>0</v>
      </c>
      <c r="K25">
        <f>[1]法宝人物匹配!K26</f>
        <v>0</v>
      </c>
      <c r="L25">
        <f>[1]法宝人物匹配!L26</f>
        <v>0</v>
      </c>
      <c r="M25">
        <f>[1]法宝人物匹配!M26</f>
        <v>0</v>
      </c>
      <c r="N25">
        <f>[1]法宝人物匹配!N26</f>
        <v>0</v>
      </c>
      <c r="O25">
        <f>[1]法宝人物匹配!O26</f>
        <v>0</v>
      </c>
      <c r="P25">
        <f>[1]法宝人物匹配!P26</f>
        <v>0</v>
      </c>
      <c r="Q25">
        <f>[1]法宝人物匹配!Q26</f>
        <v>0</v>
      </c>
      <c r="R25">
        <f>[1]法宝人物匹配!R26</f>
        <v>0</v>
      </c>
      <c r="S25">
        <f>[1]法宝人物匹配!S26</f>
        <v>0</v>
      </c>
      <c r="T25">
        <f>[1]法宝人物匹配!T26</f>
        <v>0</v>
      </c>
      <c r="U25">
        <f>[1]法宝人物匹配!U26</f>
        <v>0</v>
      </c>
      <c r="V25">
        <f>[1]法宝人物匹配!V26</f>
        <v>0</v>
      </c>
      <c r="W25">
        <f>[1]法宝人物匹配!W26</f>
        <v>0</v>
      </c>
      <c r="X25">
        <f>[1]法宝人物匹配!X26</f>
        <v>0</v>
      </c>
      <c r="Y25">
        <f>[1]法宝人物匹配!Y26</f>
        <v>0</v>
      </c>
      <c r="Z25">
        <f>[1]法宝人物匹配!Z26</f>
        <v>0</v>
      </c>
      <c r="AA25">
        <f>[1]法宝人物匹配!AA26</f>
        <v>0</v>
      </c>
      <c r="AB25">
        <f>[1]法宝人物匹配!AB26</f>
        <v>0</v>
      </c>
      <c r="AC25">
        <f>[1]法宝人物匹配!AC26</f>
        <v>10</v>
      </c>
      <c r="AD25">
        <f>[1]法宝人物匹配!AD26</f>
        <v>0</v>
      </c>
      <c r="AE25">
        <f>[1]法宝人物匹配!AE26</f>
        <v>0</v>
      </c>
      <c r="AF25">
        <f>[1]法宝人物匹配!AF26</f>
        <v>0</v>
      </c>
      <c r="AG25">
        <f>[1]法宝人物匹配!AG26</f>
        <v>0</v>
      </c>
      <c r="AH25">
        <f>[1]法宝人物匹配!AH26</f>
        <v>0</v>
      </c>
      <c r="AI25">
        <f>[1]法宝人物匹配!AI26</f>
        <v>0</v>
      </c>
      <c r="AJ25">
        <f>[1]法宝人物匹配!AJ26</f>
        <v>0</v>
      </c>
      <c r="AK25">
        <f>[1]法宝人物匹配!AK26</f>
        <v>0</v>
      </c>
      <c r="AL25">
        <f>[1]法宝人物匹配!AL26</f>
        <v>0</v>
      </c>
      <c r="AM25">
        <f>[1]法宝人物匹配!AM26</f>
        <v>0</v>
      </c>
      <c r="AN25">
        <f>[1]法宝人物匹配!AN26</f>
        <v>0</v>
      </c>
    </row>
    <row r="26" spans="1:40" x14ac:dyDescent="0.15">
      <c r="A26" t="str">
        <f>玩家卡牌配置表!B26</f>
        <v>C_Taishanglaojun</v>
      </c>
      <c r="B26">
        <f>[1]法宝人物匹配!B27</f>
        <v>0</v>
      </c>
      <c r="C26">
        <f>[1]法宝人物匹配!C27</f>
        <v>0</v>
      </c>
      <c r="D26">
        <f>[1]法宝人物匹配!D27</f>
        <v>0</v>
      </c>
      <c r="E26">
        <f>[1]法宝人物匹配!E27</f>
        <v>0</v>
      </c>
      <c r="F26">
        <f>[1]法宝人物匹配!F27</f>
        <v>0</v>
      </c>
      <c r="G26">
        <f>[1]法宝人物匹配!G27</f>
        <v>0</v>
      </c>
      <c r="H26">
        <f>[1]法宝人物匹配!H27</f>
        <v>0</v>
      </c>
      <c r="I26">
        <f>[1]法宝人物匹配!I27</f>
        <v>0</v>
      </c>
      <c r="J26">
        <f>[1]法宝人物匹配!J27</f>
        <v>0</v>
      </c>
      <c r="K26">
        <f>[1]法宝人物匹配!K27</f>
        <v>0</v>
      </c>
      <c r="L26">
        <f>[1]法宝人物匹配!L27</f>
        <v>0</v>
      </c>
      <c r="M26">
        <f>[1]法宝人物匹配!M27</f>
        <v>0</v>
      </c>
      <c r="N26">
        <f>[1]法宝人物匹配!N27</f>
        <v>0</v>
      </c>
      <c r="O26">
        <f>[1]法宝人物匹配!O27</f>
        <v>0</v>
      </c>
      <c r="P26">
        <f>[1]法宝人物匹配!P27</f>
        <v>0</v>
      </c>
      <c r="Q26">
        <f>[1]法宝人物匹配!Q27</f>
        <v>0</v>
      </c>
      <c r="R26">
        <f>[1]法宝人物匹配!R27</f>
        <v>0</v>
      </c>
      <c r="S26">
        <f>[1]法宝人物匹配!S27</f>
        <v>0</v>
      </c>
      <c r="T26">
        <f>[1]法宝人物匹配!T27</f>
        <v>0</v>
      </c>
      <c r="U26">
        <f>[1]法宝人物匹配!U27</f>
        <v>0</v>
      </c>
      <c r="V26">
        <f>[1]法宝人物匹配!V27</f>
        <v>0</v>
      </c>
      <c r="W26">
        <f>[1]法宝人物匹配!W27</f>
        <v>0</v>
      </c>
      <c r="X26">
        <f>[1]法宝人物匹配!X27</f>
        <v>0</v>
      </c>
      <c r="Y26">
        <f>[1]法宝人物匹配!Y27</f>
        <v>0</v>
      </c>
      <c r="Z26">
        <f>[1]法宝人物匹配!Z27</f>
        <v>0</v>
      </c>
      <c r="AA26">
        <f>[1]法宝人物匹配!AA27</f>
        <v>0</v>
      </c>
      <c r="AB26">
        <f>[1]法宝人物匹配!AB27</f>
        <v>0</v>
      </c>
      <c r="AC26">
        <f>[1]法宝人物匹配!AC27</f>
        <v>0</v>
      </c>
      <c r="AD26">
        <f>[1]法宝人物匹配!AD27</f>
        <v>10</v>
      </c>
      <c r="AE26">
        <f>[1]法宝人物匹配!AE27</f>
        <v>0</v>
      </c>
      <c r="AF26">
        <f>[1]法宝人物匹配!AF27</f>
        <v>0</v>
      </c>
      <c r="AG26">
        <f>[1]法宝人物匹配!AG27</f>
        <v>0</v>
      </c>
      <c r="AH26">
        <f>[1]法宝人物匹配!AH27</f>
        <v>0</v>
      </c>
      <c r="AI26">
        <f>[1]法宝人物匹配!AI27</f>
        <v>0</v>
      </c>
      <c r="AJ26">
        <f>[1]法宝人物匹配!AJ27</f>
        <v>0</v>
      </c>
      <c r="AK26">
        <f>[1]法宝人物匹配!AK27</f>
        <v>0</v>
      </c>
      <c r="AL26">
        <f>[1]法宝人物匹配!AL27</f>
        <v>0</v>
      </c>
      <c r="AM26">
        <f>[1]法宝人物匹配!AM27</f>
        <v>0</v>
      </c>
      <c r="AN26">
        <f>[1]法宝人物匹配!AN27</f>
        <v>0</v>
      </c>
    </row>
    <row r="27" spans="1:40" x14ac:dyDescent="0.15">
      <c r="A27" t="str">
        <f>玩家卡牌配置表!B27</f>
        <v>C_Guanyin</v>
      </c>
      <c r="B27">
        <f>[1]法宝人物匹配!B28</f>
        <v>0</v>
      </c>
      <c r="C27">
        <f>[1]法宝人物匹配!C28</f>
        <v>0</v>
      </c>
      <c r="D27">
        <f>[1]法宝人物匹配!D28</f>
        <v>0</v>
      </c>
      <c r="E27">
        <f>[1]法宝人物匹配!E28</f>
        <v>0</v>
      </c>
      <c r="F27">
        <f>[1]法宝人物匹配!F28</f>
        <v>0</v>
      </c>
      <c r="G27">
        <f>[1]法宝人物匹配!G28</f>
        <v>0</v>
      </c>
      <c r="H27">
        <f>[1]法宝人物匹配!H28</f>
        <v>0</v>
      </c>
      <c r="I27">
        <f>[1]法宝人物匹配!I28</f>
        <v>0</v>
      </c>
      <c r="J27">
        <f>[1]法宝人物匹配!J28</f>
        <v>0</v>
      </c>
      <c r="K27">
        <f>[1]法宝人物匹配!K28</f>
        <v>0</v>
      </c>
      <c r="L27">
        <f>[1]法宝人物匹配!L28</f>
        <v>0</v>
      </c>
      <c r="M27">
        <f>[1]法宝人物匹配!M28</f>
        <v>0</v>
      </c>
      <c r="N27">
        <f>[1]法宝人物匹配!N28</f>
        <v>0</v>
      </c>
      <c r="O27">
        <f>[1]法宝人物匹配!O28</f>
        <v>0</v>
      </c>
      <c r="P27">
        <f>[1]法宝人物匹配!P28</f>
        <v>0</v>
      </c>
      <c r="Q27">
        <f>[1]法宝人物匹配!Q28</f>
        <v>0</v>
      </c>
      <c r="R27">
        <f>[1]法宝人物匹配!R28</f>
        <v>0</v>
      </c>
      <c r="S27">
        <f>[1]法宝人物匹配!S28</f>
        <v>0</v>
      </c>
      <c r="T27">
        <f>[1]法宝人物匹配!T28</f>
        <v>0</v>
      </c>
      <c r="U27">
        <f>[1]法宝人物匹配!U28</f>
        <v>0</v>
      </c>
      <c r="V27">
        <f>[1]法宝人物匹配!V28</f>
        <v>0</v>
      </c>
      <c r="W27">
        <f>[1]法宝人物匹配!W28</f>
        <v>0</v>
      </c>
      <c r="X27">
        <f>[1]法宝人物匹配!X28</f>
        <v>0</v>
      </c>
      <c r="Y27">
        <f>[1]法宝人物匹配!Y28</f>
        <v>0</v>
      </c>
      <c r="Z27">
        <f>[1]法宝人物匹配!Z28</f>
        <v>0</v>
      </c>
      <c r="AA27">
        <f>[1]法宝人物匹配!AA28</f>
        <v>0</v>
      </c>
      <c r="AB27">
        <f>[1]法宝人物匹配!AB28</f>
        <v>0</v>
      </c>
      <c r="AC27">
        <f>[1]法宝人物匹配!AC28</f>
        <v>0</v>
      </c>
      <c r="AD27">
        <f>[1]法宝人物匹配!AD28</f>
        <v>0</v>
      </c>
      <c r="AE27">
        <f>[1]法宝人物匹配!AE28</f>
        <v>10</v>
      </c>
      <c r="AF27">
        <f>[1]法宝人物匹配!AF28</f>
        <v>10</v>
      </c>
      <c r="AG27">
        <f>[1]法宝人物匹配!AG28</f>
        <v>0</v>
      </c>
      <c r="AH27">
        <f>[1]法宝人物匹配!AH28</f>
        <v>0</v>
      </c>
      <c r="AI27">
        <f>[1]法宝人物匹配!AI28</f>
        <v>0</v>
      </c>
      <c r="AJ27">
        <f>[1]法宝人物匹配!AJ28</f>
        <v>0</v>
      </c>
      <c r="AK27">
        <f>[1]法宝人物匹配!AK28</f>
        <v>0</v>
      </c>
      <c r="AL27">
        <f>[1]法宝人物匹配!AL28</f>
        <v>0</v>
      </c>
      <c r="AM27">
        <f>[1]法宝人物匹配!AM28</f>
        <v>0</v>
      </c>
      <c r="AN27">
        <f>[1]法宝人物匹配!AN28</f>
        <v>0</v>
      </c>
    </row>
    <row r="28" spans="1:40" x14ac:dyDescent="0.15">
      <c r="A28" t="str">
        <f>玩家卡牌配置表!B28</f>
        <v>C_Yudi</v>
      </c>
      <c r="B28">
        <f>[1]法宝人物匹配!B29</f>
        <v>0</v>
      </c>
      <c r="C28">
        <f>[1]法宝人物匹配!C29</f>
        <v>0</v>
      </c>
      <c r="D28">
        <f>[1]法宝人物匹配!D29</f>
        <v>0</v>
      </c>
      <c r="E28">
        <f>[1]法宝人物匹配!E29</f>
        <v>0</v>
      </c>
      <c r="F28">
        <f>[1]法宝人物匹配!F29</f>
        <v>0</v>
      </c>
      <c r="G28">
        <f>[1]法宝人物匹配!G29</f>
        <v>0</v>
      </c>
      <c r="H28">
        <f>[1]法宝人物匹配!H29</f>
        <v>0</v>
      </c>
      <c r="I28">
        <f>[1]法宝人物匹配!I29</f>
        <v>0</v>
      </c>
      <c r="J28">
        <f>[1]法宝人物匹配!J29</f>
        <v>0</v>
      </c>
      <c r="K28">
        <f>[1]法宝人物匹配!K29</f>
        <v>0</v>
      </c>
      <c r="L28">
        <f>[1]法宝人物匹配!L29</f>
        <v>0</v>
      </c>
      <c r="M28">
        <f>[1]法宝人物匹配!M29</f>
        <v>0</v>
      </c>
      <c r="N28">
        <f>[1]法宝人物匹配!N29</f>
        <v>0</v>
      </c>
      <c r="O28">
        <f>[1]法宝人物匹配!O29</f>
        <v>0</v>
      </c>
      <c r="P28">
        <f>[1]法宝人物匹配!P29</f>
        <v>0</v>
      </c>
      <c r="Q28">
        <f>[1]法宝人物匹配!Q29</f>
        <v>0</v>
      </c>
      <c r="R28">
        <f>[1]法宝人物匹配!R29</f>
        <v>0</v>
      </c>
      <c r="S28">
        <f>[1]法宝人物匹配!S29</f>
        <v>0</v>
      </c>
      <c r="T28">
        <f>[1]法宝人物匹配!T29</f>
        <v>0</v>
      </c>
      <c r="U28">
        <f>[1]法宝人物匹配!U29</f>
        <v>0</v>
      </c>
      <c r="V28">
        <f>[1]法宝人物匹配!V29</f>
        <v>0</v>
      </c>
      <c r="W28">
        <f>[1]法宝人物匹配!W29</f>
        <v>0</v>
      </c>
      <c r="X28">
        <f>[1]法宝人物匹配!X29</f>
        <v>0</v>
      </c>
      <c r="Y28">
        <f>[1]法宝人物匹配!Y29</f>
        <v>0</v>
      </c>
      <c r="Z28">
        <f>[1]法宝人物匹配!Z29</f>
        <v>0</v>
      </c>
      <c r="AA28">
        <f>[1]法宝人物匹配!AA29</f>
        <v>0</v>
      </c>
      <c r="AB28">
        <f>[1]法宝人物匹配!AB29</f>
        <v>0</v>
      </c>
      <c r="AC28">
        <f>[1]法宝人物匹配!AC29</f>
        <v>0</v>
      </c>
      <c r="AD28">
        <f>[1]法宝人物匹配!AD29</f>
        <v>0</v>
      </c>
      <c r="AE28">
        <f>[1]法宝人物匹配!AE29</f>
        <v>0</v>
      </c>
      <c r="AF28">
        <f>[1]法宝人物匹配!AF29</f>
        <v>0</v>
      </c>
      <c r="AG28">
        <f>[1]法宝人物匹配!AG29</f>
        <v>10</v>
      </c>
      <c r="AH28">
        <f>[1]法宝人物匹配!AH29</f>
        <v>10</v>
      </c>
      <c r="AI28">
        <f>[1]法宝人物匹配!AI29</f>
        <v>0</v>
      </c>
      <c r="AJ28">
        <f>[1]法宝人物匹配!AJ29</f>
        <v>0</v>
      </c>
      <c r="AK28">
        <f>[1]法宝人物匹配!AK29</f>
        <v>0</v>
      </c>
      <c r="AL28">
        <f>[1]法宝人物匹配!AL29</f>
        <v>0</v>
      </c>
      <c r="AM28">
        <f>[1]法宝人物匹配!AM29</f>
        <v>0</v>
      </c>
      <c r="AN28">
        <f>[1]法宝人物匹配!AN29</f>
        <v>0</v>
      </c>
    </row>
    <row r="29" spans="1:40" x14ac:dyDescent="0.15">
      <c r="A29" t="str">
        <f>玩家卡牌配置表!B29</f>
        <v>C_Wangmu</v>
      </c>
      <c r="B29">
        <f>[1]法宝人物匹配!B30</f>
        <v>0</v>
      </c>
      <c r="C29">
        <f>[1]法宝人物匹配!C30</f>
        <v>0</v>
      </c>
      <c r="D29">
        <f>[1]法宝人物匹配!D30</f>
        <v>0</v>
      </c>
      <c r="E29">
        <f>[1]法宝人物匹配!E30</f>
        <v>0</v>
      </c>
      <c r="F29">
        <f>[1]法宝人物匹配!F30</f>
        <v>0</v>
      </c>
      <c r="G29">
        <f>[1]法宝人物匹配!G30</f>
        <v>0</v>
      </c>
      <c r="H29">
        <f>[1]法宝人物匹配!H30</f>
        <v>0</v>
      </c>
      <c r="I29">
        <f>[1]法宝人物匹配!I30</f>
        <v>0</v>
      </c>
      <c r="J29">
        <f>[1]法宝人物匹配!J30</f>
        <v>0</v>
      </c>
      <c r="K29">
        <f>[1]法宝人物匹配!K30</f>
        <v>0</v>
      </c>
      <c r="L29">
        <f>[1]法宝人物匹配!L30</f>
        <v>0</v>
      </c>
      <c r="M29">
        <f>[1]法宝人物匹配!M30</f>
        <v>0</v>
      </c>
      <c r="N29">
        <f>[1]法宝人物匹配!N30</f>
        <v>0</v>
      </c>
      <c r="O29">
        <f>[1]法宝人物匹配!O30</f>
        <v>0</v>
      </c>
      <c r="P29">
        <f>[1]法宝人物匹配!P30</f>
        <v>0</v>
      </c>
      <c r="Q29">
        <f>[1]法宝人物匹配!Q30</f>
        <v>0</v>
      </c>
      <c r="R29">
        <f>[1]法宝人物匹配!R30</f>
        <v>0</v>
      </c>
      <c r="S29">
        <f>[1]法宝人物匹配!S30</f>
        <v>0</v>
      </c>
      <c r="T29">
        <f>[1]法宝人物匹配!T30</f>
        <v>0</v>
      </c>
      <c r="U29">
        <f>[1]法宝人物匹配!U30</f>
        <v>0</v>
      </c>
      <c r="V29">
        <f>[1]法宝人物匹配!V30</f>
        <v>0</v>
      </c>
      <c r="W29">
        <f>[1]法宝人物匹配!W30</f>
        <v>0</v>
      </c>
      <c r="X29">
        <f>[1]法宝人物匹配!X30</f>
        <v>0</v>
      </c>
      <c r="Y29">
        <f>[1]法宝人物匹配!Y30</f>
        <v>0</v>
      </c>
      <c r="Z29">
        <f>[1]法宝人物匹配!Z30</f>
        <v>0</v>
      </c>
      <c r="AA29">
        <f>[1]法宝人物匹配!AA30</f>
        <v>0</v>
      </c>
      <c r="AB29">
        <f>[1]法宝人物匹配!AB30</f>
        <v>0</v>
      </c>
      <c r="AC29">
        <f>[1]法宝人物匹配!AC30</f>
        <v>0</v>
      </c>
      <c r="AD29">
        <f>[1]法宝人物匹配!AD30</f>
        <v>0</v>
      </c>
      <c r="AE29">
        <f>[1]法宝人物匹配!AE30</f>
        <v>0</v>
      </c>
      <c r="AF29">
        <f>[1]法宝人物匹配!AF30</f>
        <v>0</v>
      </c>
      <c r="AG29">
        <f>[1]法宝人物匹配!AG30</f>
        <v>0</v>
      </c>
      <c r="AH29">
        <f>[1]法宝人物匹配!AH30</f>
        <v>0</v>
      </c>
      <c r="AI29">
        <f>[1]法宝人物匹配!AI30</f>
        <v>10</v>
      </c>
      <c r="AJ29">
        <f>[1]法宝人物匹配!AJ30</f>
        <v>10</v>
      </c>
      <c r="AK29">
        <f>[1]法宝人物匹配!AK30</f>
        <v>0</v>
      </c>
      <c r="AL29">
        <f>[1]法宝人物匹配!AL30</f>
        <v>0</v>
      </c>
      <c r="AM29">
        <f>[1]法宝人物匹配!AM30</f>
        <v>0</v>
      </c>
      <c r="AN29">
        <f>[1]法宝人物匹配!AN30</f>
        <v>0</v>
      </c>
    </row>
    <row r="30" spans="1:40" x14ac:dyDescent="0.15">
      <c r="A30" t="str">
        <f>玩家卡牌配置表!B30</f>
        <v>C_Rulai</v>
      </c>
      <c r="B30">
        <f>[1]法宝人物匹配!B31</f>
        <v>0</v>
      </c>
      <c r="C30">
        <f>[1]法宝人物匹配!C31</f>
        <v>0</v>
      </c>
      <c r="D30">
        <f>[1]法宝人物匹配!D31</f>
        <v>0</v>
      </c>
      <c r="E30">
        <f>[1]法宝人物匹配!E31</f>
        <v>0</v>
      </c>
      <c r="F30">
        <f>[1]法宝人物匹配!F31</f>
        <v>0</v>
      </c>
      <c r="G30">
        <f>[1]法宝人物匹配!G31</f>
        <v>0</v>
      </c>
      <c r="H30">
        <f>[1]法宝人物匹配!H31</f>
        <v>0</v>
      </c>
      <c r="I30">
        <f>[1]法宝人物匹配!I31</f>
        <v>0</v>
      </c>
      <c r="J30">
        <f>[1]法宝人物匹配!J31</f>
        <v>0</v>
      </c>
      <c r="K30">
        <f>[1]法宝人物匹配!K31</f>
        <v>0</v>
      </c>
      <c r="L30">
        <f>[1]法宝人物匹配!L31</f>
        <v>0</v>
      </c>
      <c r="M30">
        <f>[1]法宝人物匹配!M31</f>
        <v>0</v>
      </c>
      <c r="N30">
        <f>[1]法宝人物匹配!N31</f>
        <v>0</v>
      </c>
      <c r="O30">
        <f>[1]法宝人物匹配!O31</f>
        <v>0</v>
      </c>
      <c r="P30">
        <f>[1]法宝人物匹配!P31</f>
        <v>0</v>
      </c>
      <c r="Q30">
        <f>[1]法宝人物匹配!Q31</f>
        <v>0</v>
      </c>
      <c r="R30">
        <f>[1]法宝人物匹配!R31</f>
        <v>0</v>
      </c>
      <c r="S30">
        <f>[1]法宝人物匹配!S31</f>
        <v>0</v>
      </c>
      <c r="T30">
        <f>[1]法宝人物匹配!T31</f>
        <v>0</v>
      </c>
      <c r="U30">
        <f>[1]法宝人物匹配!U31</f>
        <v>0</v>
      </c>
      <c r="V30">
        <f>[1]法宝人物匹配!V31</f>
        <v>0</v>
      </c>
      <c r="W30">
        <f>[1]法宝人物匹配!W31</f>
        <v>0</v>
      </c>
      <c r="X30">
        <f>[1]法宝人物匹配!X31</f>
        <v>0</v>
      </c>
      <c r="Y30">
        <f>[1]法宝人物匹配!Y31</f>
        <v>0</v>
      </c>
      <c r="Z30">
        <f>[1]法宝人物匹配!Z31</f>
        <v>0</v>
      </c>
      <c r="AA30">
        <f>[1]法宝人物匹配!AA31</f>
        <v>0</v>
      </c>
      <c r="AB30">
        <f>[1]法宝人物匹配!AB31</f>
        <v>0</v>
      </c>
      <c r="AC30">
        <f>[1]法宝人物匹配!AC31</f>
        <v>0</v>
      </c>
      <c r="AD30">
        <f>[1]法宝人物匹配!AD31</f>
        <v>0</v>
      </c>
      <c r="AE30">
        <f>[1]法宝人物匹配!AE31</f>
        <v>0</v>
      </c>
      <c r="AF30">
        <f>[1]法宝人物匹配!AF31</f>
        <v>0</v>
      </c>
      <c r="AG30">
        <f>[1]法宝人物匹配!AG31</f>
        <v>0</v>
      </c>
      <c r="AH30">
        <f>[1]法宝人物匹配!AH31</f>
        <v>0</v>
      </c>
      <c r="AI30">
        <f>[1]法宝人物匹配!AI31</f>
        <v>0</v>
      </c>
      <c r="AJ30">
        <f>[1]法宝人物匹配!AJ31</f>
        <v>0</v>
      </c>
      <c r="AK30">
        <f>[1]法宝人物匹配!AK31</f>
        <v>10</v>
      </c>
      <c r="AL30">
        <f>[1]法宝人物匹配!AL31</f>
        <v>10</v>
      </c>
      <c r="AM30">
        <f>[1]法宝人物匹配!AM31</f>
        <v>10</v>
      </c>
      <c r="AN30">
        <f>[1]法宝人物匹配!AN31</f>
        <v>10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A2" sqref="A2:A11"/>
    </sheetView>
  </sheetViews>
  <sheetFormatPr defaultRowHeight="13.5" x14ac:dyDescent="0.15"/>
  <cols>
    <col min="1" max="2" width="10.875" customWidth="1"/>
    <col min="4" max="4" width="14" customWidth="1"/>
    <col min="5" max="5" width="9" customWidth="1"/>
  </cols>
  <sheetData>
    <row r="1" spans="1:8" x14ac:dyDescent="0.15">
      <c r="A1" t="s">
        <v>4</v>
      </c>
      <c r="B1" t="s">
        <v>2</v>
      </c>
      <c r="C1" t="s">
        <v>0</v>
      </c>
      <c r="D1" t="s">
        <v>3</v>
      </c>
      <c r="E1" t="s">
        <v>13</v>
      </c>
      <c r="F1" t="s">
        <v>8</v>
      </c>
      <c r="G1" t="s">
        <v>7</v>
      </c>
      <c r="H1" t="s">
        <v>1</v>
      </c>
    </row>
    <row r="2" spans="1:8" x14ac:dyDescent="0.15">
      <c r="A2" t="str">
        <f>[1]法宝人物匹配!$B$1</f>
        <v>F_Zijinboyu</v>
      </c>
      <c r="B2" t="str">
        <f>[1]技能设计!$F$4</f>
        <v>化缘</v>
      </c>
      <c r="C2">
        <f>[1]技能设计!$G$4</f>
        <v>1</v>
      </c>
      <c r="D2">
        <f>[1]技能设计!$H$4</f>
        <v>1</v>
      </c>
      <c r="E2" t="str">
        <f>[1]技能设计!$I$4</f>
        <v>Juqi</v>
      </c>
      <c r="F2">
        <v>3</v>
      </c>
      <c r="G2">
        <v>3</v>
      </c>
      <c r="H2">
        <f ca="1">[1]技能设计!$L$4</f>
        <v>43</v>
      </c>
    </row>
    <row r="3" spans="1:8" x14ac:dyDescent="0.15">
      <c r="A3" t="str">
        <f>[1]法宝人物匹配!$B$1</f>
        <v>F_Zijinboyu</v>
      </c>
      <c r="B3" t="str">
        <f>[1]技能设计!$F$5</f>
        <v>化缘</v>
      </c>
      <c r="C3">
        <f>[1]技能设计!$G$5</f>
        <v>2</v>
      </c>
      <c r="D3">
        <f>[1]技能设计!$H$5</f>
        <v>2</v>
      </c>
      <c r="E3" t="str">
        <f>[1]技能设计!$I$5</f>
        <v>Juqi</v>
      </c>
      <c r="F3">
        <v>3</v>
      </c>
      <c r="G3">
        <v>3</v>
      </c>
      <c r="H3">
        <f ca="1">[1]技能设计!$L$5</f>
        <v>202</v>
      </c>
    </row>
    <row r="4" spans="1:8" x14ac:dyDescent="0.15">
      <c r="A4" t="str">
        <f>[1]法宝人物匹配!$B$1</f>
        <v>F_Zijinboyu</v>
      </c>
      <c r="B4" t="str">
        <f>[1]技能设计!$F$6</f>
        <v>化缘</v>
      </c>
      <c r="C4">
        <f>[1]技能设计!$G$6</f>
        <v>3</v>
      </c>
      <c r="D4">
        <f>[1]技能设计!$H$6</f>
        <v>4</v>
      </c>
      <c r="E4" t="str">
        <f>[1]技能设计!$I$6</f>
        <v>Juqi</v>
      </c>
      <c r="F4">
        <v>3</v>
      </c>
      <c r="G4">
        <v>3</v>
      </c>
      <c r="H4">
        <f ca="1">[1]技能设计!$L$6</f>
        <v>1541</v>
      </c>
    </row>
    <row r="5" spans="1:8" x14ac:dyDescent="0.15">
      <c r="A5" t="str">
        <f>[1]法宝人物匹配!$B$1</f>
        <v>F_Zijinboyu</v>
      </c>
      <c r="B5" t="str">
        <f>[1]技能设计!$F$7</f>
        <v>化缘</v>
      </c>
      <c r="C5">
        <f>[1]技能设计!$G$7</f>
        <v>4</v>
      </c>
      <c r="D5">
        <f>[1]技能设计!$H$7</f>
        <v>0</v>
      </c>
      <c r="E5">
        <f>[1]技能设计!$I$7</f>
        <v>0</v>
      </c>
      <c r="F5">
        <v>3</v>
      </c>
      <c r="G5">
        <v>3</v>
      </c>
      <c r="H5">
        <f>[1]技能设计!$L$7</f>
        <v>0</v>
      </c>
    </row>
    <row r="6" spans="1:8" x14ac:dyDescent="0.15">
      <c r="A6" t="str">
        <f>[1]法宝人物匹配!$B$1</f>
        <v>F_Zijinboyu</v>
      </c>
      <c r="B6" t="str">
        <f>[1]技能设计!$F$8</f>
        <v>化缘</v>
      </c>
      <c r="C6">
        <f>[1]技能设计!$G$8</f>
        <v>5</v>
      </c>
      <c r="D6">
        <f>[1]技能设计!$H$8</f>
        <v>0</v>
      </c>
      <c r="E6">
        <f>[1]技能设计!$I$8</f>
        <v>0</v>
      </c>
      <c r="F6">
        <v>3</v>
      </c>
      <c r="G6">
        <v>3</v>
      </c>
      <c r="H6">
        <f>[1]技能设计!$L$8</f>
        <v>0</v>
      </c>
    </row>
    <row r="7" spans="1:8" x14ac:dyDescent="0.15">
      <c r="A7" t="str">
        <f>[1]法宝人物匹配!$B$1</f>
        <v>F_Zijinboyu</v>
      </c>
      <c r="B7" t="str">
        <f>[1]技能设计!$F$9</f>
        <v>神僧请缘</v>
      </c>
      <c r="C7">
        <f>[1]技能设计!$G$9</f>
        <v>6</v>
      </c>
      <c r="D7">
        <f>[1]技能设计!$H$9</f>
        <v>0</v>
      </c>
      <c r="E7">
        <f>[1]技能设计!$I$9</f>
        <v>0</v>
      </c>
      <c r="F7">
        <v>3</v>
      </c>
      <c r="G7">
        <v>3</v>
      </c>
      <c r="H7">
        <f>[1]技能设计!$L$9</f>
        <v>0</v>
      </c>
    </row>
    <row r="8" spans="1:8" x14ac:dyDescent="0.15">
      <c r="A8" t="str">
        <f>[1]法宝人物匹配!$B$1</f>
        <v>F_Zijinboyu</v>
      </c>
      <c r="B8" t="str">
        <f>[1]技能设计!$F$10</f>
        <v>神僧请缘</v>
      </c>
      <c r="C8">
        <f>[1]技能设计!$G$10</f>
        <v>7</v>
      </c>
      <c r="D8">
        <f>[1]技能设计!$H$10</f>
        <v>0</v>
      </c>
      <c r="E8">
        <f>[1]技能设计!$I$10</f>
        <v>0</v>
      </c>
      <c r="F8">
        <v>3</v>
      </c>
      <c r="G8">
        <v>3</v>
      </c>
      <c r="H8">
        <f>[1]技能设计!$L$10</f>
        <v>0</v>
      </c>
    </row>
    <row r="9" spans="1:8" x14ac:dyDescent="0.15">
      <c r="A9" t="str">
        <f>[1]法宝人物匹配!$B$1</f>
        <v>F_Zijinboyu</v>
      </c>
      <c r="B9" t="str">
        <f>[1]技能设计!$F$11</f>
        <v>神僧请缘</v>
      </c>
      <c r="C9">
        <f>[1]技能设计!$G$11</f>
        <v>8</v>
      </c>
      <c r="D9">
        <f>[1]技能设计!$H$11</f>
        <v>0</v>
      </c>
      <c r="E9">
        <f>[1]技能设计!$I$11</f>
        <v>0</v>
      </c>
      <c r="F9">
        <v>3</v>
      </c>
      <c r="G9">
        <v>3</v>
      </c>
      <c r="H9">
        <f>[1]技能设计!$L$11</f>
        <v>0</v>
      </c>
    </row>
    <row r="10" spans="1:8" x14ac:dyDescent="0.15">
      <c r="A10" t="str">
        <f>[1]法宝人物匹配!$B$1</f>
        <v>F_Zijinboyu</v>
      </c>
      <c r="B10" t="str">
        <f>[1]技能设计!$F$12</f>
        <v>神僧请缘</v>
      </c>
      <c r="C10">
        <f>[1]技能设计!$G$12</f>
        <v>9</v>
      </c>
      <c r="D10">
        <f>[1]技能设计!$H$12</f>
        <v>0</v>
      </c>
      <c r="E10">
        <f>[1]技能设计!$I$12</f>
        <v>0</v>
      </c>
      <c r="F10">
        <v>3</v>
      </c>
      <c r="G10">
        <v>3</v>
      </c>
      <c r="H10">
        <f>[1]技能设计!$L$12</f>
        <v>0</v>
      </c>
    </row>
    <row r="11" spans="1:8" x14ac:dyDescent="0.15">
      <c r="A11" t="str">
        <f>[1]法宝人物匹配!$B$1</f>
        <v>F_Zijinboyu</v>
      </c>
      <c r="B11" t="str">
        <f>[1]技能设计!$F$13</f>
        <v>神僧请缘</v>
      </c>
      <c r="C11">
        <f>[1]技能设计!$G$13</f>
        <v>10</v>
      </c>
      <c r="D11">
        <f>[1]技能设计!$H$13</f>
        <v>0</v>
      </c>
      <c r="E11">
        <f>[1]技能设计!$I$13</f>
        <v>0</v>
      </c>
      <c r="F11">
        <v>3</v>
      </c>
      <c r="G11">
        <v>3</v>
      </c>
      <c r="H11">
        <f>[1]技能设计!$L$13</f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A2" sqref="A2:A11"/>
    </sheetView>
  </sheetViews>
  <sheetFormatPr defaultRowHeight="13.5" x14ac:dyDescent="0.15"/>
  <sheetData>
    <row r="1" spans="1:8" x14ac:dyDescent="0.15">
      <c r="A1" t="s">
        <v>4</v>
      </c>
      <c r="B1" t="s">
        <v>2</v>
      </c>
      <c r="C1" t="s">
        <v>0</v>
      </c>
      <c r="D1" t="s">
        <v>3</v>
      </c>
      <c r="E1" t="s">
        <v>14</v>
      </c>
      <c r="F1" t="s">
        <v>8</v>
      </c>
      <c r="G1" t="s">
        <v>7</v>
      </c>
      <c r="H1" t="str">
        <f>[1]技能设计!$N$1</f>
        <v>Fanshi</v>
      </c>
    </row>
    <row r="2" spans="1:8" x14ac:dyDescent="0.15">
      <c r="A2" t="str">
        <f>[1]法宝人物匹配!$B$1</f>
        <v>F_Zijinboyu</v>
      </c>
      <c r="B2" t="str">
        <f>[1]技能设计!$F$15</f>
        <v>紫气降妖</v>
      </c>
      <c r="C2">
        <f>[1]技能设计!$G$15</f>
        <v>1</v>
      </c>
      <c r="D2">
        <f>[1]技能设计!$H$15</f>
        <v>3</v>
      </c>
      <c r="E2" t="str">
        <f>[1]技能设计!$I$15</f>
        <v>Fanshi</v>
      </c>
      <c r="F2">
        <v>3</v>
      </c>
      <c r="G2">
        <v>3</v>
      </c>
      <c r="H2">
        <f ca="1">[1]技能设计!$N$15</f>
        <v>533</v>
      </c>
    </row>
    <row r="3" spans="1:8" x14ac:dyDescent="0.15">
      <c r="A3" t="str">
        <f>[1]法宝人物匹配!$B$1</f>
        <v>F_Zijinboyu</v>
      </c>
      <c r="B3" t="str">
        <f>[1]技能设计!$F$16</f>
        <v>紫气降妖</v>
      </c>
      <c r="C3">
        <f>[1]技能设计!$G$16</f>
        <v>2</v>
      </c>
      <c r="D3">
        <f>[1]技能设计!$H$16</f>
        <v>5</v>
      </c>
      <c r="E3" t="str">
        <f>[1]技能设计!$I$16</f>
        <v>Fanshi</v>
      </c>
      <c r="F3">
        <v>3</v>
      </c>
      <c r="G3">
        <v>3</v>
      </c>
      <c r="H3">
        <f ca="1">[1]技能设计!$N$16</f>
        <v>5060</v>
      </c>
    </row>
    <row r="4" spans="1:8" x14ac:dyDescent="0.15">
      <c r="A4" t="str">
        <f>[1]法宝人物匹配!$B$1</f>
        <v>F_Zijinboyu</v>
      </c>
      <c r="B4" t="str">
        <f>[1]技能设计!$F$17</f>
        <v>紫气降妖</v>
      </c>
      <c r="C4">
        <f>[1]技能设计!$G$17</f>
        <v>3</v>
      </c>
      <c r="D4">
        <f>[1]技能设计!$H$17</f>
        <v>0</v>
      </c>
      <c r="E4">
        <f>[1]技能设计!$I$17</f>
        <v>0</v>
      </c>
      <c r="F4">
        <v>3</v>
      </c>
      <c r="G4">
        <v>3</v>
      </c>
      <c r="H4">
        <f>[1]技能设计!$N$17</f>
        <v>0</v>
      </c>
    </row>
    <row r="5" spans="1:8" x14ac:dyDescent="0.15">
      <c r="A5" t="str">
        <f>[1]法宝人物匹配!$B$1</f>
        <v>F_Zijinboyu</v>
      </c>
      <c r="B5" t="str">
        <f>[1]技能设计!$F$18</f>
        <v>紫气降妖</v>
      </c>
      <c r="C5">
        <f>[1]技能设计!$G$18</f>
        <v>4</v>
      </c>
      <c r="D5">
        <f>[1]技能设计!$H$18</f>
        <v>0</v>
      </c>
      <c r="E5">
        <f>[1]技能设计!$I$18</f>
        <v>0</v>
      </c>
      <c r="F5">
        <v>3</v>
      </c>
      <c r="G5">
        <v>3</v>
      </c>
      <c r="H5">
        <f>[1]技能设计!$N$18</f>
        <v>0</v>
      </c>
    </row>
    <row r="6" spans="1:8" x14ac:dyDescent="0.15">
      <c r="A6" t="str">
        <f>[1]法宝人物匹配!$B$1</f>
        <v>F_Zijinboyu</v>
      </c>
      <c r="B6" t="str">
        <f>[1]技能设计!$F$19</f>
        <v>紫气降妖</v>
      </c>
      <c r="C6">
        <f>[1]技能设计!$G$19</f>
        <v>5</v>
      </c>
      <c r="D6">
        <f>[1]技能设计!$H$19</f>
        <v>0</v>
      </c>
      <c r="E6">
        <f>[1]技能设计!$I$19</f>
        <v>0</v>
      </c>
      <c r="F6">
        <v>3</v>
      </c>
      <c r="G6">
        <v>3</v>
      </c>
      <c r="H6">
        <f>[1]技能设计!$N$19</f>
        <v>0</v>
      </c>
    </row>
    <row r="7" spans="1:8" x14ac:dyDescent="0.15">
      <c r="A7" t="str">
        <f>[1]法宝人物匹配!$B$1</f>
        <v>F_Zijinboyu</v>
      </c>
      <c r="B7" t="str">
        <f>[1]技能设计!$F$20</f>
        <v>紫气佛光</v>
      </c>
      <c r="C7">
        <f>[1]技能设计!$G$20</f>
        <v>6</v>
      </c>
      <c r="D7">
        <f>[1]技能设计!$H$20</f>
        <v>0</v>
      </c>
      <c r="E7">
        <f>[1]技能设计!$I$20</f>
        <v>0</v>
      </c>
      <c r="F7">
        <v>3</v>
      </c>
      <c r="G7">
        <v>3</v>
      </c>
      <c r="H7">
        <f>[1]技能设计!$N$20</f>
        <v>0</v>
      </c>
    </row>
    <row r="8" spans="1:8" x14ac:dyDescent="0.15">
      <c r="A8" t="str">
        <f>[1]法宝人物匹配!$B$1</f>
        <v>F_Zijinboyu</v>
      </c>
      <c r="B8" t="str">
        <f>[1]技能设计!$F$21</f>
        <v>紫气佛光</v>
      </c>
      <c r="C8">
        <f>[1]技能设计!$G$21</f>
        <v>7</v>
      </c>
      <c r="D8">
        <f>[1]技能设计!$H$21</f>
        <v>0</v>
      </c>
      <c r="E8">
        <f>[1]技能设计!$I$21</f>
        <v>0</v>
      </c>
      <c r="F8">
        <v>3</v>
      </c>
      <c r="G8">
        <v>3</v>
      </c>
      <c r="H8">
        <f>[1]技能设计!$N$21</f>
        <v>0</v>
      </c>
    </row>
    <row r="9" spans="1:8" x14ac:dyDescent="0.15">
      <c r="A9" t="str">
        <f>[1]法宝人物匹配!$B$1</f>
        <v>F_Zijinboyu</v>
      </c>
      <c r="B9" t="str">
        <f>[1]技能设计!$F$22</f>
        <v>紫气佛光</v>
      </c>
      <c r="C9">
        <f>[1]技能设计!$G$22</f>
        <v>8</v>
      </c>
      <c r="D9">
        <f>[1]技能设计!$H$22</f>
        <v>0</v>
      </c>
      <c r="E9">
        <f>[1]技能设计!$I$22</f>
        <v>0</v>
      </c>
      <c r="F9">
        <v>3</v>
      </c>
      <c r="G9">
        <v>3</v>
      </c>
      <c r="H9">
        <f>[1]技能设计!$N$22</f>
        <v>0</v>
      </c>
    </row>
    <row r="10" spans="1:8" x14ac:dyDescent="0.15">
      <c r="A10" t="str">
        <f>[1]法宝人物匹配!$B$1</f>
        <v>F_Zijinboyu</v>
      </c>
      <c r="B10" t="str">
        <f>[1]技能设计!$F$23</f>
        <v>紫气佛光</v>
      </c>
      <c r="C10">
        <f>[1]技能设计!$G$23</f>
        <v>9</v>
      </c>
      <c r="D10">
        <f>[1]技能设计!$H$23</f>
        <v>0</v>
      </c>
      <c r="E10">
        <f>[1]技能设计!$I$23</f>
        <v>0</v>
      </c>
      <c r="F10">
        <v>3</v>
      </c>
      <c r="G10">
        <v>3</v>
      </c>
      <c r="H10">
        <f>[1]技能设计!$N$23</f>
        <v>0</v>
      </c>
    </row>
    <row r="11" spans="1:8" x14ac:dyDescent="0.15">
      <c r="A11" t="str">
        <f>[1]法宝人物匹配!$B$1</f>
        <v>F_Zijinboyu</v>
      </c>
      <c r="B11" t="str">
        <f>[1]技能设计!$F$24</f>
        <v>紫气佛光</v>
      </c>
      <c r="C11">
        <f>[1]技能设计!$G$24</f>
        <v>10</v>
      </c>
      <c r="D11">
        <f>[1]技能设计!$H$24</f>
        <v>0</v>
      </c>
      <c r="E11">
        <f>[1]技能设计!$I$24</f>
        <v>0</v>
      </c>
      <c r="F11">
        <v>3</v>
      </c>
      <c r="G11">
        <v>3</v>
      </c>
      <c r="H11">
        <f>[1]技能设计!$N$24</f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A3" sqref="A3:A11"/>
    </sheetView>
  </sheetViews>
  <sheetFormatPr defaultRowHeight="13.5" x14ac:dyDescent="0.15"/>
  <sheetData>
    <row r="1" spans="1:8" x14ac:dyDescent="0.15">
      <c r="A1" t="s">
        <v>4</v>
      </c>
      <c r="B1" t="s">
        <v>2</v>
      </c>
      <c r="C1" t="s">
        <v>0</v>
      </c>
      <c r="D1" t="s">
        <v>3</v>
      </c>
      <c r="E1" t="s">
        <v>13</v>
      </c>
      <c r="F1" t="s">
        <v>8</v>
      </c>
      <c r="G1" t="s">
        <v>7</v>
      </c>
      <c r="H1" t="str">
        <f>[1]技能设计!$AD$1</f>
        <v>TiliDebuff</v>
      </c>
    </row>
    <row r="2" spans="1:8" x14ac:dyDescent="0.15">
      <c r="A2" t="str">
        <f>[1]法宝人物匹配!$C$1</f>
        <v>F_Jiuhuanxizhang</v>
      </c>
      <c r="B2" t="str">
        <f>[1]技能设计!$F$26</f>
        <v>净化</v>
      </c>
      <c r="C2">
        <f>[1]技能设计!$G$26</f>
        <v>1</v>
      </c>
      <c r="D2">
        <f>[1]技能设计!$H$26</f>
        <v>1</v>
      </c>
      <c r="E2" t="str">
        <f>[1]技能设计!$I$26</f>
        <v>Fanshi</v>
      </c>
      <c r="F2">
        <v>3</v>
      </c>
      <c r="G2">
        <v>3</v>
      </c>
      <c r="H2">
        <f>[1]技能设计!$AD$26</f>
        <v>-14</v>
      </c>
    </row>
    <row r="3" spans="1:8" x14ac:dyDescent="0.15">
      <c r="A3" t="str">
        <f>[1]法宝人物匹配!$C$1</f>
        <v>F_Jiuhuanxizhang</v>
      </c>
      <c r="B3" t="str">
        <f>[1]技能设计!$F$27</f>
        <v>净化</v>
      </c>
      <c r="C3">
        <f>[1]技能设计!$G$27</f>
        <v>2</v>
      </c>
      <c r="D3">
        <f>[1]技能设计!$H$27</f>
        <v>2</v>
      </c>
      <c r="E3" t="str">
        <f>[1]技能设计!$I$27</f>
        <v>Fanshi</v>
      </c>
      <c r="F3">
        <v>3</v>
      </c>
      <c r="G3">
        <v>3</v>
      </c>
      <c r="H3">
        <f>[1]技能设计!$AD$27</f>
        <v>-68</v>
      </c>
    </row>
    <row r="4" spans="1:8" x14ac:dyDescent="0.15">
      <c r="A4" t="str">
        <f>[1]法宝人物匹配!$C$1</f>
        <v>F_Jiuhuanxizhang</v>
      </c>
      <c r="B4" t="str">
        <f>[1]技能设计!$F$28</f>
        <v>净化</v>
      </c>
      <c r="C4">
        <f>[1]技能设计!$G$28</f>
        <v>3</v>
      </c>
      <c r="D4">
        <f>[1]技能设计!$H$28</f>
        <v>3</v>
      </c>
      <c r="E4" t="str">
        <f>[1]技能设计!$I$28</f>
        <v>Fanshi</v>
      </c>
      <c r="F4">
        <v>3</v>
      </c>
      <c r="G4">
        <v>3</v>
      </c>
      <c r="H4">
        <f>[1]技能设计!$AD$28</f>
        <v>-177</v>
      </c>
    </row>
    <row r="5" spans="1:8" x14ac:dyDescent="0.15">
      <c r="A5" t="str">
        <f>[1]法宝人物匹配!$C$1</f>
        <v>F_Jiuhuanxizhang</v>
      </c>
      <c r="B5" t="str">
        <f>[1]技能设计!$F$29</f>
        <v>净化</v>
      </c>
      <c r="C5">
        <f>[1]技能设计!$G$29</f>
        <v>4</v>
      </c>
      <c r="D5">
        <f>[1]技能设计!$H$29</f>
        <v>5</v>
      </c>
      <c r="E5" t="str">
        <f>[1]技能设计!$I$29</f>
        <v>Fanshi</v>
      </c>
      <c r="F5">
        <v>3</v>
      </c>
      <c r="G5">
        <v>3</v>
      </c>
      <c r="H5">
        <f>[1]技能设计!$AD$29</f>
        <v>-1686</v>
      </c>
    </row>
    <row r="6" spans="1:8" x14ac:dyDescent="0.15">
      <c r="A6" t="str">
        <f>[1]法宝人物匹配!$C$1</f>
        <v>F_Jiuhuanxizhang</v>
      </c>
      <c r="B6" t="str">
        <f>[1]技能设计!$F$30</f>
        <v>净化</v>
      </c>
      <c r="C6">
        <f>[1]技能设计!$G$30</f>
        <v>5</v>
      </c>
      <c r="D6">
        <f>[1]技能设计!$H$30</f>
        <v>0</v>
      </c>
      <c r="E6">
        <f>[1]技能设计!$I$30</f>
        <v>0</v>
      </c>
      <c r="F6">
        <v>3</v>
      </c>
      <c r="G6">
        <v>3</v>
      </c>
      <c r="H6">
        <f>[1]技能设计!$AD$30</f>
        <v>0</v>
      </c>
    </row>
    <row r="7" spans="1:8" x14ac:dyDescent="0.15">
      <c r="A7" t="str">
        <f>[1]法宝人物匹配!$C$1</f>
        <v>F_Jiuhuanxizhang</v>
      </c>
      <c r="B7" t="str">
        <f>[1]技能设计!$F$31</f>
        <v>超度</v>
      </c>
      <c r="C7">
        <f>[1]技能设计!$G$31</f>
        <v>6</v>
      </c>
      <c r="D7">
        <f>[1]技能设计!$H$31</f>
        <v>0</v>
      </c>
      <c r="E7">
        <f>[1]技能设计!$I$31</f>
        <v>0</v>
      </c>
      <c r="F7">
        <v>3</v>
      </c>
      <c r="G7">
        <v>3</v>
      </c>
      <c r="H7">
        <f>[1]技能设计!$AD$31</f>
        <v>0</v>
      </c>
    </row>
    <row r="8" spans="1:8" x14ac:dyDescent="0.15">
      <c r="A8" t="str">
        <f>[1]法宝人物匹配!$C$1</f>
        <v>F_Jiuhuanxizhang</v>
      </c>
      <c r="B8" t="str">
        <f>[1]技能设计!$F$32</f>
        <v>超度</v>
      </c>
      <c r="C8">
        <f>[1]技能设计!$G$32</f>
        <v>7</v>
      </c>
      <c r="D8">
        <f>[1]技能设计!$H$32</f>
        <v>0</v>
      </c>
      <c r="E8">
        <f>[1]技能设计!$I$32</f>
        <v>0</v>
      </c>
      <c r="F8">
        <v>3</v>
      </c>
      <c r="G8">
        <v>3</v>
      </c>
      <c r="H8">
        <f>[1]技能设计!$AD$32</f>
        <v>0</v>
      </c>
    </row>
    <row r="9" spans="1:8" x14ac:dyDescent="0.15">
      <c r="A9" t="str">
        <f>[1]法宝人物匹配!$C$1</f>
        <v>F_Jiuhuanxizhang</v>
      </c>
      <c r="B9" t="str">
        <f>[1]技能设计!$F$33</f>
        <v>超度</v>
      </c>
      <c r="C9">
        <f>[1]技能设计!$G$33</f>
        <v>8</v>
      </c>
      <c r="D9">
        <f>[1]技能设计!$H$33</f>
        <v>0</v>
      </c>
      <c r="E9">
        <f>[1]技能设计!$I$33</f>
        <v>0</v>
      </c>
      <c r="F9">
        <v>3</v>
      </c>
      <c r="G9">
        <v>3</v>
      </c>
      <c r="H9">
        <f>[1]技能设计!$AD$33</f>
        <v>0</v>
      </c>
    </row>
    <row r="10" spans="1:8" x14ac:dyDescent="0.15">
      <c r="A10" t="str">
        <f>[1]法宝人物匹配!$C$1</f>
        <v>F_Jiuhuanxizhang</v>
      </c>
      <c r="B10" t="str">
        <f>[1]技能设计!$F$34</f>
        <v>超度</v>
      </c>
      <c r="C10">
        <f>[1]技能设计!$G$34</f>
        <v>9</v>
      </c>
      <c r="D10">
        <f>[1]技能设计!$H$34</f>
        <v>0</v>
      </c>
      <c r="E10">
        <f>[1]技能设计!$I$34</f>
        <v>0</v>
      </c>
      <c r="F10">
        <v>3</v>
      </c>
      <c r="G10">
        <v>3</v>
      </c>
      <c r="H10">
        <f>[1]技能设计!$AD$34</f>
        <v>0</v>
      </c>
    </row>
    <row r="11" spans="1:8" x14ac:dyDescent="0.15">
      <c r="A11" t="str">
        <f>[1]法宝人物匹配!$C$1</f>
        <v>F_Jiuhuanxizhang</v>
      </c>
      <c r="B11" t="str">
        <f>[1]技能设计!$F$35</f>
        <v>超度</v>
      </c>
      <c r="C11">
        <f>[1]技能设计!$G$35</f>
        <v>10</v>
      </c>
      <c r="D11">
        <f>[1]技能设计!$H$35</f>
        <v>0</v>
      </c>
      <c r="E11">
        <f>[1]技能设计!$I$35</f>
        <v>0</v>
      </c>
      <c r="F11">
        <v>3</v>
      </c>
      <c r="G11">
        <v>3</v>
      </c>
      <c r="H11">
        <f>[1]技能设计!$AD$35</f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A8" sqref="A8"/>
    </sheetView>
  </sheetViews>
  <sheetFormatPr defaultRowHeight="13.5" x14ac:dyDescent="0.15"/>
  <sheetData>
    <row r="1" spans="1:8" x14ac:dyDescent="0.15">
      <c r="A1" t="s">
        <v>4</v>
      </c>
      <c r="B1" t="s">
        <v>2</v>
      </c>
      <c r="C1" t="s">
        <v>0</v>
      </c>
      <c r="D1" t="s">
        <v>3</v>
      </c>
      <c r="E1" t="s">
        <v>11</v>
      </c>
      <c r="F1" t="s">
        <v>8</v>
      </c>
      <c r="G1" t="s">
        <v>7</v>
      </c>
      <c r="H1" t="str">
        <f>[1]技能设计!$AR$1</f>
        <v>Qungong</v>
      </c>
    </row>
    <row r="2" spans="1:8" x14ac:dyDescent="0.15">
      <c r="A2" t="str">
        <f>[1]法宝人物匹配!$C$1</f>
        <v>F_Jiuhuanxizhang</v>
      </c>
      <c r="B2" t="str">
        <f>[1]技能设计!$F$37</f>
        <v>五环法阵</v>
      </c>
      <c r="C2">
        <f>[1]技能设计!$G$37</f>
        <v>1</v>
      </c>
      <c r="D2">
        <f>[1]技能设计!$H$37</f>
        <v>4</v>
      </c>
      <c r="E2" t="str">
        <f>[1]技能设计!$I$37</f>
        <v>Gongji</v>
      </c>
      <c r="F2">
        <v>3</v>
      </c>
      <c r="G2">
        <v>3</v>
      </c>
      <c r="H2">
        <f>[1]技能设计!$AR$37</f>
        <v>385</v>
      </c>
    </row>
    <row r="3" spans="1:8" x14ac:dyDescent="0.15">
      <c r="A3" t="str">
        <f>[1]法宝人物匹配!$C$1</f>
        <v>F_Jiuhuanxizhang</v>
      </c>
      <c r="B3" t="str">
        <f>[1]技能设计!$F$38</f>
        <v>五环法阵</v>
      </c>
      <c r="C3">
        <f>[1]技能设计!$G$38</f>
        <v>2</v>
      </c>
      <c r="D3">
        <f>[1]技能设计!$H$38</f>
        <v>0</v>
      </c>
      <c r="E3">
        <f>[1]技能设计!$I$38</f>
        <v>0</v>
      </c>
      <c r="F3">
        <v>3</v>
      </c>
      <c r="G3">
        <v>3</v>
      </c>
      <c r="H3">
        <f>[1]技能设计!$AR$38</f>
        <v>0</v>
      </c>
    </row>
    <row r="4" spans="1:8" x14ac:dyDescent="0.15">
      <c r="A4" t="str">
        <f>[1]法宝人物匹配!$C$1</f>
        <v>F_Jiuhuanxizhang</v>
      </c>
      <c r="B4" t="str">
        <f>[1]技能设计!$F$39</f>
        <v>五环法阵</v>
      </c>
      <c r="C4">
        <f>[1]技能设计!$G$39</f>
        <v>3</v>
      </c>
      <c r="D4">
        <f>[1]技能设计!$H$39</f>
        <v>0</v>
      </c>
      <c r="E4">
        <f>[1]技能设计!$I$39</f>
        <v>0</v>
      </c>
      <c r="F4">
        <v>3</v>
      </c>
      <c r="G4">
        <v>3</v>
      </c>
      <c r="H4">
        <f>[1]技能设计!$AR$39</f>
        <v>0</v>
      </c>
    </row>
    <row r="5" spans="1:8" x14ac:dyDescent="0.15">
      <c r="A5" t="str">
        <f>[1]法宝人物匹配!$C$1</f>
        <v>F_Jiuhuanxizhang</v>
      </c>
      <c r="B5" t="str">
        <f>[1]技能设计!$F$40</f>
        <v>五环法阵</v>
      </c>
      <c r="C5">
        <f>[1]技能设计!$G$40</f>
        <v>4</v>
      </c>
      <c r="D5">
        <f>[1]技能设计!$H$40</f>
        <v>0</v>
      </c>
      <c r="E5">
        <f>[1]技能设计!$I$40</f>
        <v>0</v>
      </c>
      <c r="F5">
        <v>3</v>
      </c>
      <c r="G5">
        <v>3</v>
      </c>
      <c r="H5">
        <f>[1]技能设计!$AR$40</f>
        <v>0</v>
      </c>
    </row>
    <row r="6" spans="1:8" x14ac:dyDescent="0.15">
      <c r="A6" t="str">
        <f>[1]法宝人物匹配!$C$1</f>
        <v>F_Jiuhuanxizhang</v>
      </c>
      <c r="B6" t="str">
        <f>[1]技能设计!$F$41</f>
        <v>五环法阵</v>
      </c>
      <c r="C6">
        <f>[1]技能设计!$G$41</f>
        <v>5</v>
      </c>
      <c r="D6">
        <f>[1]技能设计!$H$41</f>
        <v>0</v>
      </c>
      <c r="E6">
        <f>[1]技能设计!$I$41</f>
        <v>0</v>
      </c>
      <c r="F6">
        <v>3</v>
      </c>
      <c r="G6">
        <v>3</v>
      </c>
      <c r="H6">
        <f>[1]技能设计!$AR$41</f>
        <v>0</v>
      </c>
    </row>
    <row r="7" spans="1:8" x14ac:dyDescent="0.15">
      <c r="A7" t="str">
        <f>[1]法宝人物匹配!$C$1</f>
        <v>F_Jiuhuanxizhang</v>
      </c>
      <c r="B7" t="str">
        <f>[1]技能设计!$F$42</f>
        <v>九环佛阵</v>
      </c>
      <c r="C7">
        <f>[1]技能设计!$G$42</f>
        <v>6</v>
      </c>
      <c r="D7">
        <f>[1]技能设计!$H$42</f>
        <v>0</v>
      </c>
      <c r="E7">
        <f>[1]技能设计!$I$42</f>
        <v>0</v>
      </c>
      <c r="F7">
        <v>3</v>
      </c>
      <c r="G7">
        <v>3</v>
      </c>
      <c r="H7">
        <f>[1]技能设计!$AR$42</f>
        <v>0</v>
      </c>
    </row>
    <row r="8" spans="1:8" x14ac:dyDescent="0.15">
      <c r="A8" t="str">
        <f>[1]法宝人物匹配!$C$1</f>
        <v>F_Jiuhuanxizhang</v>
      </c>
      <c r="B8" t="str">
        <f>[1]技能设计!$F$43</f>
        <v>九环佛阵</v>
      </c>
      <c r="C8">
        <f>[1]技能设计!$G$43</f>
        <v>7</v>
      </c>
      <c r="D8">
        <f>[1]技能设计!$H$43</f>
        <v>0</v>
      </c>
      <c r="E8">
        <f>[1]技能设计!$I$43</f>
        <v>0</v>
      </c>
      <c r="F8">
        <v>3</v>
      </c>
      <c r="G8">
        <v>3</v>
      </c>
      <c r="H8">
        <f>[1]技能设计!$AR$43</f>
        <v>0</v>
      </c>
    </row>
    <row r="9" spans="1:8" x14ac:dyDescent="0.15">
      <c r="A9" t="str">
        <f>[1]法宝人物匹配!$C$1</f>
        <v>F_Jiuhuanxizhang</v>
      </c>
      <c r="B9" t="str">
        <f>[1]技能设计!$F$44</f>
        <v>九环佛阵</v>
      </c>
      <c r="C9">
        <f>[1]技能设计!$G$44</f>
        <v>8</v>
      </c>
      <c r="D9">
        <f>[1]技能设计!$H$44</f>
        <v>0</v>
      </c>
      <c r="E9">
        <f>[1]技能设计!$I$44</f>
        <v>0</v>
      </c>
      <c r="F9">
        <v>3</v>
      </c>
      <c r="G9">
        <v>3</v>
      </c>
      <c r="H9">
        <f>[1]技能设计!$AR$44</f>
        <v>0</v>
      </c>
    </row>
    <row r="10" spans="1:8" x14ac:dyDescent="0.15">
      <c r="A10" t="str">
        <f>[1]法宝人物匹配!$C$1</f>
        <v>F_Jiuhuanxizhang</v>
      </c>
      <c r="B10" t="str">
        <f>[1]技能设计!$F$45</f>
        <v>九环佛阵</v>
      </c>
      <c r="C10">
        <f>[1]技能设计!$G$45</f>
        <v>9</v>
      </c>
      <c r="D10">
        <f>[1]技能设计!$H$45</f>
        <v>0</v>
      </c>
      <c r="E10">
        <f>[1]技能设计!$I$45</f>
        <v>0</v>
      </c>
      <c r="F10">
        <v>3</v>
      </c>
      <c r="G10">
        <v>3</v>
      </c>
      <c r="H10">
        <f>[1]技能设计!$AR$45</f>
        <v>0</v>
      </c>
    </row>
    <row r="11" spans="1:8" x14ac:dyDescent="0.15">
      <c r="A11" t="str">
        <f>[1]法宝人物匹配!$C$1</f>
        <v>F_Jiuhuanxizhang</v>
      </c>
      <c r="B11" t="str">
        <f>[1]技能设计!$F$46</f>
        <v>九环佛阵</v>
      </c>
      <c r="C11">
        <f>[1]技能设计!$G$46</f>
        <v>10</v>
      </c>
      <c r="D11">
        <f>[1]技能设计!$H$46</f>
        <v>0</v>
      </c>
      <c r="E11">
        <f>[1]技能设计!$I$46</f>
        <v>0</v>
      </c>
      <c r="F11">
        <v>3</v>
      </c>
      <c r="G11">
        <v>3</v>
      </c>
      <c r="H11">
        <f>[1]技能设计!$AR$46</f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I11"/>
  <sheetViews>
    <sheetView workbookViewId="0">
      <selection activeCell="A3" sqref="A3:A11"/>
    </sheetView>
  </sheetViews>
  <sheetFormatPr defaultRowHeight="13.5" x14ac:dyDescent="0.15"/>
  <sheetData>
    <row r="1" spans="1:9" x14ac:dyDescent="0.15">
      <c r="A1" t="s">
        <v>4</v>
      </c>
      <c r="B1" t="s">
        <v>2</v>
      </c>
      <c r="C1" t="s">
        <v>0</v>
      </c>
      <c r="D1" t="s">
        <v>3</v>
      </c>
      <c r="E1" t="s">
        <v>13</v>
      </c>
      <c r="F1" t="s">
        <v>8</v>
      </c>
      <c r="G1" t="s">
        <v>7</v>
      </c>
      <c r="H1" t="str">
        <f>[1]技能设计!$L$1</f>
        <v>Juqi</v>
      </c>
      <c r="I1" t="str">
        <f>[1]技能设计!$W$1</f>
        <v>FangyuBuff</v>
      </c>
    </row>
    <row r="2" spans="1:9" x14ac:dyDescent="0.15">
      <c r="A2" t="str">
        <f>[1]法宝人物匹配!$D$1</f>
        <v>F_Jinnanjiasha</v>
      </c>
      <c r="B2" t="str">
        <f>[1]技能设计!$F$48</f>
        <v>袈裟护体</v>
      </c>
      <c r="C2">
        <f>[1]技能设计!$G$48</f>
        <v>1</v>
      </c>
      <c r="D2">
        <f>[1]技能设计!$H$48</f>
        <v>1</v>
      </c>
      <c r="E2" t="str">
        <f>[1]技能设计!$I$48</f>
        <v>Juqi</v>
      </c>
      <c r="F2">
        <v>3</v>
      </c>
      <c r="G2">
        <v>3</v>
      </c>
      <c r="H2">
        <f>[1]技能设计!$L$48</f>
        <v>25</v>
      </c>
      <c r="I2">
        <f>[1]技能设计!$W$48</f>
        <v>3</v>
      </c>
    </row>
    <row r="3" spans="1:9" x14ac:dyDescent="0.15">
      <c r="A3" t="str">
        <f>[1]法宝人物匹配!$D$1</f>
        <v>F_Jinnanjiasha</v>
      </c>
      <c r="B3" t="str">
        <f>[1]技能设计!$F$49</f>
        <v>袈裟护体</v>
      </c>
      <c r="C3">
        <f>[1]技能设计!$G$49</f>
        <v>2</v>
      </c>
      <c r="D3">
        <f>[1]技能设计!$H$49</f>
        <v>2</v>
      </c>
      <c r="E3" t="str">
        <f>[1]技能设计!$I$49</f>
        <v>Juqi</v>
      </c>
      <c r="F3">
        <v>3</v>
      </c>
      <c r="G3">
        <v>3</v>
      </c>
      <c r="H3">
        <f>[1]技能设计!$L$49</f>
        <v>82</v>
      </c>
      <c r="I3">
        <f>[1]技能设计!$W$49</f>
        <v>20</v>
      </c>
    </row>
    <row r="4" spans="1:9" x14ac:dyDescent="0.15">
      <c r="A4" t="str">
        <f>[1]法宝人物匹配!$D$1</f>
        <v>F_Jinnanjiasha</v>
      </c>
      <c r="B4" t="str">
        <f>[1]技能设计!$F$50</f>
        <v>袈裟护体</v>
      </c>
      <c r="C4">
        <f>[1]技能设计!$G$50</f>
        <v>3</v>
      </c>
      <c r="D4">
        <f>[1]技能设计!$H$50</f>
        <v>0</v>
      </c>
      <c r="E4">
        <f>[1]技能设计!$I$50</f>
        <v>0</v>
      </c>
      <c r="F4">
        <v>3</v>
      </c>
      <c r="G4">
        <v>3</v>
      </c>
      <c r="H4">
        <f>[1]技能设计!$L$50</f>
        <v>0</v>
      </c>
      <c r="I4">
        <f>[1]技能设计!$W$50</f>
        <v>0</v>
      </c>
    </row>
    <row r="5" spans="1:9" x14ac:dyDescent="0.15">
      <c r="A5" t="str">
        <f>[1]法宝人物匹配!$D$1</f>
        <v>F_Jinnanjiasha</v>
      </c>
      <c r="B5" t="str">
        <f>[1]技能设计!$F$51</f>
        <v>袈裟护体</v>
      </c>
      <c r="C5">
        <f>[1]技能设计!$G$51</f>
        <v>4</v>
      </c>
      <c r="D5">
        <f>[1]技能设计!$H$51</f>
        <v>0</v>
      </c>
      <c r="E5">
        <f>[1]技能设计!$I$51</f>
        <v>0</v>
      </c>
      <c r="F5">
        <v>3</v>
      </c>
      <c r="G5">
        <v>3</v>
      </c>
      <c r="H5">
        <f>[1]技能设计!$L$51</f>
        <v>0</v>
      </c>
      <c r="I5">
        <f>[1]技能设计!$W$51</f>
        <v>0</v>
      </c>
    </row>
    <row r="6" spans="1:9" x14ac:dyDescent="0.15">
      <c r="A6" t="str">
        <f>[1]法宝人物匹配!$D$1</f>
        <v>F_Jinnanjiasha</v>
      </c>
      <c r="B6" t="str">
        <f>[1]技能设计!$F$52</f>
        <v>袈裟护体</v>
      </c>
      <c r="C6">
        <f>[1]技能设计!$G$52</f>
        <v>5</v>
      </c>
      <c r="D6">
        <f>[1]技能设计!$H$52</f>
        <v>0</v>
      </c>
      <c r="E6">
        <f>[1]技能设计!$I$52</f>
        <v>0</v>
      </c>
      <c r="F6">
        <v>3</v>
      </c>
      <c r="G6">
        <v>3</v>
      </c>
      <c r="H6">
        <f>[1]技能设计!$L$52</f>
        <v>0</v>
      </c>
      <c r="I6">
        <f>[1]技能设计!$W$52</f>
        <v>0</v>
      </c>
    </row>
    <row r="7" spans="1:9" x14ac:dyDescent="0.15">
      <c r="A7" t="str">
        <f>[1]法宝人物匹配!$D$1</f>
        <v>F_Jinnanjiasha</v>
      </c>
      <c r="B7" t="str">
        <f>[1]技能设计!$F$53</f>
        <v>观音护体</v>
      </c>
      <c r="C7">
        <f>[1]技能设计!$G$53</f>
        <v>6</v>
      </c>
      <c r="D7">
        <f>[1]技能设计!$H$53</f>
        <v>0</v>
      </c>
      <c r="E7">
        <f>[1]技能设计!$I$53</f>
        <v>0</v>
      </c>
      <c r="F7">
        <v>3</v>
      </c>
      <c r="G7">
        <v>3</v>
      </c>
      <c r="H7">
        <f>[1]技能设计!$L$53</f>
        <v>0</v>
      </c>
      <c r="I7">
        <f>[1]技能设计!$W$53</f>
        <v>0</v>
      </c>
    </row>
    <row r="8" spans="1:9" x14ac:dyDescent="0.15">
      <c r="A8" t="str">
        <f>[1]法宝人物匹配!$D$1</f>
        <v>F_Jinnanjiasha</v>
      </c>
      <c r="B8" t="str">
        <f>[1]技能设计!$F$54</f>
        <v>观音护体</v>
      </c>
      <c r="C8">
        <f>[1]技能设计!$G$54</f>
        <v>7</v>
      </c>
      <c r="D8">
        <f>[1]技能设计!$H$54</f>
        <v>0</v>
      </c>
      <c r="E8">
        <f>[1]技能设计!$I$54</f>
        <v>0</v>
      </c>
      <c r="F8">
        <v>3</v>
      </c>
      <c r="G8">
        <v>3</v>
      </c>
      <c r="H8">
        <f>[1]技能设计!$L$54</f>
        <v>0</v>
      </c>
      <c r="I8">
        <f>[1]技能设计!$W$54</f>
        <v>0</v>
      </c>
    </row>
    <row r="9" spans="1:9" x14ac:dyDescent="0.15">
      <c r="A9" t="str">
        <f>[1]法宝人物匹配!$D$1</f>
        <v>F_Jinnanjiasha</v>
      </c>
      <c r="B9" t="str">
        <f>[1]技能设计!$F$55</f>
        <v>观音护体</v>
      </c>
      <c r="C9">
        <f>[1]技能设计!$G$55</f>
        <v>8</v>
      </c>
      <c r="D9">
        <f>[1]技能设计!$H$55</f>
        <v>0</v>
      </c>
      <c r="E9">
        <f>[1]技能设计!$I$55</f>
        <v>0</v>
      </c>
      <c r="F9">
        <v>3</v>
      </c>
      <c r="G9">
        <v>3</v>
      </c>
      <c r="H9">
        <f>[1]技能设计!$L$55</f>
        <v>0</v>
      </c>
      <c r="I9">
        <f>[1]技能设计!$W$55</f>
        <v>0</v>
      </c>
    </row>
    <row r="10" spans="1:9" x14ac:dyDescent="0.15">
      <c r="A10" t="str">
        <f>[1]法宝人物匹配!$D$1</f>
        <v>F_Jinnanjiasha</v>
      </c>
      <c r="B10" t="str">
        <f>[1]技能设计!$F$56</f>
        <v>观音护体</v>
      </c>
      <c r="C10">
        <f>[1]技能设计!$G$56</f>
        <v>9</v>
      </c>
      <c r="D10">
        <f>[1]技能设计!$H$56</f>
        <v>0</v>
      </c>
      <c r="E10">
        <f>[1]技能设计!$I$56</f>
        <v>0</v>
      </c>
      <c r="F10">
        <v>3</v>
      </c>
      <c r="G10">
        <v>3</v>
      </c>
      <c r="H10">
        <f>[1]技能设计!$L$56</f>
        <v>0</v>
      </c>
      <c r="I10">
        <f>[1]技能设计!$W$56</f>
        <v>0</v>
      </c>
    </row>
    <row r="11" spans="1:9" x14ac:dyDescent="0.15">
      <c r="A11" t="str">
        <f>[1]法宝人物匹配!$D$1</f>
        <v>F_Jinnanjiasha</v>
      </c>
      <c r="B11" t="str">
        <f>[1]技能设计!$F$57</f>
        <v>观音护体</v>
      </c>
      <c r="C11">
        <f>[1]技能设计!$G$57</f>
        <v>10</v>
      </c>
      <c r="D11">
        <f>[1]技能设计!$H$57</f>
        <v>0</v>
      </c>
      <c r="E11">
        <f>[1]技能设计!$I$57</f>
        <v>0</v>
      </c>
      <c r="F11">
        <v>3</v>
      </c>
      <c r="G11">
        <v>3</v>
      </c>
      <c r="H11">
        <f>[1]技能设计!$L$57</f>
        <v>0</v>
      </c>
      <c r="I11">
        <f>[1]技能设计!$W$57</f>
        <v>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I11"/>
  <sheetViews>
    <sheetView workbookViewId="0">
      <selection activeCell="A3" sqref="A3:A11"/>
    </sheetView>
  </sheetViews>
  <sheetFormatPr defaultRowHeight="13.5" x14ac:dyDescent="0.15"/>
  <sheetData>
    <row r="1" spans="1:9" x14ac:dyDescent="0.15">
      <c r="A1" t="s">
        <v>4</v>
      </c>
      <c r="B1" t="s">
        <v>2</v>
      </c>
      <c r="C1" t="s">
        <v>0</v>
      </c>
      <c r="D1" t="s">
        <v>3</v>
      </c>
      <c r="E1" t="s">
        <v>13</v>
      </c>
      <c r="F1" t="s">
        <v>8</v>
      </c>
      <c r="G1" t="s">
        <v>7</v>
      </c>
      <c r="H1" t="str">
        <f>[1]技能设计!$N$1</f>
        <v>Fanshi</v>
      </c>
      <c r="I1" t="str">
        <f>[1]技能设计!$AF$1</f>
        <v>GongjiDebuff</v>
      </c>
    </row>
    <row r="2" spans="1:9" x14ac:dyDescent="0.15">
      <c r="A2" t="str">
        <f>[1]法宝人物匹配!$E$1</f>
        <v>F_Jinguzhou</v>
      </c>
      <c r="B2" t="str">
        <f>[1]技能设计!$F$59</f>
        <v>金箍</v>
      </c>
      <c r="C2">
        <f>[1]技能设计!$G$59</f>
        <v>1</v>
      </c>
      <c r="D2">
        <f>[1]技能设计!$H$59</f>
        <v>1</v>
      </c>
      <c r="E2" t="str">
        <f>[1]技能设计!$I$59</f>
        <v>Fanshi</v>
      </c>
      <c r="F2">
        <v>3</v>
      </c>
      <c r="G2">
        <v>3</v>
      </c>
      <c r="H2">
        <f>[1]技能设计!$N$59</f>
        <v>31</v>
      </c>
      <c r="I2">
        <f>[1]技能设计!$AF$59</f>
        <v>-2</v>
      </c>
    </row>
    <row r="3" spans="1:9" x14ac:dyDescent="0.15">
      <c r="A3" t="str">
        <f>[1]法宝人物匹配!$E$1</f>
        <v>F_Jinguzhou</v>
      </c>
      <c r="B3" t="str">
        <f>[1]技能设计!$F$60</f>
        <v>金箍</v>
      </c>
      <c r="C3">
        <f>[1]技能设计!$G$60</f>
        <v>2</v>
      </c>
      <c r="D3">
        <f>[1]技能设计!$H$60</f>
        <v>2</v>
      </c>
      <c r="E3" t="str">
        <f>[1]技能设计!$I$60</f>
        <v>Fanshi</v>
      </c>
      <c r="F3">
        <v>3</v>
      </c>
      <c r="G3">
        <v>3</v>
      </c>
      <c r="H3">
        <f>[1]技能设计!$N$60</f>
        <v>142</v>
      </c>
      <c r="I3">
        <f>[1]技能设计!$AF$60</f>
        <v>-10</v>
      </c>
    </row>
    <row r="4" spans="1:9" x14ac:dyDescent="0.15">
      <c r="A4" t="str">
        <f>[1]法宝人物匹配!$E$1</f>
        <v>F_Jinguzhou</v>
      </c>
      <c r="B4" t="str">
        <f>[1]技能设计!$F$61</f>
        <v>金箍</v>
      </c>
      <c r="C4">
        <f>[1]技能设计!$G$61</f>
        <v>3</v>
      </c>
      <c r="D4">
        <f>[1]技能设计!$H$61</f>
        <v>0</v>
      </c>
      <c r="E4">
        <f>[1]技能设计!$I$61</f>
        <v>0</v>
      </c>
      <c r="F4">
        <v>3</v>
      </c>
      <c r="G4">
        <v>3</v>
      </c>
      <c r="H4">
        <f>[1]技能设计!$N$61</f>
        <v>0</v>
      </c>
      <c r="I4">
        <f>[1]技能设计!$AF$61</f>
        <v>0</v>
      </c>
    </row>
    <row r="5" spans="1:9" x14ac:dyDescent="0.15">
      <c r="A5" t="str">
        <f>[1]法宝人物匹配!$E$1</f>
        <v>F_Jinguzhou</v>
      </c>
      <c r="B5" t="str">
        <f>[1]技能设计!$F$62</f>
        <v>金箍</v>
      </c>
      <c r="C5">
        <f>[1]技能设计!$G$62</f>
        <v>4</v>
      </c>
      <c r="D5">
        <f>[1]技能设计!$H$62</f>
        <v>0</v>
      </c>
      <c r="E5">
        <f>[1]技能设计!$I$62</f>
        <v>0</v>
      </c>
      <c r="F5">
        <v>3</v>
      </c>
      <c r="G5">
        <v>3</v>
      </c>
      <c r="H5">
        <f>[1]技能设计!$N$62</f>
        <v>0</v>
      </c>
      <c r="I5">
        <f>[1]技能设计!$AF$62</f>
        <v>0</v>
      </c>
    </row>
    <row r="6" spans="1:9" x14ac:dyDescent="0.15">
      <c r="A6" t="str">
        <f>[1]法宝人物匹配!$E$1</f>
        <v>F_Jinguzhou</v>
      </c>
      <c r="B6" t="str">
        <f>[1]技能设计!$F$63</f>
        <v>金箍</v>
      </c>
      <c r="C6">
        <f>[1]技能设计!$G$63</f>
        <v>5</v>
      </c>
      <c r="D6">
        <f>[1]技能设计!$H$63</f>
        <v>0</v>
      </c>
      <c r="E6">
        <f>[1]技能设计!$I$63</f>
        <v>0</v>
      </c>
      <c r="F6">
        <v>3</v>
      </c>
      <c r="G6">
        <v>3</v>
      </c>
      <c r="H6">
        <f>[1]技能设计!$N$63</f>
        <v>0</v>
      </c>
      <c r="I6">
        <f>[1]技能设计!$AF$63</f>
        <v>0</v>
      </c>
    </row>
    <row r="7" spans="1:9" x14ac:dyDescent="0.15">
      <c r="A7" t="str">
        <f>[1]法宝人物匹配!$E$1</f>
        <v>F_Jinguzhou</v>
      </c>
      <c r="B7" t="str">
        <f>[1]技能设计!$F$64</f>
        <v>紧箍</v>
      </c>
      <c r="C7">
        <f>[1]技能设计!$G$64</f>
        <v>6</v>
      </c>
      <c r="D7">
        <f>[1]技能设计!$H$64</f>
        <v>0</v>
      </c>
      <c r="E7">
        <f>[1]技能设计!$I$64</f>
        <v>0</v>
      </c>
      <c r="F7">
        <v>3</v>
      </c>
      <c r="G7">
        <v>3</v>
      </c>
      <c r="H7">
        <f>[1]技能设计!$N$64</f>
        <v>0</v>
      </c>
      <c r="I7">
        <f>[1]技能设计!$AF$64</f>
        <v>0</v>
      </c>
    </row>
    <row r="8" spans="1:9" x14ac:dyDescent="0.15">
      <c r="A8" t="str">
        <f>[1]法宝人物匹配!$E$1</f>
        <v>F_Jinguzhou</v>
      </c>
      <c r="B8" t="str">
        <f>[1]技能设计!$F$65</f>
        <v>紧箍</v>
      </c>
      <c r="C8">
        <f>[1]技能设计!$G$65</f>
        <v>7</v>
      </c>
      <c r="D8">
        <f>[1]技能设计!$H$65</f>
        <v>0</v>
      </c>
      <c r="E8">
        <f>[1]技能设计!$I$65</f>
        <v>0</v>
      </c>
      <c r="F8">
        <v>3</v>
      </c>
      <c r="G8">
        <v>3</v>
      </c>
      <c r="H8">
        <f>[1]技能设计!$N$65</f>
        <v>0</v>
      </c>
      <c r="I8">
        <f>[1]技能设计!$AF$65</f>
        <v>0</v>
      </c>
    </row>
    <row r="9" spans="1:9" x14ac:dyDescent="0.15">
      <c r="A9" t="str">
        <f>[1]法宝人物匹配!$E$1</f>
        <v>F_Jinguzhou</v>
      </c>
      <c r="B9" t="str">
        <f>[1]技能设计!$F$66</f>
        <v>紧箍</v>
      </c>
      <c r="C9">
        <f>[1]技能设计!$G$66</f>
        <v>8</v>
      </c>
      <c r="D9">
        <f>[1]技能设计!$H$66</f>
        <v>0</v>
      </c>
      <c r="E9">
        <f>[1]技能设计!$I$66</f>
        <v>0</v>
      </c>
      <c r="F9">
        <v>3</v>
      </c>
      <c r="G9">
        <v>3</v>
      </c>
      <c r="H9">
        <f>[1]技能设计!$N$66</f>
        <v>0</v>
      </c>
      <c r="I9">
        <f>[1]技能设计!$AF$66</f>
        <v>0</v>
      </c>
    </row>
    <row r="10" spans="1:9" x14ac:dyDescent="0.15">
      <c r="A10" t="str">
        <f>[1]法宝人物匹配!$E$1</f>
        <v>F_Jinguzhou</v>
      </c>
      <c r="B10" t="str">
        <f>[1]技能设计!$F$67</f>
        <v>禁箍</v>
      </c>
      <c r="C10">
        <f>[1]技能设计!$G$67</f>
        <v>9</v>
      </c>
      <c r="D10">
        <f>[1]技能设计!$H$67</f>
        <v>0</v>
      </c>
      <c r="E10">
        <f>[1]技能设计!$I$67</f>
        <v>0</v>
      </c>
      <c r="F10">
        <v>3</v>
      </c>
      <c r="G10">
        <v>3</v>
      </c>
      <c r="H10">
        <f>[1]技能设计!$N$67</f>
        <v>0</v>
      </c>
      <c r="I10">
        <f>[1]技能设计!$AF$67</f>
        <v>0</v>
      </c>
    </row>
    <row r="11" spans="1:9" x14ac:dyDescent="0.15">
      <c r="A11" t="str">
        <f>[1]法宝人物匹配!$E$1</f>
        <v>F_Jinguzhou</v>
      </c>
      <c r="B11" t="str">
        <f>[1]技能设计!$F$68</f>
        <v>禁箍</v>
      </c>
      <c r="C11">
        <f>[1]技能设计!$G$68</f>
        <v>10</v>
      </c>
      <c r="D11">
        <f>[1]技能设计!$H$68</f>
        <v>0</v>
      </c>
      <c r="E11">
        <f>[1]技能设计!$I$68</f>
        <v>0</v>
      </c>
      <c r="F11">
        <v>3</v>
      </c>
      <c r="G11">
        <v>3</v>
      </c>
      <c r="H11">
        <f>[1]技能设计!$N$68</f>
        <v>0</v>
      </c>
      <c r="I11">
        <f>[1]技能设计!$AF$68</f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C10" sqref="C10"/>
    </sheetView>
  </sheetViews>
  <sheetFormatPr defaultRowHeight="13.5" x14ac:dyDescent="0.15"/>
  <sheetData>
    <row r="1" spans="1:8" x14ac:dyDescent="0.15">
      <c r="A1" t="s">
        <v>4</v>
      </c>
      <c r="B1" t="s">
        <v>2</v>
      </c>
      <c r="C1" t="s">
        <v>0</v>
      </c>
      <c r="D1" t="s">
        <v>3</v>
      </c>
      <c r="E1" t="s">
        <v>11</v>
      </c>
      <c r="F1" t="s">
        <v>8</v>
      </c>
      <c r="G1" t="s">
        <v>7</v>
      </c>
      <c r="H1" t="str">
        <f>[1]技能设计!$J$1</f>
        <v>Gongji</v>
      </c>
    </row>
    <row r="2" spans="1:8" x14ac:dyDescent="0.15">
      <c r="A2" t="str">
        <f>[1]法宝人物匹配!$F$1</f>
        <v>F_Jingubang</v>
      </c>
      <c r="B2" t="str">
        <f>[1]技能设计!$F$70</f>
        <v>乱棒打</v>
      </c>
      <c r="C2">
        <f>[1]技能设计!$G$70</f>
        <v>1</v>
      </c>
      <c r="D2">
        <f>[1]技能设计!$H$70</f>
        <v>1</v>
      </c>
      <c r="E2" t="str">
        <f>[1]技能设计!$I$70</f>
        <v>Gongji</v>
      </c>
      <c r="F2">
        <v>3</v>
      </c>
      <c r="G2">
        <v>3</v>
      </c>
      <c r="H2">
        <f ca="1">[1]技能设计!$J$70</f>
        <v>43</v>
      </c>
    </row>
    <row r="3" spans="1:8" x14ac:dyDescent="0.15">
      <c r="A3" t="str">
        <f>[1]法宝人物匹配!$F$1</f>
        <v>F_Jingubang</v>
      </c>
      <c r="B3" t="str">
        <f>[1]技能设计!$F$71</f>
        <v>乱棒打</v>
      </c>
      <c r="C3">
        <f>[1]技能设计!$G$71</f>
        <v>2</v>
      </c>
      <c r="D3">
        <f>[1]技能设计!$H$71</f>
        <v>2</v>
      </c>
      <c r="E3" t="str">
        <f>[1]技能设计!$I$71</f>
        <v>Gongji</v>
      </c>
      <c r="F3">
        <v>3</v>
      </c>
      <c r="G3">
        <v>3</v>
      </c>
      <c r="H3">
        <f ca="1">[1]技能设计!$J$71</f>
        <v>202</v>
      </c>
    </row>
    <row r="4" spans="1:8" x14ac:dyDescent="0.15">
      <c r="A4" t="str">
        <f>[1]法宝人物匹配!$F$1</f>
        <v>F_Jingubang</v>
      </c>
      <c r="B4" t="str">
        <f>[1]技能设计!$F$72</f>
        <v>乱棒打</v>
      </c>
      <c r="C4">
        <f>[1]技能设计!$G$72</f>
        <v>3</v>
      </c>
      <c r="D4">
        <f>[1]技能设计!$H$72</f>
        <v>3</v>
      </c>
      <c r="E4" t="str">
        <f>[1]技能设计!$I$72</f>
        <v>Gongji</v>
      </c>
      <c r="F4">
        <v>3</v>
      </c>
      <c r="G4">
        <v>3</v>
      </c>
      <c r="H4">
        <f ca="1">[1]技能设计!$J$72</f>
        <v>533</v>
      </c>
    </row>
    <row r="5" spans="1:8" x14ac:dyDescent="0.15">
      <c r="A5" t="str">
        <f>[1]法宝人物匹配!$F$1</f>
        <v>F_Jingubang</v>
      </c>
      <c r="B5" t="str">
        <f>[1]技能设计!$F$73</f>
        <v>乱棒打</v>
      </c>
      <c r="C5">
        <f>[1]技能设计!$G$73</f>
        <v>4</v>
      </c>
      <c r="D5">
        <f>[1]技能设计!$H$73</f>
        <v>5</v>
      </c>
      <c r="E5" t="str">
        <f>[1]技能设计!$I$73</f>
        <v>Gongji</v>
      </c>
      <c r="F5">
        <v>3</v>
      </c>
      <c r="G5">
        <v>3</v>
      </c>
      <c r="H5">
        <f ca="1">[1]技能设计!$J$73</f>
        <v>5060</v>
      </c>
    </row>
    <row r="6" spans="1:8" x14ac:dyDescent="0.15">
      <c r="A6" t="str">
        <f>[1]法宝人物匹配!$F$1</f>
        <v>F_Jingubang</v>
      </c>
      <c r="B6" t="str">
        <f>[1]技能设计!$F$74</f>
        <v>乱棒打</v>
      </c>
      <c r="C6">
        <f>[1]技能设计!$G$74</f>
        <v>5</v>
      </c>
      <c r="D6">
        <f>[1]技能设计!$H$74</f>
        <v>0</v>
      </c>
      <c r="E6">
        <f>[1]技能设计!$I$74</f>
        <v>0</v>
      </c>
      <c r="F6">
        <v>3</v>
      </c>
      <c r="G6">
        <v>3</v>
      </c>
      <c r="H6">
        <f>[1]技能设计!$J$74</f>
        <v>0</v>
      </c>
    </row>
    <row r="7" spans="1:8" x14ac:dyDescent="0.15">
      <c r="A7" t="str">
        <f>[1]法宝人物匹配!$F$1</f>
        <v>F_Jingubang</v>
      </c>
      <c r="B7" t="str">
        <f>[1]技能设计!$F$75</f>
        <v>万棍打</v>
      </c>
      <c r="C7">
        <f>[1]技能设计!$G$75</f>
        <v>6</v>
      </c>
      <c r="D7">
        <f>[1]技能设计!$H$75</f>
        <v>0</v>
      </c>
      <c r="E7">
        <f>[1]技能设计!$I$75</f>
        <v>0</v>
      </c>
      <c r="F7">
        <v>3</v>
      </c>
      <c r="G7">
        <v>3</v>
      </c>
      <c r="H7">
        <f>[1]技能设计!$J$75</f>
        <v>0</v>
      </c>
    </row>
    <row r="8" spans="1:8" x14ac:dyDescent="0.15">
      <c r="A8" t="str">
        <f>[1]法宝人物匹配!$F$1</f>
        <v>F_Jingubang</v>
      </c>
      <c r="B8" t="str">
        <f>[1]技能设计!$F$76</f>
        <v>万棍打</v>
      </c>
      <c r="C8">
        <f>[1]技能设计!$G$76</f>
        <v>7</v>
      </c>
      <c r="D8">
        <f>[1]技能设计!$H$76</f>
        <v>0</v>
      </c>
      <c r="E8">
        <f>[1]技能设计!$I$76</f>
        <v>0</v>
      </c>
      <c r="F8">
        <v>3</v>
      </c>
      <c r="G8">
        <v>3</v>
      </c>
      <c r="H8">
        <f>[1]技能设计!$J$76</f>
        <v>0</v>
      </c>
    </row>
    <row r="9" spans="1:8" x14ac:dyDescent="0.15">
      <c r="A9" t="str">
        <f>[1]法宝人物匹配!$F$1</f>
        <v>F_Jingubang</v>
      </c>
      <c r="B9" t="str">
        <f>[1]技能设计!$F$77</f>
        <v>万棍打</v>
      </c>
      <c r="C9">
        <f>[1]技能设计!$G$77</f>
        <v>8</v>
      </c>
      <c r="D9">
        <f>[1]技能设计!$H$77</f>
        <v>0</v>
      </c>
      <c r="E9">
        <f>[1]技能设计!$I$77</f>
        <v>0</v>
      </c>
      <c r="F9">
        <v>3</v>
      </c>
      <c r="G9">
        <v>3</v>
      </c>
      <c r="H9">
        <f>[1]技能设计!$J$77</f>
        <v>0</v>
      </c>
    </row>
    <row r="10" spans="1:8" x14ac:dyDescent="0.15">
      <c r="A10" t="str">
        <f>[1]法宝人物匹配!$F$1</f>
        <v>F_Jingubang</v>
      </c>
      <c r="B10" t="str">
        <f>[1]技能设计!$F$78</f>
        <v>万棍打</v>
      </c>
      <c r="C10">
        <f>[1]技能设计!$G$78</f>
        <v>9</v>
      </c>
      <c r="D10">
        <f>[1]技能设计!$H$78</f>
        <v>0</v>
      </c>
      <c r="E10">
        <f>[1]技能设计!$I$78</f>
        <v>0</v>
      </c>
      <c r="F10">
        <v>3</v>
      </c>
      <c r="G10">
        <v>3</v>
      </c>
      <c r="H10">
        <f>[1]技能设计!$J$78</f>
        <v>0</v>
      </c>
    </row>
    <row r="11" spans="1:8" x14ac:dyDescent="0.15">
      <c r="A11" t="str">
        <f>[1]法宝人物匹配!$F$1</f>
        <v>F_Jingubang</v>
      </c>
      <c r="B11" t="str">
        <f>[1]技能设计!$F$79</f>
        <v>万棍打</v>
      </c>
      <c r="C11">
        <f>[1]技能设计!$G$79</f>
        <v>10</v>
      </c>
      <c r="D11">
        <f>[1]技能设计!$H$79</f>
        <v>0</v>
      </c>
      <c r="E11">
        <f>[1]技能设计!$I$79</f>
        <v>0</v>
      </c>
      <c r="F11">
        <v>3</v>
      </c>
      <c r="G11">
        <v>3</v>
      </c>
      <c r="H11">
        <f>[1]技能设计!$J$79</f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A3" sqref="A3:A11"/>
    </sheetView>
  </sheetViews>
  <sheetFormatPr defaultRowHeight="13.5" x14ac:dyDescent="0.15"/>
  <sheetData>
    <row r="1" spans="1:8" x14ac:dyDescent="0.15">
      <c r="A1" t="s">
        <v>4</v>
      </c>
      <c r="B1" t="s">
        <v>2</v>
      </c>
      <c r="C1" t="s">
        <v>0</v>
      </c>
      <c r="D1" t="s">
        <v>3</v>
      </c>
      <c r="E1" t="s">
        <v>13</v>
      </c>
      <c r="F1" t="s">
        <v>8</v>
      </c>
      <c r="G1" t="s">
        <v>7</v>
      </c>
      <c r="H1" t="str">
        <f>[1]技能设计!$AR$1</f>
        <v>Qungong</v>
      </c>
    </row>
    <row r="2" spans="1:8" x14ac:dyDescent="0.15">
      <c r="A2" t="str">
        <f>[1]法宝人物匹配!$F$1</f>
        <v>F_Jingubang</v>
      </c>
      <c r="B2" t="str">
        <f>[1]技能设计!$F$81</f>
        <v>千斤鼎</v>
      </c>
      <c r="C2">
        <f>[1]技能设计!$G$81</f>
        <v>1</v>
      </c>
      <c r="D2">
        <f>[1]技能设计!$H$81</f>
        <v>4</v>
      </c>
      <c r="E2" t="str">
        <f>[1]技能设计!$I$81</f>
        <v>Gongji</v>
      </c>
      <c r="F2">
        <v>3</v>
      </c>
      <c r="G2">
        <v>3</v>
      </c>
      <c r="H2">
        <f>[1]技能设计!$AR$81</f>
        <v>385</v>
      </c>
    </row>
    <row r="3" spans="1:8" x14ac:dyDescent="0.15">
      <c r="A3" t="str">
        <f>[1]法宝人物匹配!$F$1</f>
        <v>F_Jingubang</v>
      </c>
      <c r="B3" t="str">
        <f>[1]技能设计!$F$82</f>
        <v>千斤鼎</v>
      </c>
      <c r="C3">
        <f>[1]技能设计!$G$82</f>
        <v>2</v>
      </c>
      <c r="D3">
        <f>[1]技能设计!$H$82</f>
        <v>0</v>
      </c>
      <c r="E3">
        <f>[1]技能设计!$I$82</f>
        <v>0</v>
      </c>
      <c r="F3">
        <v>3</v>
      </c>
      <c r="G3">
        <v>3</v>
      </c>
      <c r="H3">
        <f>[1]技能设计!$AR$82</f>
        <v>0</v>
      </c>
    </row>
    <row r="4" spans="1:8" x14ac:dyDescent="0.15">
      <c r="A4" t="str">
        <f>[1]法宝人物匹配!$F$1</f>
        <v>F_Jingubang</v>
      </c>
      <c r="B4" t="str">
        <f>[1]技能设计!$F$83</f>
        <v>千斤鼎</v>
      </c>
      <c r="C4">
        <f>[1]技能设计!$G$83</f>
        <v>3</v>
      </c>
      <c r="D4">
        <f>[1]技能设计!$H$83</f>
        <v>0</v>
      </c>
      <c r="E4">
        <f>[1]技能设计!$I$83</f>
        <v>0</v>
      </c>
      <c r="F4">
        <v>3</v>
      </c>
      <c r="G4">
        <v>3</v>
      </c>
      <c r="H4">
        <f>[1]技能设计!$AR$83</f>
        <v>0</v>
      </c>
    </row>
    <row r="5" spans="1:8" x14ac:dyDescent="0.15">
      <c r="A5" t="str">
        <f>[1]法宝人物匹配!$F$1</f>
        <v>F_Jingubang</v>
      </c>
      <c r="B5" t="str">
        <f>[1]技能设计!$F$84</f>
        <v>千斤鼎</v>
      </c>
      <c r="C5">
        <f>[1]技能设计!$G$84</f>
        <v>4</v>
      </c>
      <c r="D5">
        <f>[1]技能设计!$H$84</f>
        <v>0</v>
      </c>
      <c r="E5">
        <f>[1]技能设计!$I$84</f>
        <v>0</v>
      </c>
      <c r="F5">
        <v>3</v>
      </c>
      <c r="G5">
        <v>3</v>
      </c>
      <c r="H5">
        <f>[1]技能设计!$AR$84</f>
        <v>0</v>
      </c>
    </row>
    <row r="6" spans="1:8" x14ac:dyDescent="0.15">
      <c r="A6" t="str">
        <f>[1]法宝人物匹配!$F$1</f>
        <v>F_Jingubang</v>
      </c>
      <c r="B6" t="str">
        <f>[1]技能设计!$F$85</f>
        <v>千斤鼎</v>
      </c>
      <c r="C6">
        <f>[1]技能设计!$G$85</f>
        <v>5</v>
      </c>
      <c r="D6">
        <f>[1]技能设计!$H$85</f>
        <v>0</v>
      </c>
      <c r="E6">
        <f>[1]技能设计!$I$85</f>
        <v>0</v>
      </c>
      <c r="F6">
        <v>3</v>
      </c>
      <c r="G6">
        <v>3</v>
      </c>
      <c r="H6">
        <f>[1]技能设计!$AR$85</f>
        <v>0</v>
      </c>
    </row>
    <row r="7" spans="1:8" x14ac:dyDescent="0.15">
      <c r="A7" t="str">
        <f>[1]法宝人物匹配!$F$1</f>
        <v>F_Jingubang</v>
      </c>
      <c r="B7" t="str">
        <f>[1]技能设计!$F$86</f>
        <v>定海神针</v>
      </c>
      <c r="C7">
        <f>[1]技能设计!$G$86</f>
        <v>6</v>
      </c>
      <c r="D7">
        <f>[1]技能设计!$H$86</f>
        <v>0</v>
      </c>
      <c r="E7">
        <f>[1]技能设计!$I$86</f>
        <v>0</v>
      </c>
      <c r="F7">
        <v>3</v>
      </c>
      <c r="G7">
        <v>3</v>
      </c>
      <c r="H7">
        <f>[1]技能设计!$AR$86</f>
        <v>0</v>
      </c>
    </row>
    <row r="8" spans="1:8" x14ac:dyDescent="0.15">
      <c r="A8" t="str">
        <f>[1]法宝人物匹配!$F$1</f>
        <v>F_Jingubang</v>
      </c>
      <c r="B8" t="str">
        <f>[1]技能设计!$F$87</f>
        <v>定海神针</v>
      </c>
      <c r="C8">
        <f>[1]技能设计!$G$87</f>
        <v>7</v>
      </c>
      <c r="D8">
        <f>[1]技能设计!$H$87</f>
        <v>0</v>
      </c>
      <c r="E8">
        <f>[1]技能设计!$I$87</f>
        <v>0</v>
      </c>
      <c r="F8">
        <v>3</v>
      </c>
      <c r="G8">
        <v>3</v>
      </c>
      <c r="H8">
        <f>[1]技能设计!$AR$87</f>
        <v>0</v>
      </c>
    </row>
    <row r="9" spans="1:8" x14ac:dyDescent="0.15">
      <c r="A9" t="str">
        <f>[1]法宝人物匹配!$F$1</f>
        <v>F_Jingubang</v>
      </c>
      <c r="B9" t="str">
        <f>[1]技能设计!$F$88</f>
        <v>定海神针</v>
      </c>
      <c r="C9">
        <f>[1]技能设计!$G$88</f>
        <v>8</v>
      </c>
      <c r="D9">
        <f>[1]技能设计!$H$88</f>
        <v>0</v>
      </c>
      <c r="E9">
        <f>[1]技能设计!$I$88</f>
        <v>0</v>
      </c>
      <c r="F9">
        <v>3</v>
      </c>
      <c r="G9">
        <v>3</v>
      </c>
      <c r="H9">
        <f>[1]技能设计!$AR$88</f>
        <v>0</v>
      </c>
    </row>
    <row r="10" spans="1:8" x14ac:dyDescent="0.15">
      <c r="A10" t="str">
        <f>[1]法宝人物匹配!$F$1</f>
        <v>F_Jingubang</v>
      </c>
      <c r="B10" t="str">
        <f>[1]技能设计!$F$89</f>
        <v>定海神针</v>
      </c>
      <c r="C10">
        <f>[1]技能设计!$G$89</f>
        <v>9</v>
      </c>
      <c r="D10">
        <f>[1]技能设计!$H$89</f>
        <v>0</v>
      </c>
      <c r="E10">
        <f>[1]技能设计!$I$89</f>
        <v>0</v>
      </c>
      <c r="F10">
        <v>3</v>
      </c>
      <c r="G10">
        <v>3</v>
      </c>
      <c r="H10">
        <f>[1]技能设计!$AR$89</f>
        <v>0</v>
      </c>
    </row>
    <row r="11" spans="1:8" x14ac:dyDescent="0.15">
      <c r="A11" t="str">
        <f>[1]法宝人物匹配!$F$1</f>
        <v>F_Jingubang</v>
      </c>
      <c r="B11" t="str">
        <f>[1]技能设计!$F$90</f>
        <v>定海神针</v>
      </c>
      <c r="C11">
        <f>[1]技能设计!$G$90</f>
        <v>10</v>
      </c>
      <c r="D11">
        <f>[1]技能设计!$H$90</f>
        <v>0</v>
      </c>
      <c r="E11">
        <f>[1]技能设计!$I$90</f>
        <v>0</v>
      </c>
      <c r="F11">
        <v>3</v>
      </c>
      <c r="G11">
        <v>3</v>
      </c>
      <c r="H11">
        <f>[1]技能设计!$AR$90</f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A3" sqref="A3:A11"/>
    </sheetView>
  </sheetViews>
  <sheetFormatPr defaultRowHeight="13.5" x14ac:dyDescent="0.15"/>
  <sheetData>
    <row r="1" spans="1:8" x14ac:dyDescent="0.15">
      <c r="A1" t="s">
        <v>4</v>
      </c>
      <c r="B1" t="s">
        <v>2</v>
      </c>
      <c r="C1" t="s">
        <v>0</v>
      </c>
      <c r="D1" t="s">
        <v>3</v>
      </c>
      <c r="E1" t="s">
        <v>12</v>
      </c>
      <c r="F1" t="s">
        <v>8</v>
      </c>
      <c r="G1" t="s">
        <v>7</v>
      </c>
      <c r="H1" t="str">
        <f>[1]技能设计!$J$1</f>
        <v>Gongji</v>
      </c>
    </row>
    <row r="2" spans="1:8" x14ac:dyDescent="0.15">
      <c r="A2" t="str">
        <f>[1]法宝人物匹配!$G$1</f>
        <v>F_Yulongyinqiang</v>
      </c>
      <c r="B2" t="str">
        <f>[1]技能设计!$F$92</f>
        <v>激突</v>
      </c>
      <c r="C2">
        <f>[1]技能设计!$G$92</f>
        <v>1</v>
      </c>
      <c r="D2">
        <f>[1]技能设计!$H$92</f>
        <v>1</v>
      </c>
      <c r="E2" t="str">
        <f>[1]技能设计!$I$92</f>
        <v>Gongji</v>
      </c>
      <c r="F2">
        <v>3</v>
      </c>
      <c r="G2">
        <v>3</v>
      </c>
      <c r="H2">
        <f ca="1">[1]技能设计!$J$92</f>
        <v>43</v>
      </c>
    </row>
    <row r="3" spans="1:8" x14ac:dyDescent="0.15">
      <c r="A3" t="str">
        <f>[1]法宝人物匹配!$G$1</f>
        <v>F_Yulongyinqiang</v>
      </c>
      <c r="B3" t="str">
        <f>[1]技能设计!$F$93</f>
        <v>激突</v>
      </c>
      <c r="C3">
        <f>[1]技能设计!$G$93</f>
        <v>2</v>
      </c>
      <c r="D3">
        <f>[1]技能设计!$H$93</f>
        <v>2</v>
      </c>
      <c r="E3" t="str">
        <f>[1]技能设计!$I$93</f>
        <v>Gongji</v>
      </c>
      <c r="F3">
        <v>3</v>
      </c>
      <c r="G3">
        <v>3</v>
      </c>
      <c r="H3">
        <f ca="1">[1]技能设计!$J$93</f>
        <v>202</v>
      </c>
    </row>
    <row r="4" spans="1:8" x14ac:dyDescent="0.15">
      <c r="A4" t="str">
        <f>[1]法宝人物匹配!$G$1</f>
        <v>F_Yulongyinqiang</v>
      </c>
      <c r="B4" t="str">
        <f>[1]技能设计!$F$94</f>
        <v>激突</v>
      </c>
      <c r="C4">
        <f>[1]技能设计!$G$94</f>
        <v>3</v>
      </c>
      <c r="D4">
        <f>[1]技能设计!$H$94</f>
        <v>0</v>
      </c>
      <c r="E4">
        <f>[1]技能设计!$I$94</f>
        <v>0</v>
      </c>
      <c r="F4">
        <v>3</v>
      </c>
      <c r="G4">
        <v>3</v>
      </c>
      <c r="H4">
        <f>[1]技能设计!$J$94</f>
        <v>0</v>
      </c>
    </row>
    <row r="5" spans="1:8" x14ac:dyDescent="0.15">
      <c r="A5" t="str">
        <f>[1]法宝人物匹配!$G$1</f>
        <v>F_Yulongyinqiang</v>
      </c>
      <c r="B5" t="str">
        <f>[1]技能设计!$F$95</f>
        <v>激突</v>
      </c>
      <c r="C5">
        <f>[1]技能设计!$G$95</f>
        <v>4</v>
      </c>
      <c r="D5">
        <f>[1]技能设计!$H$95</f>
        <v>0</v>
      </c>
      <c r="E5">
        <f>[1]技能设计!$I$95</f>
        <v>0</v>
      </c>
      <c r="F5">
        <v>3</v>
      </c>
      <c r="G5">
        <v>3</v>
      </c>
      <c r="H5">
        <f>[1]技能设计!$J$95</f>
        <v>0</v>
      </c>
    </row>
    <row r="6" spans="1:8" x14ac:dyDescent="0.15">
      <c r="A6" t="str">
        <f>[1]法宝人物匹配!$G$1</f>
        <v>F_Yulongyinqiang</v>
      </c>
      <c r="B6" t="str">
        <f>[1]技能设计!$F$96</f>
        <v>激突</v>
      </c>
      <c r="C6">
        <f>[1]技能设计!$G$96</f>
        <v>5</v>
      </c>
      <c r="D6">
        <f>[1]技能设计!$H$96</f>
        <v>0</v>
      </c>
      <c r="E6">
        <f>[1]技能设计!$I$96</f>
        <v>0</v>
      </c>
      <c r="F6">
        <v>3</v>
      </c>
      <c r="G6">
        <v>3</v>
      </c>
      <c r="H6">
        <f>[1]技能设计!$J$96</f>
        <v>0</v>
      </c>
    </row>
    <row r="7" spans="1:8" x14ac:dyDescent="0.15">
      <c r="A7" t="str">
        <f>[1]法宝人物匹配!$G$1</f>
        <v>F_Yulongyinqiang</v>
      </c>
      <c r="B7" t="str">
        <f>[1]技能设计!$F$97</f>
        <v>银枪乱舞</v>
      </c>
      <c r="C7">
        <f>[1]技能设计!$G$97</f>
        <v>6</v>
      </c>
      <c r="D7">
        <f>[1]技能设计!$H$97</f>
        <v>0</v>
      </c>
      <c r="E7">
        <f>[1]技能设计!$I$97</f>
        <v>0</v>
      </c>
      <c r="F7">
        <v>3</v>
      </c>
      <c r="G7">
        <v>3</v>
      </c>
      <c r="H7">
        <f>[1]技能设计!$J$97</f>
        <v>0</v>
      </c>
    </row>
    <row r="8" spans="1:8" x14ac:dyDescent="0.15">
      <c r="A8" t="str">
        <f>[1]法宝人物匹配!$G$1</f>
        <v>F_Yulongyinqiang</v>
      </c>
      <c r="B8" t="str">
        <f>[1]技能设计!$F$98</f>
        <v>银枪乱舞</v>
      </c>
      <c r="C8">
        <f>[1]技能设计!$G$98</f>
        <v>7</v>
      </c>
      <c r="D8">
        <f>[1]技能设计!$H$98</f>
        <v>0</v>
      </c>
      <c r="E8">
        <f>[1]技能设计!$I$98</f>
        <v>0</v>
      </c>
      <c r="F8">
        <v>3</v>
      </c>
      <c r="G8">
        <v>3</v>
      </c>
      <c r="H8">
        <f>[1]技能设计!$J$98</f>
        <v>0</v>
      </c>
    </row>
    <row r="9" spans="1:8" x14ac:dyDescent="0.15">
      <c r="A9" t="str">
        <f>[1]法宝人物匹配!$G$1</f>
        <v>F_Yulongyinqiang</v>
      </c>
      <c r="B9" t="str">
        <f>[1]技能设计!$F$99</f>
        <v>银枪乱舞</v>
      </c>
      <c r="C9">
        <f>[1]技能设计!$G$99</f>
        <v>8</v>
      </c>
      <c r="D9">
        <f>[1]技能设计!$H$99</f>
        <v>0</v>
      </c>
      <c r="E9">
        <f>[1]技能设计!$I$99</f>
        <v>0</v>
      </c>
      <c r="F9">
        <v>3</v>
      </c>
      <c r="G9">
        <v>3</v>
      </c>
      <c r="H9">
        <f>[1]技能设计!$J$99</f>
        <v>0</v>
      </c>
    </row>
    <row r="10" spans="1:8" x14ac:dyDescent="0.15">
      <c r="A10" t="str">
        <f>[1]法宝人物匹配!$G$1</f>
        <v>F_Yulongyinqiang</v>
      </c>
      <c r="B10" t="str">
        <f>[1]技能设计!$F$100</f>
        <v>银枪乱舞</v>
      </c>
      <c r="C10">
        <f>[1]技能设计!$G$100</f>
        <v>9</v>
      </c>
      <c r="D10">
        <f>[1]技能设计!$H$100</f>
        <v>0</v>
      </c>
      <c r="E10">
        <f>[1]技能设计!$I$100</f>
        <v>0</v>
      </c>
      <c r="F10">
        <v>3</v>
      </c>
      <c r="G10">
        <v>3</v>
      </c>
      <c r="H10">
        <f>[1]技能设计!$J$100</f>
        <v>0</v>
      </c>
    </row>
    <row r="11" spans="1:8" x14ac:dyDescent="0.15">
      <c r="A11" t="str">
        <f>[1]法宝人物匹配!$G$1</f>
        <v>F_Yulongyinqiang</v>
      </c>
      <c r="B11" t="str">
        <f>[1]技能设计!$F$101</f>
        <v>银枪乱舞</v>
      </c>
      <c r="C11">
        <f>[1]技能设计!$G$101</f>
        <v>10</v>
      </c>
      <c r="D11">
        <f>[1]技能设计!$H$101</f>
        <v>0</v>
      </c>
      <c r="E11">
        <f>[1]技能设计!$I$101</f>
        <v>0</v>
      </c>
      <c r="F11">
        <v>3</v>
      </c>
      <c r="G11">
        <v>3</v>
      </c>
      <c r="H11">
        <f>[1]技能设计!$J$101</f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I11"/>
  <sheetViews>
    <sheetView workbookViewId="0">
      <selection activeCell="A3" sqref="A3:A11"/>
    </sheetView>
  </sheetViews>
  <sheetFormatPr defaultRowHeight="13.5" x14ac:dyDescent="0.15"/>
  <sheetData>
    <row r="1" spans="1:9" x14ac:dyDescent="0.15">
      <c r="A1" t="s">
        <v>4</v>
      </c>
      <c r="B1" t="s">
        <v>2</v>
      </c>
      <c r="C1" t="s">
        <v>0</v>
      </c>
      <c r="D1" t="s">
        <v>3</v>
      </c>
      <c r="E1" t="s">
        <v>11</v>
      </c>
      <c r="F1" t="s">
        <v>8</v>
      </c>
      <c r="G1" t="s">
        <v>7</v>
      </c>
      <c r="H1" t="str">
        <f>[1]技能设计!$W$1</f>
        <v>FangyuBuff</v>
      </c>
      <c r="I1" t="str">
        <f>[1]技能设计!$Y$1</f>
        <v>JuqiBuff</v>
      </c>
    </row>
    <row r="2" spans="1:9" x14ac:dyDescent="0.15">
      <c r="A2" t="str">
        <f>[1]法宝人物匹配!$H$1</f>
        <v>F_Longling</v>
      </c>
      <c r="B2" t="str">
        <f>[1]技能设计!$F$103</f>
        <v>龙鳞</v>
      </c>
      <c r="C2">
        <f>[1]技能设计!$G$103</f>
        <v>1</v>
      </c>
      <c r="D2">
        <f>[1]技能设计!$H$103</f>
        <v>1</v>
      </c>
      <c r="E2" t="str">
        <f>[1]技能设计!$I$103</f>
        <v>Juqi</v>
      </c>
      <c r="F2">
        <v>3</v>
      </c>
      <c r="G2">
        <v>3</v>
      </c>
      <c r="H2">
        <f>[1]技能设计!$W$103</f>
        <v>2</v>
      </c>
      <c r="I2">
        <f>[1]技能设计!$Y$103</f>
        <v>5</v>
      </c>
    </row>
    <row r="3" spans="1:9" x14ac:dyDescent="0.15">
      <c r="A3" t="str">
        <f>[1]法宝人物匹配!$H$1</f>
        <v>F_Longling</v>
      </c>
      <c r="B3" t="str">
        <f>[1]技能设计!$F$104</f>
        <v>龙鳞</v>
      </c>
      <c r="C3">
        <f>[1]技能设计!$G$104</f>
        <v>2</v>
      </c>
      <c r="D3">
        <f>[1]技能设计!$H$104</f>
        <v>2</v>
      </c>
      <c r="E3" t="str">
        <f>[1]技能设计!$I$104</f>
        <v>Juqi</v>
      </c>
      <c r="F3">
        <v>3</v>
      </c>
      <c r="G3">
        <v>3</v>
      </c>
      <c r="H3">
        <f>[1]技能设计!$W$104</f>
        <v>10</v>
      </c>
      <c r="I3">
        <f>[1]技能设计!$Y$104</f>
        <v>24</v>
      </c>
    </row>
    <row r="4" spans="1:9" x14ac:dyDescent="0.15">
      <c r="A4" t="str">
        <f>[1]法宝人物匹配!$H$1</f>
        <v>F_Longling</v>
      </c>
      <c r="B4" t="str">
        <f>[1]技能设计!$F$105</f>
        <v>龙鳞</v>
      </c>
      <c r="C4">
        <f>[1]技能设计!$G$105</f>
        <v>3</v>
      </c>
      <c r="D4">
        <f>[1]技能设计!$H$105</f>
        <v>4</v>
      </c>
      <c r="E4" t="str">
        <f>[1]技能设计!$I$105</f>
        <v>Juqi</v>
      </c>
      <c r="F4">
        <v>3</v>
      </c>
      <c r="G4">
        <v>3</v>
      </c>
      <c r="H4">
        <f>[1]技能设计!$W$105</f>
        <v>50</v>
      </c>
      <c r="I4">
        <f>[1]技能设计!$Y$105</f>
        <v>207</v>
      </c>
    </row>
    <row r="5" spans="1:9" x14ac:dyDescent="0.15">
      <c r="A5" t="str">
        <f>[1]法宝人物匹配!$H$1</f>
        <v>F_Longling</v>
      </c>
      <c r="B5" t="str">
        <f>[1]技能设计!$F$106</f>
        <v>龙鳞</v>
      </c>
      <c r="C5">
        <f>[1]技能设计!$G$106</f>
        <v>4</v>
      </c>
      <c r="D5">
        <f>[1]技能设计!$H$106</f>
        <v>0</v>
      </c>
      <c r="E5">
        <f>[1]技能设计!$I$106</f>
        <v>0</v>
      </c>
      <c r="F5">
        <v>3</v>
      </c>
      <c r="G5">
        <v>3</v>
      </c>
      <c r="H5">
        <f>[1]技能设计!$W$106</f>
        <v>0</v>
      </c>
      <c r="I5">
        <f>[1]技能设计!$Y$106</f>
        <v>0</v>
      </c>
    </row>
    <row r="6" spans="1:9" x14ac:dyDescent="0.15">
      <c r="A6" t="str">
        <f>[1]法宝人物匹配!$H$1</f>
        <v>F_Longling</v>
      </c>
      <c r="B6" t="str">
        <f>[1]技能设计!$F$107</f>
        <v>龙鳞</v>
      </c>
      <c r="C6">
        <f>[1]技能设计!$G$107</f>
        <v>5</v>
      </c>
      <c r="D6">
        <f>[1]技能设计!$H$107</f>
        <v>0</v>
      </c>
      <c r="E6">
        <f>[1]技能设计!$I$107</f>
        <v>0</v>
      </c>
      <c r="F6">
        <v>3</v>
      </c>
      <c r="G6">
        <v>3</v>
      </c>
      <c r="H6">
        <f>[1]技能设计!$W$107</f>
        <v>0</v>
      </c>
      <c r="I6">
        <f>[1]技能设计!$Y$107</f>
        <v>0</v>
      </c>
    </row>
    <row r="7" spans="1:9" x14ac:dyDescent="0.15">
      <c r="A7" t="str">
        <f>[1]法宝人物匹配!$H$1</f>
        <v>F_Longling</v>
      </c>
      <c r="B7" t="str">
        <f>[1]技能设计!$F$108</f>
        <v>白龙护体</v>
      </c>
      <c r="C7">
        <f>[1]技能设计!$G$108</f>
        <v>6</v>
      </c>
      <c r="D7">
        <f>[1]技能设计!$H$108</f>
        <v>0</v>
      </c>
      <c r="E7">
        <f>[1]技能设计!$I$108</f>
        <v>0</v>
      </c>
      <c r="F7">
        <v>3</v>
      </c>
      <c r="G7">
        <v>3</v>
      </c>
      <c r="H7">
        <f>[1]技能设计!$W$108</f>
        <v>0</v>
      </c>
      <c r="I7">
        <f>[1]技能设计!$Y$108</f>
        <v>0</v>
      </c>
    </row>
    <row r="8" spans="1:9" x14ac:dyDescent="0.15">
      <c r="A8" t="str">
        <f>[1]法宝人物匹配!$H$1</f>
        <v>F_Longling</v>
      </c>
      <c r="B8" t="str">
        <f>[1]技能设计!$F$109</f>
        <v>白龙护体</v>
      </c>
      <c r="C8">
        <f>[1]技能设计!$G$109</f>
        <v>7</v>
      </c>
      <c r="D8">
        <f>[1]技能设计!$H$109</f>
        <v>0</v>
      </c>
      <c r="E8">
        <f>[1]技能设计!$I$109</f>
        <v>0</v>
      </c>
      <c r="F8">
        <v>3</v>
      </c>
      <c r="G8">
        <v>3</v>
      </c>
      <c r="H8">
        <f>[1]技能设计!$W$109</f>
        <v>0</v>
      </c>
      <c r="I8">
        <f>[1]技能设计!$Y$109</f>
        <v>0</v>
      </c>
    </row>
    <row r="9" spans="1:9" x14ac:dyDescent="0.15">
      <c r="A9" t="str">
        <f>[1]法宝人物匹配!$H$1</f>
        <v>F_Longling</v>
      </c>
      <c r="B9" t="str">
        <f>[1]技能设计!$F$110</f>
        <v>白龙护体</v>
      </c>
      <c r="C9">
        <f>[1]技能设计!$G$110</f>
        <v>8</v>
      </c>
      <c r="D9">
        <f>[1]技能设计!$H$110</f>
        <v>0</v>
      </c>
      <c r="E9">
        <f>[1]技能设计!$I$110</f>
        <v>0</v>
      </c>
      <c r="F9">
        <v>3</v>
      </c>
      <c r="G9">
        <v>3</v>
      </c>
      <c r="H9">
        <f>[1]技能设计!$W$110</f>
        <v>0</v>
      </c>
      <c r="I9">
        <f>[1]技能设计!$Y$110</f>
        <v>0</v>
      </c>
    </row>
    <row r="10" spans="1:9" x14ac:dyDescent="0.15">
      <c r="A10" t="str">
        <f>[1]法宝人物匹配!$H$1</f>
        <v>F_Longling</v>
      </c>
      <c r="B10" t="str">
        <f>[1]技能设计!$F$111</f>
        <v>白龙护体</v>
      </c>
      <c r="C10">
        <f>[1]技能设计!$G$111</f>
        <v>9</v>
      </c>
      <c r="D10">
        <f>[1]技能设计!$H$111</f>
        <v>0</v>
      </c>
      <c r="E10">
        <f>[1]技能设计!$I$111</f>
        <v>0</v>
      </c>
      <c r="F10">
        <v>3</v>
      </c>
      <c r="G10">
        <v>3</v>
      </c>
      <c r="H10">
        <f>[1]技能设计!$W$111</f>
        <v>0</v>
      </c>
      <c r="I10">
        <f>[1]技能设计!$Y$111</f>
        <v>0</v>
      </c>
    </row>
    <row r="11" spans="1:9" x14ac:dyDescent="0.15">
      <c r="A11" t="str">
        <f>[1]法宝人物匹配!$H$1</f>
        <v>F_Longling</v>
      </c>
      <c r="B11" t="str">
        <f>[1]技能设计!$F$112</f>
        <v>白龙护体</v>
      </c>
      <c r="C11">
        <f>[1]技能设计!$G$112</f>
        <v>10</v>
      </c>
      <c r="D11">
        <f>[1]技能设计!$H$112</f>
        <v>0</v>
      </c>
      <c r="E11">
        <f>[1]技能设计!$I$112</f>
        <v>0</v>
      </c>
      <c r="F11">
        <v>3</v>
      </c>
      <c r="G11">
        <v>3</v>
      </c>
      <c r="H11">
        <f>[1]技能设计!$W$112</f>
        <v>0</v>
      </c>
      <c r="I11">
        <f>[1]技能设计!$Y$112</f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A2" sqref="A2:A11"/>
    </sheetView>
  </sheetViews>
  <sheetFormatPr defaultRowHeight="13.5" x14ac:dyDescent="0.15"/>
  <sheetData>
    <row r="1" spans="1:8" x14ac:dyDescent="0.15">
      <c r="A1" t="s">
        <v>4</v>
      </c>
      <c r="B1" t="s">
        <v>2</v>
      </c>
      <c r="C1" t="s">
        <v>0</v>
      </c>
      <c r="D1" t="s">
        <v>3</v>
      </c>
      <c r="E1" t="s">
        <v>10</v>
      </c>
      <c r="F1" t="s">
        <v>8</v>
      </c>
      <c r="G1" t="s">
        <v>7</v>
      </c>
      <c r="H1" t="str">
        <f>[1]技能设计!$AR$1</f>
        <v>Qungong</v>
      </c>
    </row>
    <row r="2" spans="1:8" x14ac:dyDescent="0.15">
      <c r="A2" t="str">
        <f>[1]法宝人物匹配!$H$1</f>
        <v>F_Longling</v>
      </c>
      <c r="B2" t="str">
        <f>[1]技能设计!$F$114</f>
        <v>巨龙甩尾</v>
      </c>
      <c r="C2">
        <f>[1]技能设计!$G$114</f>
        <v>1</v>
      </c>
      <c r="D2">
        <f>[1]技能设计!$H$114</f>
        <v>3</v>
      </c>
      <c r="E2" t="str">
        <f>[1]技能设计!$I$114</f>
        <v>Gongji</v>
      </c>
      <c r="F2">
        <v>3</v>
      </c>
      <c r="G2">
        <v>3</v>
      </c>
      <c r="H2">
        <f>[1]技能设计!$AR$114</f>
        <v>133</v>
      </c>
    </row>
    <row r="3" spans="1:8" x14ac:dyDescent="0.15">
      <c r="A3" t="str">
        <f>[1]法宝人物匹配!$H$1</f>
        <v>F_Longling</v>
      </c>
      <c r="B3" t="str">
        <f>[1]技能设计!$F$115</f>
        <v>巨龙甩尾</v>
      </c>
      <c r="C3">
        <f>[1]技能设计!$G$115</f>
        <v>2</v>
      </c>
      <c r="D3">
        <f>[1]技能设计!$H$115</f>
        <v>5</v>
      </c>
      <c r="E3" t="str">
        <f>[1]技能设计!$I$115</f>
        <v>Gongji</v>
      </c>
      <c r="F3">
        <v>3</v>
      </c>
      <c r="G3">
        <v>3</v>
      </c>
      <c r="H3">
        <f>[1]技能设计!$AR$115</f>
        <v>1265</v>
      </c>
    </row>
    <row r="4" spans="1:8" x14ac:dyDescent="0.15">
      <c r="A4" t="str">
        <f>[1]法宝人物匹配!$H$1</f>
        <v>F_Longling</v>
      </c>
      <c r="B4" t="str">
        <f>[1]技能设计!$F$116</f>
        <v>巨龙甩尾</v>
      </c>
      <c r="C4">
        <f>[1]技能设计!$G$116</f>
        <v>3</v>
      </c>
      <c r="D4">
        <f>[1]技能设计!$H$116</f>
        <v>0</v>
      </c>
      <c r="E4">
        <f>[1]技能设计!$I$116</f>
        <v>0</v>
      </c>
      <c r="F4">
        <v>3</v>
      </c>
      <c r="G4">
        <v>3</v>
      </c>
      <c r="H4">
        <f>[1]技能设计!$AR$116</f>
        <v>0</v>
      </c>
    </row>
    <row r="5" spans="1:8" x14ac:dyDescent="0.15">
      <c r="A5" t="str">
        <f>[1]法宝人物匹配!$H$1</f>
        <v>F_Longling</v>
      </c>
      <c r="B5" t="str">
        <f>[1]技能设计!$F$117</f>
        <v>巨龙甩尾</v>
      </c>
      <c r="C5">
        <f>[1]技能设计!$G$117</f>
        <v>4</v>
      </c>
      <c r="D5">
        <f>[1]技能设计!$H$117</f>
        <v>0</v>
      </c>
      <c r="E5">
        <f>[1]技能设计!$I$117</f>
        <v>0</v>
      </c>
      <c r="F5">
        <v>3</v>
      </c>
      <c r="G5">
        <v>3</v>
      </c>
      <c r="H5">
        <f>[1]技能设计!$AR$117</f>
        <v>0</v>
      </c>
    </row>
    <row r="6" spans="1:8" x14ac:dyDescent="0.15">
      <c r="A6" t="str">
        <f>[1]法宝人物匹配!$H$1</f>
        <v>F_Longling</v>
      </c>
      <c r="B6" t="str">
        <f>[1]技能设计!$F$118</f>
        <v>巨龙甩尾</v>
      </c>
      <c r="C6">
        <f>[1]技能设计!$G$118</f>
        <v>5</v>
      </c>
      <c r="D6">
        <f>[1]技能设计!$H$118</f>
        <v>0</v>
      </c>
      <c r="E6">
        <f>[1]技能设计!$I$118</f>
        <v>0</v>
      </c>
      <c r="F6">
        <v>3</v>
      </c>
      <c r="G6">
        <v>3</v>
      </c>
      <c r="H6">
        <f>[1]技能设计!$AR$118</f>
        <v>0</v>
      </c>
    </row>
    <row r="7" spans="1:8" x14ac:dyDescent="0.15">
      <c r="A7" t="str">
        <f>[1]法宝人物匹配!$H$1</f>
        <v>F_Longling</v>
      </c>
      <c r="B7" t="str">
        <f>[1]技能设计!$F$119</f>
        <v>翻云覆雨</v>
      </c>
      <c r="C7">
        <f>[1]技能设计!$G$119</f>
        <v>6</v>
      </c>
      <c r="D7">
        <f>[1]技能设计!$H$119</f>
        <v>0</v>
      </c>
      <c r="E7">
        <f>[1]技能设计!$I$119</f>
        <v>0</v>
      </c>
      <c r="F7">
        <v>3</v>
      </c>
      <c r="G7">
        <v>3</v>
      </c>
      <c r="H7">
        <f>[1]技能设计!$AR$119</f>
        <v>0</v>
      </c>
    </row>
    <row r="8" spans="1:8" x14ac:dyDescent="0.15">
      <c r="A8" t="str">
        <f>[1]法宝人物匹配!$H$1</f>
        <v>F_Longling</v>
      </c>
      <c r="B8" t="str">
        <f>[1]技能设计!$F$120</f>
        <v>翻云覆雨</v>
      </c>
      <c r="C8">
        <f>[1]技能设计!$G$120</f>
        <v>7</v>
      </c>
      <c r="D8">
        <f>[1]技能设计!$H$120</f>
        <v>0</v>
      </c>
      <c r="E8">
        <f>[1]技能设计!$I$120</f>
        <v>0</v>
      </c>
      <c r="F8">
        <v>3</v>
      </c>
      <c r="G8">
        <v>3</v>
      </c>
      <c r="H8">
        <f>[1]技能设计!$AR$120</f>
        <v>0</v>
      </c>
    </row>
    <row r="9" spans="1:8" x14ac:dyDescent="0.15">
      <c r="A9" t="str">
        <f>[1]法宝人物匹配!$H$1</f>
        <v>F_Longling</v>
      </c>
      <c r="B9" t="str">
        <f>[1]技能设计!$F$121</f>
        <v>翻云覆雨</v>
      </c>
      <c r="C9">
        <f>[1]技能设计!$G$121</f>
        <v>8</v>
      </c>
      <c r="D9">
        <f>[1]技能设计!$H$121</f>
        <v>0</v>
      </c>
      <c r="E9">
        <f>[1]技能设计!$I$121</f>
        <v>0</v>
      </c>
      <c r="F9">
        <v>3</v>
      </c>
      <c r="G9">
        <v>3</v>
      </c>
      <c r="H9">
        <f>[1]技能设计!$AR$121</f>
        <v>0</v>
      </c>
    </row>
    <row r="10" spans="1:8" x14ac:dyDescent="0.15">
      <c r="A10" t="str">
        <f>[1]法宝人物匹配!$H$1</f>
        <v>F_Longling</v>
      </c>
      <c r="B10" t="str">
        <f>[1]技能设计!$F$122</f>
        <v>翻云覆雨</v>
      </c>
      <c r="C10">
        <f>[1]技能设计!$G$122</f>
        <v>9</v>
      </c>
      <c r="D10">
        <f>[1]技能设计!$H$122</f>
        <v>0</v>
      </c>
      <c r="E10">
        <f>[1]技能设计!$I$122</f>
        <v>0</v>
      </c>
      <c r="F10">
        <v>3</v>
      </c>
      <c r="G10">
        <v>3</v>
      </c>
      <c r="H10">
        <f>[1]技能设计!$AR$122</f>
        <v>0</v>
      </c>
    </row>
    <row r="11" spans="1:8" x14ac:dyDescent="0.15">
      <c r="A11" t="str">
        <f>[1]法宝人物匹配!$H$1</f>
        <v>F_Longling</v>
      </c>
      <c r="B11" t="str">
        <f>[1]技能设计!$F$123</f>
        <v>翻云覆雨</v>
      </c>
      <c r="C11">
        <f>[1]技能设计!$G$123</f>
        <v>10</v>
      </c>
      <c r="D11">
        <f>[1]技能设计!$H$123</f>
        <v>0</v>
      </c>
      <c r="E11">
        <f>[1]技能设计!$I$123</f>
        <v>0</v>
      </c>
      <c r="F11">
        <v>3</v>
      </c>
      <c r="G11">
        <v>3</v>
      </c>
      <c r="H11">
        <f>[1]技能设计!$AR$123</f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A2" sqref="A2:A11"/>
    </sheetView>
  </sheetViews>
  <sheetFormatPr defaultRowHeight="13.5" x14ac:dyDescent="0.15"/>
  <sheetData>
    <row r="1" spans="1:8" x14ac:dyDescent="0.15">
      <c r="A1" t="s">
        <v>4</v>
      </c>
      <c r="B1" t="s">
        <v>2</v>
      </c>
      <c r="C1" t="s">
        <v>0</v>
      </c>
      <c r="D1" t="s">
        <v>3</v>
      </c>
      <c r="E1" t="s">
        <v>10</v>
      </c>
      <c r="F1" t="s">
        <v>8</v>
      </c>
      <c r="G1" t="s">
        <v>7</v>
      </c>
      <c r="H1" t="str">
        <f>[1]技能设计!$J$1</f>
        <v>Gongji</v>
      </c>
    </row>
    <row r="2" spans="1:8" x14ac:dyDescent="0.15">
      <c r="A2" t="str">
        <f>[1]法宝人物匹配!$I$1</f>
        <v>F_Jiuchidingpa</v>
      </c>
      <c r="B2" t="str">
        <f>[1]技能设计!$F$125</f>
        <v>钉钯空砸</v>
      </c>
      <c r="C2">
        <f>[1]技能设计!$G$125</f>
        <v>1</v>
      </c>
      <c r="D2">
        <f>[1]技能设计!$H$125</f>
        <v>1</v>
      </c>
      <c r="E2" t="str">
        <f>[1]技能设计!$I$125</f>
        <v>Gongji</v>
      </c>
      <c r="F2">
        <v>3</v>
      </c>
      <c r="G2">
        <v>3</v>
      </c>
      <c r="H2">
        <f ca="1">[1]技能设计!$J$125</f>
        <v>43</v>
      </c>
    </row>
    <row r="3" spans="1:8" x14ac:dyDescent="0.15">
      <c r="A3" t="str">
        <f>[1]法宝人物匹配!$I$1</f>
        <v>F_Jiuchidingpa</v>
      </c>
      <c r="B3" t="str">
        <f>[1]技能设计!$F$126</f>
        <v>钉钯空砸</v>
      </c>
      <c r="C3">
        <f>[1]技能设计!$G$126</f>
        <v>2</v>
      </c>
      <c r="D3">
        <f>[1]技能设计!$H$126</f>
        <v>2</v>
      </c>
      <c r="E3" t="str">
        <f>[1]技能设计!$I$126</f>
        <v>Gongji</v>
      </c>
      <c r="F3">
        <v>3</v>
      </c>
      <c r="G3">
        <v>3</v>
      </c>
      <c r="H3">
        <f ca="1">[1]技能设计!$J$126</f>
        <v>202</v>
      </c>
    </row>
    <row r="4" spans="1:8" x14ac:dyDescent="0.15">
      <c r="A4" t="str">
        <f>[1]法宝人物匹配!$I$1</f>
        <v>F_Jiuchidingpa</v>
      </c>
      <c r="B4" t="str">
        <f>[1]技能设计!$F$127</f>
        <v>钉钯空砸</v>
      </c>
      <c r="C4">
        <f>[1]技能设计!$G$127</f>
        <v>3</v>
      </c>
      <c r="D4">
        <f>[1]技能设计!$H$127</f>
        <v>0</v>
      </c>
      <c r="E4">
        <f>[1]技能设计!$I$127</f>
        <v>0</v>
      </c>
      <c r="F4">
        <v>3</v>
      </c>
      <c r="G4">
        <v>3</v>
      </c>
      <c r="H4">
        <f>[1]技能设计!$J$127</f>
        <v>0</v>
      </c>
    </row>
    <row r="5" spans="1:8" x14ac:dyDescent="0.15">
      <c r="A5" t="str">
        <f>[1]法宝人物匹配!$I$1</f>
        <v>F_Jiuchidingpa</v>
      </c>
      <c r="B5" t="str">
        <f>[1]技能设计!$F$128</f>
        <v>钉钯空砸</v>
      </c>
      <c r="C5">
        <f>[1]技能设计!$G$128</f>
        <v>4</v>
      </c>
      <c r="D5">
        <f>[1]技能设计!$H$128</f>
        <v>0</v>
      </c>
      <c r="E5">
        <f>[1]技能设计!$I$128</f>
        <v>0</v>
      </c>
      <c r="F5">
        <v>3</v>
      </c>
      <c r="G5">
        <v>3</v>
      </c>
      <c r="H5">
        <f>[1]技能设计!$J$128</f>
        <v>0</v>
      </c>
    </row>
    <row r="6" spans="1:8" x14ac:dyDescent="0.15">
      <c r="A6" t="str">
        <f>[1]法宝人物匹配!$I$1</f>
        <v>F_Jiuchidingpa</v>
      </c>
      <c r="B6" t="str">
        <f>[1]技能设计!$F$129</f>
        <v>钉钯横扫</v>
      </c>
      <c r="C6">
        <f>[1]技能设计!$G$129</f>
        <v>5</v>
      </c>
      <c r="D6">
        <f>[1]技能设计!$H$129</f>
        <v>0</v>
      </c>
      <c r="E6">
        <f>[1]技能设计!$I$129</f>
        <v>0</v>
      </c>
      <c r="F6">
        <v>3</v>
      </c>
      <c r="G6">
        <v>3</v>
      </c>
      <c r="H6">
        <f>[1]技能设计!$J$129</f>
        <v>0</v>
      </c>
    </row>
    <row r="7" spans="1:8" x14ac:dyDescent="0.15">
      <c r="A7" t="str">
        <f>[1]法宝人物匹配!$I$1</f>
        <v>F_Jiuchidingpa</v>
      </c>
      <c r="B7" t="str">
        <f>[1]技能设计!$F$130</f>
        <v>钉钯横扫</v>
      </c>
      <c r="C7">
        <f>[1]技能设计!$G$130</f>
        <v>6</v>
      </c>
      <c r="D7">
        <f>[1]技能设计!$H$130</f>
        <v>0</v>
      </c>
      <c r="E7">
        <f>[1]技能设计!$I$130</f>
        <v>0</v>
      </c>
      <c r="F7">
        <v>3</v>
      </c>
      <c r="G7">
        <v>3</v>
      </c>
      <c r="H7">
        <f>[1]技能设计!$J$130</f>
        <v>0</v>
      </c>
    </row>
    <row r="8" spans="1:8" x14ac:dyDescent="0.15">
      <c r="A8" t="str">
        <f>[1]法宝人物匹配!$I$1</f>
        <v>F_Jiuchidingpa</v>
      </c>
      <c r="B8" t="str">
        <f>[1]技能设计!$F$131</f>
        <v>钉钯横扫</v>
      </c>
      <c r="C8">
        <f>[1]技能设计!$G$131</f>
        <v>7</v>
      </c>
      <c r="D8">
        <f>[1]技能设计!$H$131</f>
        <v>0</v>
      </c>
      <c r="E8">
        <f>[1]技能设计!$I$131</f>
        <v>0</v>
      </c>
      <c r="F8">
        <v>3</v>
      </c>
      <c r="G8">
        <v>3</v>
      </c>
      <c r="H8">
        <f>[1]技能设计!$J$131</f>
        <v>0</v>
      </c>
    </row>
    <row r="9" spans="1:8" x14ac:dyDescent="0.15">
      <c r="A9" t="str">
        <f>[1]法宝人物匹配!$I$1</f>
        <v>F_Jiuchidingpa</v>
      </c>
      <c r="B9" t="str">
        <f>[1]技能设计!$F$132</f>
        <v>钉耙乱斩</v>
      </c>
      <c r="C9">
        <f>[1]技能设计!$G$132</f>
        <v>8</v>
      </c>
      <c r="D9">
        <f>[1]技能设计!$H$132</f>
        <v>0</v>
      </c>
      <c r="E9">
        <f>[1]技能设计!$I$132</f>
        <v>0</v>
      </c>
      <c r="F9">
        <v>3</v>
      </c>
      <c r="G9">
        <v>3</v>
      </c>
      <c r="H9">
        <f>[1]技能设计!$J$132</f>
        <v>0</v>
      </c>
    </row>
    <row r="10" spans="1:8" x14ac:dyDescent="0.15">
      <c r="A10" t="str">
        <f>[1]法宝人物匹配!$I$1</f>
        <v>F_Jiuchidingpa</v>
      </c>
      <c r="B10" t="str">
        <f>[1]技能设计!$F$133</f>
        <v>钉耙乱斩</v>
      </c>
      <c r="C10">
        <f>[1]技能设计!$G$133</f>
        <v>9</v>
      </c>
      <c r="D10">
        <f>[1]技能设计!$H$133</f>
        <v>0</v>
      </c>
      <c r="E10">
        <f>[1]技能设计!$I$133</f>
        <v>0</v>
      </c>
      <c r="F10">
        <v>3</v>
      </c>
      <c r="G10">
        <v>3</v>
      </c>
      <c r="H10">
        <f>[1]技能设计!$J$133</f>
        <v>0</v>
      </c>
    </row>
    <row r="11" spans="1:8" x14ac:dyDescent="0.15">
      <c r="A11" t="str">
        <f>[1]法宝人物匹配!$I$1</f>
        <v>F_Jiuchidingpa</v>
      </c>
      <c r="B11" t="str">
        <f>[1]技能设计!$F$134</f>
        <v>钉耙乱斩</v>
      </c>
      <c r="C11">
        <f>[1]技能设计!$G$134</f>
        <v>10</v>
      </c>
      <c r="D11">
        <f>[1]技能设计!$H$134</f>
        <v>0</v>
      </c>
      <c r="E11">
        <f>[1]技能设计!$I$134</f>
        <v>0</v>
      </c>
      <c r="F11">
        <v>3</v>
      </c>
      <c r="G11">
        <v>3</v>
      </c>
      <c r="H11">
        <f>[1]技能设计!$J$134</f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J11"/>
  <sheetViews>
    <sheetView workbookViewId="0">
      <selection activeCell="A2" sqref="A2:A11"/>
    </sheetView>
  </sheetViews>
  <sheetFormatPr defaultRowHeight="13.5" x14ac:dyDescent="0.15"/>
  <sheetData>
    <row r="1" spans="1:10" x14ac:dyDescent="0.15">
      <c r="A1" t="s">
        <v>4</v>
      </c>
      <c r="B1" t="s">
        <v>2</v>
      </c>
      <c r="C1" t="s">
        <v>0</v>
      </c>
      <c r="D1" t="s">
        <v>3</v>
      </c>
      <c r="E1" t="s">
        <v>9</v>
      </c>
      <c r="F1" t="s">
        <v>8</v>
      </c>
      <c r="G1" t="s">
        <v>7</v>
      </c>
      <c r="H1" t="str">
        <f>[1]技能设计!$S$1</f>
        <v>GongjiBuff</v>
      </c>
      <c r="I1" t="str">
        <f>[1]技能设计!$U$1</f>
        <v>BaojiBuff</v>
      </c>
      <c r="J1" t="str">
        <f>[1]技能设计!$W$1</f>
        <v>FangyuBuff</v>
      </c>
    </row>
    <row r="2" spans="1:10" x14ac:dyDescent="0.15">
      <c r="A2" t="str">
        <f>[1]法宝人物匹配!$J$1</f>
        <v>F_Yuanshuaizhanpao</v>
      </c>
      <c r="B2" t="str">
        <f>[1]技能设计!$F$136</f>
        <v>战袍加身</v>
      </c>
      <c r="C2">
        <f>[1]技能设计!$G$136</f>
        <v>1</v>
      </c>
      <c r="D2">
        <f>[1]技能设计!$H$136</f>
        <v>1</v>
      </c>
      <c r="E2" t="str">
        <f>[1]技能设计!$I$136</f>
        <v>Juqi</v>
      </c>
      <c r="F2">
        <v>3</v>
      </c>
      <c r="G2">
        <v>3</v>
      </c>
      <c r="H2">
        <f>[1]技能设计!$S$136</f>
        <v>4</v>
      </c>
      <c r="I2">
        <f>[1]技能设计!$U$136</f>
        <v>0.02</v>
      </c>
      <c r="J2">
        <f>[1]技能设计!$W$136</f>
        <v>3</v>
      </c>
    </row>
    <row r="3" spans="1:10" x14ac:dyDescent="0.15">
      <c r="A3" t="str">
        <f>[1]法宝人物匹配!$J$1</f>
        <v>F_Yuanshuaizhanpao</v>
      </c>
      <c r="B3" t="str">
        <f>[1]技能设计!$F$137</f>
        <v>战袍加身</v>
      </c>
      <c r="C3">
        <f>[1]技能设计!$G$137</f>
        <v>2</v>
      </c>
      <c r="D3">
        <f>[1]技能设计!$H$137</f>
        <v>2</v>
      </c>
      <c r="E3" t="str">
        <f>[1]技能设计!$I$137</f>
        <v>Juqi</v>
      </c>
      <c r="F3">
        <v>3</v>
      </c>
      <c r="G3">
        <v>3</v>
      </c>
      <c r="H3">
        <f>[1]技能设计!$S$137</f>
        <v>12</v>
      </c>
      <c r="I3">
        <f>[1]技能设计!$U$137</f>
        <v>0.1</v>
      </c>
      <c r="J3">
        <f>[1]技能设计!$W$137</f>
        <v>12</v>
      </c>
    </row>
    <row r="4" spans="1:10" x14ac:dyDescent="0.15">
      <c r="A4" t="str">
        <f>[1]法宝人物匹配!$J$1</f>
        <v>F_Yuanshuaizhanpao</v>
      </c>
      <c r="B4" t="str">
        <f>[1]技能设计!$F$138</f>
        <v>战袍加身</v>
      </c>
      <c r="C4">
        <f>[1]技能设计!$G$138</f>
        <v>3</v>
      </c>
      <c r="D4">
        <f>[1]技能设计!$H$138</f>
        <v>0</v>
      </c>
      <c r="E4">
        <f>[1]技能设计!$I$138</f>
        <v>0</v>
      </c>
      <c r="F4">
        <v>3</v>
      </c>
      <c r="G4">
        <v>3</v>
      </c>
      <c r="H4">
        <f>[1]技能设计!$S$138</f>
        <v>0</v>
      </c>
      <c r="I4">
        <f>[1]技能设计!$U$138</f>
        <v>0</v>
      </c>
      <c r="J4">
        <f>[1]技能设计!$W$138</f>
        <v>0</v>
      </c>
    </row>
    <row r="5" spans="1:10" x14ac:dyDescent="0.15">
      <c r="A5" t="str">
        <f>[1]法宝人物匹配!$J$1</f>
        <v>F_Yuanshuaizhanpao</v>
      </c>
      <c r="B5" t="str">
        <f>[1]技能设计!$F$139</f>
        <v>战袍加身</v>
      </c>
      <c r="C5">
        <f>[1]技能设计!$G$139</f>
        <v>4</v>
      </c>
      <c r="D5">
        <f>[1]技能设计!$H$139</f>
        <v>0</v>
      </c>
      <c r="E5">
        <f>[1]技能设计!$I$139</f>
        <v>0</v>
      </c>
      <c r="F5">
        <v>3</v>
      </c>
      <c r="G5">
        <v>3</v>
      </c>
      <c r="H5">
        <f>[1]技能设计!$S$139</f>
        <v>0</v>
      </c>
      <c r="I5">
        <f>[1]技能设计!$U$139</f>
        <v>0</v>
      </c>
      <c r="J5">
        <f>[1]技能设计!$W$139</f>
        <v>0</v>
      </c>
    </row>
    <row r="6" spans="1:10" x14ac:dyDescent="0.15">
      <c r="A6" t="str">
        <f>[1]法宝人物匹配!$J$1</f>
        <v>F_Yuanshuaizhanpao</v>
      </c>
      <c r="B6" t="str">
        <f>[1]技能设计!$F$140</f>
        <v>战袍加身</v>
      </c>
      <c r="C6">
        <f>[1]技能设计!$G$140</f>
        <v>5</v>
      </c>
      <c r="D6">
        <f>[1]技能设计!$H$140</f>
        <v>0</v>
      </c>
      <c r="E6">
        <f>[1]技能设计!$I$140</f>
        <v>0</v>
      </c>
      <c r="F6">
        <v>3</v>
      </c>
      <c r="G6">
        <v>3</v>
      </c>
      <c r="H6">
        <f>[1]技能设计!$S$140</f>
        <v>0</v>
      </c>
      <c r="I6">
        <f>[1]技能设计!$U$140</f>
        <v>0</v>
      </c>
      <c r="J6">
        <f>[1]技能设计!$W$140</f>
        <v>0</v>
      </c>
    </row>
    <row r="7" spans="1:10" x14ac:dyDescent="0.15">
      <c r="A7" t="str">
        <f>[1]法宝人物匹配!$J$1</f>
        <v>F_Yuanshuaizhanpao</v>
      </c>
      <c r="B7" t="str">
        <f>[1]技能设计!$F$141</f>
        <v>元帅降临</v>
      </c>
      <c r="C7">
        <f>[1]技能设计!$G$141</f>
        <v>6</v>
      </c>
      <c r="D7">
        <f>[1]技能设计!$H$141</f>
        <v>0</v>
      </c>
      <c r="E7">
        <f>[1]技能设计!$I$141</f>
        <v>0</v>
      </c>
      <c r="F7">
        <v>3</v>
      </c>
      <c r="G7">
        <v>3</v>
      </c>
      <c r="H7">
        <f>[1]技能设计!$S$141</f>
        <v>0</v>
      </c>
      <c r="I7">
        <f>[1]技能设计!$U$141</f>
        <v>0</v>
      </c>
      <c r="J7">
        <f>[1]技能设计!$W$141</f>
        <v>0</v>
      </c>
    </row>
    <row r="8" spans="1:10" x14ac:dyDescent="0.15">
      <c r="A8" t="str">
        <f>[1]法宝人物匹配!$J$1</f>
        <v>F_Yuanshuaizhanpao</v>
      </c>
      <c r="B8" t="str">
        <f>[1]技能设计!$F$142</f>
        <v>元帅降临</v>
      </c>
      <c r="C8">
        <f>[1]技能设计!$G$142</f>
        <v>7</v>
      </c>
      <c r="D8">
        <f>[1]技能设计!$H$142</f>
        <v>0</v>
      </c>
      <c r="E8">
        <f>[1]技能设计!$I$142</f>
        <v>0</v>
      </c>
      <c r="F8">
        <v>3</v>
      </c>
      <c r="G8">
        <v>3</v>
      </c>
      <c r="H8">
        <f>[1]技能设计!$S$142</f>
        <v>0</v>
      </c>
      <c r="I8">
        <f>[1]技能设计!$U$142</f>
        <v>0</v>
      </c>
      <c r="J8">
        <f>[1]技能设计!$W$142</f>
        <v>0</v>
      </c>
    </row>
    <row r="9" spans="1:10" x14ac:dyDescent="0.15">
      <c r="A9" t="str">
        <f>[1]法宝人物匹配!$J$1</f>
        <v>F_Yuanshuaizhanpao</v>
      </c>
      <c r="B9" t="str">
        <f>[1]技能设计!$F$143</f>
        <v>元帅降临</v>
      </c>
      <c r="C9">
        <f>[1]技能设计!$G$143</f>
        <v>8</v>
      </c>
      <c r="D9">
        <f>[1]技能设计!$H$143</f>
        <v>0</v>
      </c>
      <c r="E9">
        <f>[1]技能设计!$I$143</f>
        <v>0</v>
      </c>
      <c r="F9">
        <v>3</v>
      </c>
      <c r="G9">
        <v>3</v>
      </c>
      <c r="H9">
        <f>[1]技能设计!$S$143</f>
        <v>0</v>
      </c>
      <c r="I9">
        <f>[1]技能设计!$U$143</f>
        <v>0</v>
      </c>
      <c r="J9">
        <f>[1]技能设计!$W$143</f>
        <v>0</v>
      </c>
    </row>
    <row r="10" spans="1:10" x14ac:dyDescent="0.15">
      <c r="A10" t="str">
        <f>[1]法宝人物匹配!$J$1</f>
        <v>F_Yuanshuaizhanpao</v>
      </c>
      <c r="B10" t="str">
        <f>[1]技能设计!$F$144</f>
        <v>元帅降临</v>
      </c>
      <c r="C10">
        <f>[1]技能设计!$G$144</f>
        <v>9</v>
      </c>
      <c r="D10">
        <f>[1]技能设计!$H$144</f>
        <v>0</v>
      </c>
      <c r="E10">
        <f>[1]技能设计!$I$144</f>
        <v>0</v>
      </c>
      <c r="F10">
        <v>3</v>
      </c>
      <c r="G10">
        <v>3</v>
      </c>
      <c r="H10">
        <f>[1]技能设计!$S$144</f>
        <v>0</v>
      </c>
      <c r="I10">
        <f>[1]技能设计!$U$144</f>
        <v>0</v>
      </c>
      <c r="J10">
        <f>[1]技能设计!$W$144</f>
        <v>0</v>
      </c>
    </row>
    <row r="11" spans="1:10" x14ac:dyDescent="0.15">
      <c r="A11" t="str">
        <f>[1]法宝人物匹配!$J$1</f>
        <v>F_Yuanshuaizhanpao</v>
      </c>
      <c r="B11" t="str">
        <f>[1]技能设计!$F$145</f>
        <v>元帅降临</v>
      </c>
      <c r="C11">
        <f>[1]技能设计!$G$145</f>
        <v>10</v>
      </c>
      <c r="D11">
        <f>[1]技能设计!$H$145</f>
        <v>0</v>
      </c>
      <c r="E11">
        <f>[1]技能设计!$I$145</f>
        <v>0</v>
      </c>
      <c r="F11">
        <v>3</v>
      </c>
      <c r="G11">
        <v>3</v>
      </c>
      <c r="H11">
        <f>[1]技能设计!$S$145</f>
        <v>0</v>
      </c>
      <c r="I11">
        <f>[1]技能设计!$U$145</f>
        <v>0</v>
      </c>
      <c r="J11">
        <f>[1]技能设计!$W$145</f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I11"/>
  <sheetViews>
    <sheetView workbookViewId="0">
      <selection activeCell="A2" sqref="A2:A11"/>
    </sheetView>
  </sheetViews>
  <sheetFormatPr defaultRowHeight="13.5" x14ac:dyDescent="0.15"/>
  <sheetData>
    <row r="1" spans="1:9" x14ac:dyDescent="0.15">
      <c r="A1" t="s">
        <v>4</v>
      </c>
      <c r="B1" t="s">
        <v>2</v>
      </c>
      <c r="C1" t="s">
        <v>0</v>
      </c>
      <c r="D1" t="s">
        <v>3</v>
      </c>
      <c r="E1" t="s">
        <v>6</v>
      </c>
      <c r="F1" t="s">
        <v>8</v>
      </c>
      <c r="G1" t="s">
        <v>7</v>
      </c>
      <c r="H1" t="str">
        <f>[1]技能设计!$N$1</f>
        <v>Fanshi</v>
      </c>
      <c r="I1" t="str">
        <f>[1]技能设计!$AH$1</f>
        <v>BaojiDebuff</v>
      </c>
    </row>
    <row r="2" spans="1:9" x14ac:dyDescent="0.15">
      <c r="A2" t="str">
        <f>[1]法宝人物匹配!$K$1</f>
        <v>F_Dingfengzhu</v>
      </c>
      <c r="B2" t="str">
        <f>[1]技能设计!$F$147</f>
        <v>疾风</v>
      </c>
      <c r="C2">
        <f>[1]技能设计!$G$147</f>
        <v>1</v>
      </c>
      <c r="D2">
        <f>[1]技能设计!$H$147</f>
        <v>1</v>
      </c>
      <c r="E2" t="str">
        <f>[1]技能设计!$I$147</f>
        <v>Fanshi</v>
      </c>
      <c r="F2">
        <v>3</v>
      </c>
      <c r="G2">
        <v>3</v>
      </c>
      <c r="H2">
        <f>[1]技能设计!$N$147</f>
        <v>41</v>
      </c>
      <c r="I2">
        <f>[1]技能设计!$AH$147</f>
        <v>-0.02</v>
      </c>
    </row>
    <row r="3" spans="1:9" x14ac:dyDescent="0.15">
      <c r="A3" t="str">
        <f>[1]法宝人物匹配!$K$1</f>
        <v>F_Dingfengzhu</v>
      </c>
      <c r="B3" t="str">
        <f>[1]技能设计!$F$148</f>
        <v>疾风</v>
      </c>
      <c r="C3">
        <f>[1]技能设计!$G$148</f>
        <v>2</v>
      </c>
      <c r="D3">
        <f>[1]技能设计!$H$148</f>
        <v>2</v>
      </c>
      <c r="E3" t="str">
        <f>[1]技能设计!$I$148</f>
        <v>Fanshi</v>
      </c>
      <c r="F3">
        <v>3</v>
      </c>
      <c r="G3">
        <v>3</v>
      </c>
      <c r="H3">
        <f>[1]技能设计!$N$148</f>
        <v>172</v>
      </c>
      <c r="I3">
        <f>[1]技能设计!$AH$148</f>
        <v>-0.05</v>
      </c>
    </row>
    <row r="4" spans="1:9" x14ac:dyDescent="0.15">
      <c r="A4" t="str">
        <f>[1]法宝人物匹配!$K$1</f>
        <v>F_Dingfengzhu</v>
      </c>
      <c r="B4" t="str">
        <f>[1]技能设计!$F$149</f>
        <v>疾风</v>
      </c>
      <c r="C4">
        <f>[1]技能设计!$G$149</f>
        <v>3</v>
      </c>
      <c r="D4">
        <f>[1]技能设计!$H$149</f>
        <v>3</v>
      </c>
      <c r="E4" t="str">
        <f>[1]技能设计!$I$149</f>
        <v>Fanshi</v>
      </c>
      <c r="F4">
        <v>3</v>
      </c>
      <c r="G4">
        <v>3</v>
      </c>
      <c r="H4">
        <f>[1]技能设计!$N$149</f>
        <v>421</v>
      </c>
      <c r="I4">
        <f>[1]技能设计!$AH$149</f>
        <v>-7.0000000000000007E-2</v>
      </c>
    </row>
    <row r="5" spans="1:9" x14ac:dyDescent="0.15">
      <c r="A5" t="str">
        <f>[1]法宝人物匹配!$K$1</f>
        <v>F_Dingfengzhu</v>
      </c>
      <c r="B5" t="str">
        <f>[1]技能设计!$F$150</f>
        <v>疾风</v>
      </c>
      <c r="C5">
        <f>[1]技能设计!$G$150</f>
        <v>4</v>
      </c>
      <c r="D5">
        <f>[1]技能设计!$H$150</f>
        <v>5</v>
      </c>
      <c r="E5" t="str">
        <f>[1]技能设计!$I$150</f>
        <v>Fanshi</v>
      </c>
      <c r="F5">
        <v>3</v>
      </c>
      <c r="G5">
        <v>3</v>
      </c>
      <c r="H5">
        <f>[1]技能设计!$N$150</f>
        <v>3540</v>
      </c>
      <c r="I5">
        <f>[1]技能设计!$AH$150</f>
        <v>-0.1</v>
      </c>
    </row>
    <row r="6" spans="1:9" x14ac:dyDescent="0.15">
      <c r="A6" t="str">
        <f>[1]法宝人物匹配!$K$1</f>
        <v>F_Dingfengzhu</v>
      </c>
      <c r="B6" t="str">
        <f>[1]技能设计!$F$151</f>
        <v>烈风</v>
      </c>
      <c r="C6">
        <f>[1]技能设计!$G$151</f>
        <v>5</v>
      </c>
      <c r="D6">
        <f>[1]技能设计!$H$151</f>
        <v>0</v>
      </c>
      <c r="E6">
        <f>[1]技能设计!$I$151</f>
        <v>0</v>
      </c>
      <c r="F6">
        <v>3</v>
      </c>
      <c r="G6">
        <v>3</v>
      </c>
      <c r="H6">
        <f>[1]技能设计!$N$151</f>
        <v>0</v>
      </c>
      <c r="I6">
        <f>[1]技能设计!$AH$151</f>
        <v>0</v>
      </c>
    </row>
    <row r="7" spans="1:9" x14ac:dyDescent="0.15">
      <c r="A7" t="str">
        <f>[1]法宝人物匹配!$K$1</f>
        <v>F_Dingfengzhu</v>
      </c>
      <c r="B7" t="str">
        <f>[1]技能设计!$F$152</f>
        <v>烈风</v>
      </c>
      <c r="C7">
        <f>[1]技能设计!$G$152</f>
        <v>6</v>
      </c>
      <c r="D7">
        <f>[1]技能设计!$H$152</f>
        <v>0</v>
      </c>
      <c r="E7">
        <f>[1]技能设计!$I$152</f>
        <v>0</v>
      </c>
      <c r="F7">
        <v>3</v>
      </c>
      <c r="G7">
        <v>3</v>
      </c>
      <c r="H7">
        <f>[1]技能设计!$N$152</f>
        <v>0</v>
      </c>
      <c r="I7">
        <f>[1]技能设计!$AH$152</f>
        <v>0</v>
      </c>
    </row>
    <row r="8" spans="1:9" x14ac:dyDescent="0.15">
      <c r="A8" t="str">
        <f>[1]法宝人物匹配!$K$1</f>
        <v>F_Dingfengzhu</v>
      </c>
      <c r="B8" t="str">
        <f>[1]技能设计!$F$153</f>
        <v>烈风</v>
      </c>
      <c r="C8">
        <f>[1]技能设计!$G$153</f>
        <v>7</v>
      </c>
      <c r="D8">
        <f>[1]技能设计!$H$153</f>
        <v>0</v>
      </c>
      <c r="E8">
        <f>[1]技能设计!$I$153</f>
        <v>0</v>
      </c>
      <c r="F8">
        <v>3</v>
      </c>
      <c r="G8">
        <v>3</v>
      </c>
      <c r="H8">
        <f>[1]技能设计!$N$153</f>
        <v>0</v>
      </c>
      <c r="I8">
        <f>[1]技能设计!$AH$153</f>
        <v>0</v>
      </c>
    </row>
    <row r="9" spans="1:9" x14ac:dyDescent="0.15">
      <c r="A9" t="str">
        <f>[1]法宝人物匹配!$K$1</f>
        <v>F_Dingfengzhu</v>
      </c>
      <c r="B9" t="str">
        <f>[1]技能设计!$F$154</f>
        <v>神风</v>
      </c>
      <c r="C9">
        <f>[1]技能设计!$G$154</f>
        <v>8</v>
      </c>
      <c r="D9">
        <f>[1]技能设计!$H$154</f>
        <v>0</v>
      </c>
      <c r="E9">
        <f>[1]技能设计!$I$154</f>
        <v>0</v>
      </c>
      <c r="F9">
        <v>3</v>
      </c>
      <c r="G9">
        <v>3</v>
      </c>
      <c r="H9">
        <f>[1]技能设计!$N$154</f>
        <v>0</v>
      </c>
      <c r="I9">
        <f>[1]技能设计!$AH$154</f>
        <v>0</v>
      </c>
    </row>
    <row r="10" spans="1:9" x14ac:dyDescent="0.15">
      <c r="A10" t="str">
        <f>[1]法宝人物匹配!$K$1</f>
        <v>F_Dingfengzhu</v>
      </c>
      <c r="B10" t="str">
        <f>[1]技能设计!$F$155</f>
        <v>神风</v>
      </c>
      <c r="C10">
        <f>[1]技能设计!$G$155</f>
        <v>9</v>
      </c>
      <c r="D10">
        <f>[1]技能设计!$H$155</f>
        <v>0</v>
      </c>
      <c r="E10">
        <f>[1]技能设计!$I$155</f>
        <v>0</v>
      </c>
      <c r="F10">
        <v>3</v>
      </c>
      <c r="G10">
        <v>3</v>
      </c>
      <c r="H10">
        <f>[1]技能设计!$N$155</f>
        <v>0</v>
      </c>
      <c r="I10">
        <f>[1]技能设计!$AH$155</f>
        <v>0</v>
      </c>
    </row>
    <row r="11" spans="1:9" x14ac:dyDescent="0.15">
      <c r="A11" t="str">
        <f>[1]法宝人物匹配!$K$1</f>
        <v>F_Dingfengzhu</v>
      </c>
      <c r="B11" t="str">
        <f>[1]技能设计!$F$156</f>
        <v>神风</v>
      </c>
      <c r="C11">
        <f>[1]技能设计!$G$156</f>
        <v>10</v>
      </c>
      <c r="D11">
        <f>[1]技能设计!$H$156</f>
        <v>0</v>
      </c>
      <c r="E11">
        <f>[1]技能设计!$I$156</f>
        <v>0</v>
      </c>
      <c r="F11">
        <v>3</v>
      </c>
      <c r="G11">
        <v>3</v>
      </c>
      <c r="H11">
        <f>[1]技能设计!$N$156</f>
        <v>0</v>
      </c>
      <c r="I11">
        <f>[1]技能设计!$AH$156</f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I11"/>
  <sheetViews>
    <sheetView workbookViewId="0">
      <selection activeCell="A2" sqref="A2:A11"/>
    </sheetView>
  </sheetViews>
  <sheetFormatPr defaultRowHeight="13.5" x14ac:dyDescent="0.15"/>
  <cols>
    <col min="8" max="8" width="14.75" customWidth="1"/>
    <col min="9" max="9" width="16.625" customWidth="1"/>
  </cols>
  <sheetData>
    <row r="1" spans="1:9" x14ac:dyDescent="0.15">
      <c r="A1" t="s">
        <v>4</v>
      </c>
      <c r="B1" t="s">
        <v>2</v>
      </c>
      <c r="C1" t="s">
        <v>0</v>
      </c>
      <c r="D1" t="s">
        <v>3</v>
      </c>
      <c r="E1" t="s">
        <v>5</v>
      </c>
      <c r="F1" t="s">
        <v>8</v>
      </c>
      <c r="G1" t="s">
        <v>7</v>
      </c>
      <c r="H1" t="str">
        <f>[1]技能设计!$AX$1</f>
        <v>Baojiguanghuan</v>
      </c>
      <c r="I1" t="str">
        <f>[1]技能设计!$AZ$1</f>
        <v>Kuangreguanghuan</v>
      </c>
    </row>
    <row r="2" spans="1:9" x14ac:dyDescent="0.15">
      <c r="A2" t="str">
        <f>[1]法宝人物匹配!$K$1</f>
        <v>F_Dingfengzhu</v>
      </c>
      <c r="B2" t="str">
        <f>[1]技能设计!$F$158</f>
        <v>风阵</v>
      </c>
      <c r="C2">
        <f>[1]技能设计!$G$158</f>
        <v>1</v>
      </c>
      <c r="D2">
        <f>[1]技能设计!$H$158</f>
        <v>4</v>
      </c>
      <c r="E2" t="str">
        <f>[1]技能设计!$I$158</f>
        <v>Juqi</v>
      </c>
      <c r="F2">
        <v>3</v>
      </c>
      <c r="G2">
        <v>3</v>
      </c>
      <c r="H2">
        <f>[1]技能设计!$AX$158</f>
        <v>0.06</v>
      </c>
      <c r="I2">
        <f>[1]技能设计!$AZ$158</f>
        <v>9.2999999999999999E-2</v>
      </c>
    </row>
    <row r="3" spans="1:9" x14ac:dyDescent="0.15">
      <c r="A3" t="str">
        <f>[1]法宝人物匹配!$K$1</f>
        <v>F_Dingfengzhu</v>
      </c>
      <c r="B3" t="str">
        <f>[1]技能设计!$F$159</f>
        <v>风阵</v>
      </c>
      <c r="C3">
        <f>[1]技能设计!$G$159</f>
        <v>2</v>
      </c>
      <c r="D3">
        <f>[1]技能设计!$H$159</f>
        <v>0</v>
      </c>
      <c r="E3">
        <f>[1]技能设计!$I$159</f>
        <v>0</v>
      </c>
      <c r="F3">
        <v>3</v>
      </c>
      <c r="G3">
        <v>3</v>
      </c>
      <c r="H3">
        <f>[1]技能设计!$AX$159</f>
        <v>0</v>
      </c>
      <c r="I3">
        <f>[1]技能设计!$AZ$159</f>
        <v>0</v>
      </c>
    </row>
    <row r="4" spans="1:9" x14ac:dyDescent="0.15">
      <c r="A4" t="str">
        <f>[1]法宝人物匹配!$K$1</f>
        <v>F_Dingfengzhu</v>
      </c>
      <c r="B4" t="str">
        <f>[1]技能设计!$F$160</f>
        <v>风阵</v>
      </c>
      <c r="C4">
        <f>[1]技能设计!$G$160</f>
        <v>3</v>
      </c>
      <c r="D4">
        <f>[1]技能设计!$H$160</f>
        <v>0</v>
      </c>
      <c r="E4">
        <f>[1]技能设计!$I$160</f>
        <v>0</v>
      </c>
      <c r="F4">
        <v>3</v>
      </c>
      <c r="G4">
        <v>3</v>
      </c>
      <c r="H4">
        <f>[1]技能设计!$AX$160</f>
        <v>0</v>
      </c>
      <c r="I4">
        <f>[1]技能设计!$AZ$160</f>
        <v>0</v>
      </c>
    </row>
    <row r="5" spans="1:9" x14ac:dyDescent="0.15">
      <c r="A5" t="str">
        <f>[1]法宝人物匹配!$K$1</f>
        <v>F_Dingfengzhu</v>
      </c>
      <c r="B5" t="str">
        <f>[1]技能设计!$F$161</f>
        <v>风阵</v>
      </c>
      <c r="C5">
        <f>[1]技能设计!$G$161</f>
        <v>4</v>
      </c>
      <c r="D5">
        <f>[1]技能设计!$H$161</f>
        <v>0</v>
      </c>
      <c r="E5">
        <f>[1]技能设计!$I$161</f>
        <v>0</v>
      </c>
      <c r="F5">
        <v>3</v>
      </c>
      <c r="G5">
        <v>3</v>
      </c>
      <c r="H5">
        <f>[1]技能设计!$AX$161</f>
        <v>0</v>
      </c>
      <c r="I5">
        <f>[1]技能设计!$AZ$161</f>
        <v>0</v>
      </c>
    </row>
    <row r="6" spans="1:9" x14ac:dyDescent="0.15">
      <c r="A6" t="str">
        <f>[1]法宝人物匹配!$K$1</f>
        <v>F_Dingfengzhu</v>
      </c>
      <c r="B6" t="str">
        <f>[1]技能设计!$F$162</f>
        <v>风阵</v>
      </c>
      <c r="C6">
        <f>[1]技能设计!$G$162</f>
        <v>5</v>
      </c>
      <c r="D6">
        <f>[1]技能设计!$H$162</f>
        <v>0</v>
      </c>
      <c r="E6">
        <f>[1]技能设计!$I$162</f>
        <v>0</v>
      </c>
      <c r="F6">
        <v>3</v>
      </c>
      <c r="G6">
        <v>3</v>
      </c>
      <c r="H6">
        <f>[1]技能设计!$AX$162</f>
        <v>0</v>
      </c>
      <c r="I6">
        <f>[1]技能设计!$AZ$162</f>
        <v>0</v>
      </c>
    </row>
    <row r="7" spans="1:9" x14ac:dyDescent="0.15">
      <c r="A7" t="str">
        <f>[1]法宝人物匹配!$K$1</f>
        <v>F_Dingfengzhu</v>
      </c>
      <c r="B7" t="str">
        <f>[1]技能设计!$F$163</f>
        <v>风牢</v>
      </c>
      <c r="C7">
        <f>[1]技能设计!$G$163</f>
        <v>6</v>
      </c>
      <c r="D7">
        <f>[1]技能设计!$H$163</f>
        <v>0</v>
      </c>
      <c r="E7">
        <f>[1]技能设计!$I$163</f>
        <v>0</v>
      </c>
      <c r="F7">
        <v>3</v>
      </c>
      <c r="G7">
        <v>3</v>
      </c>
      <c r="H7">
        <f>[1]技能设计!$AX$163</f>
        <v>0</v>
      </c>
      <c r="I7">
        <f>[1]技能设计!$AZ$163</f>
        <v>0</v>
      </c>
    </row>
    <row r="8" spans="1:9" x14ac:dyDescent="0.15">
      <c r="A8" t="str">
        <f>[1]法宝人物匹配!$K$1</f>
        <v>F_Dingfengzhu</v>
      </c>
      <c r="B8" t="str">
        <f>[1]技能设计!$F$164</f>
        <v>风牢</v>
      </c>
      <c r="C8">
        <f>[1]技能设计!$G$164</f>
        <v>7</v>
      </c>
      <c r="D8">
        <f>[1]技能设计!$H$164</f>
        <v>0</v>
      </c>
      <c r="E8">
        <f>[1]技能设计!$I$164</f>
        <v>0</v>
      </c>
      <c r="F8">
        <v>3</v>
      </c>
      <c r="G8">
        <v>3</v>
      </c>
      <c r="H8">
        <f>[1]技能设计!$AX$164</f>
        <v>0</v>
      </c>
      <c r="I8">
        <f>[1]技能设计!$AZ$164</f>
        <v>0</v>
      </c>
    </row>
    <row r="9" spans="1:9" x14ac:dyDescent="0.15">
      <c r="A9" t="str">
        <f>[1]法宝人物匹配!$K$1</f>
        <v>F_Dingfengzhu</v>
      </c>
      <c r="B9" t="str">
        <f>[1]技能设计!$F$165</f>
        <v>风牢</v>
      </c>
      <c r="C9">
        <f>[1]技能设计!$G$165</f>
        <v>8</v>
      </c>
      <c r="D9">
        <f>[1]技能设计!$H$165</f>
        <v>0</v>
      </c>
      <c r="E9">
        <f>[1]技能设计!$I$165</f>
        <v>0</v>
      </c>
      <c r="F9">
        <v>3</v>
      </c>
      <c r="G9">
        <v>3</v>
      </c>
      <c r="H9">
        <f>[1]技能设计!$AX$165</f>
        <v>0</v>
      </c>
      <c r="I9">
        <f>[1]技能设计!$AZ$165</f>
        <v>0</v>
      </c>
    </row>
    <row r="10" spans="1:9" x14ac:dyDescent="0.15">
      <c r="A10" t="str">
        <f>[1]法宝人物匹配!$K$1</f>
        <v>F_Dingfengzhu</v>
      </c>
      <c r="B10" t="str">
        <f>[1]技能设计!$F$166</f>
        <v>风牢</v>
      </c>
      <c r="C10">
        <f>[1]技能设计!$G$166</f>
        <v>9</v>
      </c>
      <c r="D10">
        <f>[1]技能设计!$H$166</f>
        <v>0</v>
      </c>
      <c r="E10">
        <f>[1]技能设计!$I$166</f>
        <v>0</v>
      </c>
      <c r="F10">
        <v>3</v>
      </c>
      <c r="G10">
        <v>3</v>
      </c>
      <c r="H10">
        <f>[1]技能设计!$AX$166</f>
        <v>0</v>
      </c>
      <c r="I10">
        <f>[1]技能设计!$AZ$166</f>
        <v>0</v>
      </c>
    </row>
    <row r="11" spans="1:9" x14ac:dyDescent="0.15">
      <c r="A11" t="str">
        <f>[1]法宝人物匹配!$K$1</f>
        <v>F_Dingfengzhu</v>
      </c>
      <c r="B11" t="str">
        <f>[1]技能设计!$F$167</f>
        <v>风牢</v>
      </c>
      <c r="C11">
        <f>[1]技能设计!$G$167</f>
        <v>10</v>
      </c>
      <c r="D11">
        <f>[1]技能设计!$H$167</f>
        <v>0</v>
      </c>
      <c r="E11">
        <f>[1]技能设计!$I$167</f>
        <v>0</v>
      </c>
      <c r="F11">
        <v>3</v>
      </c>
      <c r="G11">
        <v>3</v>
      </c>
      <c r="H11">
        <f>[1]技能设计!$AX$167</f>
        <v>0</v>
      </c>
      <c r="I11">
        <f>[1]技能设计!$AZ$167</f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M15" sqref="M15"/>
    </sheetView>
  </sheetViews>
  <sheetFormatPr defaultRowHeight="13.5" x14ac:dyDescent="0.15"/>
  <sheetData>
    <row r="1" spans="1:8" x14ac:dyDescent="0.15">
      <c r="A1" t="s">
        <v>4</v>
      </c>
      <c r="B1" t="s">
        <v>2</v>
      </c>
      <c r="C1" t="s">
        <v>0</v>
      </c>
      <c r="D1" t="s">
        <v>3</v>
      </c>
      <c r="E1" t="s">
        <v>5</v>
      </c>
      <c r="F1" t="s">
        <v>8</v>
      </c>
      <c r="G1" t="s">
        <v>7</v>
      </c>
      <c r="H1" t="str">
        <f>[1]技能设计!$J$1</f>
        <v>Gongji</v>
      </c>
    </row>
    <row r="2" spans="1:8" x14ac:dyDescent="0.15">
      <c r="A2" t="str">
        <f>[1]法宝人物匹配!$L$1</f>
        <v>F_Yueyachan</v>
      </c>
      <c r="B2" t="str">
        <f>[1]技能设计!$F$169</f>
        <v>月牙斩</v>
      </c>
      <c r="C2">
        <f>[1]技能设计!$G$169</f>
        <v>1</v>
      </c>
      <c r="D2">
        <f>[1]技能设计!$H$169</f>
        <v>1</v>
      </c>
      <c r="E2" t="str">
        <f>[1]技能设计!$I$169</f>
        <v>Gongji</v>
      </c>
      <c r="F2">
        <v>3</v>
      </c>
      <c r="G2">
        <v>3</v>
      </c>
      <c r="H2">
        <f ca="1">[1]技能设计!$J$169</f>
        <v>43</v>
      </c>
    </row>
    <row r="3" spans="1:8" x14ac:dyDescent="0.15">
      <c r="A3" t="str">
        <f>[1]法宝人物匹配!$L$1</f>
        <v>F_Yueyachan</v>
      </c>
      <c r="B3" t="str">
        <f>[1]技能设计!$F$170</f>
        <v>月牙斩</v>
      </c>
      <c r="C3">
        <f>[1]技能设计!$G$170</f>
        <v>2</v>
      </c>
      <c r="D3">
        <f>[1]技能设计!$H$170</f>
        <v>2</v>
      </c>
      <c r="E3" t="str">
        <f>[1]技能设计!$I$170</f>
        <v>Gongji</v>
      </c>
      <c r="F3">
        <v>3</v>
      </c>
      <c r="G3">
        <v>3</v>
      </c>
      <c r="H3">
        <f ca="1">[1]技能设计!$J$170</f>
        <v>202</v>
      </c>
    </row>
    <row r="4" spans="1:8" x14ac:dyDescent="0.15">
      <c r="A4" t="str">
        <f>[1]法宝人物匹配!$L$1</f>
        <v>F_Yueyachan</v>
      </c>
      <c r="B4" t="str">
        <f>[1]技能设计!$F$171</f>
        <v>月牙斩</v>
      </c>
      <c r="C4">
        <f>[1]技能设计!$G$171</f>
        <v>3</v>
      </c>
      <c r="D4">
        <f>[1]技能设计!$H$171</f>
        <v>0</v>
      </c>
      <c r="E4">
        <f>[1]技能设计!$I$171</f>
        <v>0</v>
      </c>
      <c r="F4">
        <v>3</v>
      </c>
      <c r="G4">
        <v>3</v>
      </c>
      <c r="H4">
        <f>[1]技能设计!$J$171</f>
        <v>0</v>
      </c>
    </row>
    <row r="5" spans="1:8" x14ac:dyDescent="0.15">
      <c r="A5" t="str">
        <f>[1]法宝人物匹配!$L$1</f>
        <v>F_Yueyachan</v>
      </c>
      <c r="B5" t="str">
        <f>[1]技能设计!$F$172</f>
        <v>月牙斩</v>
      </c>
      <c r="C5">
        <f>[1]技能设计!$G$172</f>
        <v>4</v>
      </c>
      <c r="D5">
        <f>[1]技能设计!$H$172</f>
        <v>0</v>
      </c>
      <c r="E5">
        <f>[1]技能设计!$I$172</f>
        <v>0</v>
      </c>
      <c r="F5">
        <v>3</v>
      </c>
      <c r="G5">
        <v>3</v>
      </c>
      <c r="H5">
        <f>[1]技能设计!$J$172</f>
        <v>0</v>
      </c>
    </row>
    <row r="6" spans="1:8" x14ac:dyDescent="0.15">
      <c r="A6" t="str">
        <f>[1]法宝人物匹配!$L$1</f>
        <v>F_Yueyachan</v>
      </c>
      <c r="B6" t="str">
        <f>[1]技能设计!$F$173</f>
        <v>月牙斩</v>
      </c>
      <c r="C6">
        <f>[1]技能设计!$G$173</f>
        <v>5</v>
      </c>
      <c r="D6">
        <f>[1]技能设计!$H$173</f>
        <v>0</v>
      </c>
      <c r="E6">
        <f>[1]技能设计!$I$173</f>
        <v>0</v>
      </c>
      <c r="F6">
        <v>3</v>
      </c>
      <c r="G6">
        <v>3</v>
      </c>
      <c r="H6">
        <f>[1]技能设计!$J$173</f>
        <v>0</v>
      </c>
    </row>
    <row r="7" spans="1:8" x14ac:dyDescent="0.15">
      <c r="A7" t="str">
        <f>[1]法宝人物匹配!$L$1</f>
        <v>F_Yueyachan</v>
      </c>
      <c r="B7" t="str">
        <f>[1]技能设计!$F$174</f>
        <v>落月</v>
      </c>
      <c r="C7">
        <f>[1]技能设计!$G$174</f>
        <v>6</v>
      </c>
      <c r="D7">
        <f>[1]技能设计!$H$174</f>
        <v>0</v>
      </c>
      <c r="E7">
        <f>[1]技能设计!$I$174</f>
        <v>0</v>
      </c>
      <c r="F7">
        <v>3</v>
      </c>
      <c r="G7">
        <v>3</v>
      </c>
      <c r="H7">
        <f>[1]技能设计!$J$174</f>
        <v>0</v>
      </c>
    </row>
    <row r="8" spans="1:8" x14ac:dyDescent="0.15">
      <c r="A8" t="str">
        <f>[1]法宝人物匹配!$L$1</f>
        <v>F_Yueyachan</v>
      </c>
      <c r="B8" t="str">
        <f>[1]技能设计!$F$175</f>
        <v>落月</v>
      </c>
      <c r="C8">
        <f>[1]技能设计!$G$175</f>
        <v>7</v>
      </c>
      <c r="D8">
        <f>[1]技能设计!$H$175</f>
        <v>0</v>
      </c>
      <c r="E8">
        <f>[1]技能设计!$I$175</f>
        <v>0</v>
      </c>
      <c r="F8">
        <v>3</v>
      </c>
      <c r="G8">
        <v>3</v>
      </c>
      <c r="H8">
        <f>[1]技能设计!$J$175</f>
        <v>0</v>
      </c>
    </row>
    <row r="9" spans="1:8" x14ac:dyDescent="0.15">
      <c r="A9" t="str">
        <f>[1]法宝人物匹配!$L$1</f>
        <v>F_Yueyachan</v>
      </c>
      <c r="B9" t="str">
        <f>[1]技能设计!$F$176</f>
        <v>落月</v>
      </c>
      <c r="C9">
        <f>[1]技能设计!$G$176</f>
        <v>8</v>
      </c>
      <c r="D9">
        <f>[1]技能设计!$H$176</f>
        <v>0</v>
      </c>
      <c r="E9">
        <f>[1]技能设计!$I$176</f>
        <v>0</v>
      </c>
      <c r="F9">
        <v>3</v>
      </c>
      <c r="G9">
        <v>3</v>
      </c>
      <c r="H9">
        <f>[1]技能设计!$J$176</f>
        <v>0</v>
      </c>
    </row>
    <row r="10" spans="1:8" x14ac:dyDescent="0.15">
      <c r="A10" t="str">
        <f>[1]法宝人物匹配!$L$1</f>
        <v>F_Yueyachan</v>
      </c>
      <c r="B10" t="str">
        <f>[1]技能设计!$F$177</f>
        <v>落月</v>
      </c>
      <c r="C10">
        <f>[1]技能设计!$G$177</f>
        <v>9</v>
      </c>
      <c r="D10">
        <f>[1]技能设计!$H$177</f>
        <v>0</v>
      </c>
      <c r="E10">
        <f>[1]技能设计!$I$177</f>
        <v>0</v>
      </c>
      <c r="F10">
        <v>3</v>
      </c>
      <c r="G10">
        <v>3</v>
      </c>
      <c r="H10">
        <f>[1]技能设计!$J$177</f>
        <v>0</v>
      </c>
    </row>
    <row r="11" spans="1:8" x14ac:dyDescent="0.15">
      <c r="A11" t="str">
        <f>[1]法宝人物匹配!$L$1</f>
        <v>F_Yueyachan</v>
      </c>
      <c r="B11" t="str">
        <f>[1]技能设计!$F$178</f>
        <v>落月</v>
      </c>
      <c r="C11">
        <f>[1]技能设计!$G$178</f>
        <v>10</v>
      </c>
      <c r="D11">
        <f>[1]技能设计!$H$178</f>
        <v>0</v>
      </c>
      <c r="E11">
        <f>[1]技能设计!$I$178</f>
        <v>0</v>
      </c>
      <c r="F11">
        <v>3</v>
      </c>
      <c r="G11">
        <v>3</v>
      </c>
      <c r="H11">
        <f>[1]技能设计!$J$178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玩家卡牌配置表</vt:lpstr>
      <vt:lpstr>FabaoConf</vt:lpstr>
      <vt:lpstr>FaobaoJiacheng</vt:lpstr>
      <vt:lpstr>S_Huayuan</vt:lpstr>
      <vt:lpstr>S_Ziqixiangyao</vt:lpstr>
      <vt:lpstr>S_Jinghua</vt:lpstr>
      <vt:lpstr>S_Wuhuanfazhen</vt:lpstr>
      <vt:lpstr>S_Jiashahuti</vt:lpstr>
      <vt:lpstr>S_Jingu</vt:lpstr>
      <vt:lpstr>S_Luanbangda</vt:lpstr>
      <vt:lpstr>S_Qianjinding</vt:lpstr>
      <vt:lpstr>S_Jitu</vt:lpstr>
      <vt:lpstr>S_Longlin</vt:lpstr>
      <vt:lpstr>S_Julongshuaiwei</vt:lpstr>
      <vt:lpstr>S_Dingpakongza</vt:lpstr>
      <vt:lpstr>S_Zhanpaojiashen</vt:lpstr>
      <vt:lpstr>S_Jifeng</vt:lpstr>
      <vt:lpstr>S_Fengzhen</vt:lpstr>
      <vt:lpstr>S_Yueyazhan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2013-08-23T05:40:09Z</dcterms:modified>
</cp:coreProperties>
</file>