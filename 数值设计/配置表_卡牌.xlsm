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345" windowWidth="14805" windowHeight="7770" tabRatio="599"/>
  </bookViews>
  <sheets>
    <sheet name="MonsterCard" sheetId="30" r:id="rId1"/>
    <sheet name="Map" sheetId="3" r:id="rId2"/>
    <sheet name="CardConf" sheetId="31" r:id="rId3"/>
    <sheet name="C_TangSangzang" sheetId="1" r:id="rId4"/>
    <sheet name="C_SunWukong" sheetId="5" r:id="rId5"/>
    <sheet name="C_ZhuBajie" sheetId="6" r:id="rId6"/>
    <sheet name="C_ShaHeshang" sheetId="7" r:id="rId7"/>
    <sheet name="C_BaiLongma" sheetId="8" r:id="rId8"/>
    <sheet name="C_LiuBoxin" sheetId="9" r:id="rId9"/>
    <sheet name="C_WukongLiuyi" sheetId="10" r:id="rId10"/>
    <sheet name="C_GuiChengxiang" sheetId="11" r:id="rId11"/>
    <sheet name="C_LingXuzi" sheetId="12" r:id="rId12"/>
    <sheet name="C_HeiXiongjing" sheetId="13" r:id="rId13"/>
    <sheet name="C_HuXianfeng" sheetId="14" r:id="rId14"/>
    <sheet name="C_HuangFengguai" sheetId="15" r:id="rId15"/>
    <sheet name="C_PutongAttack" sheetId="16" r:id="rId16"/>
    <sheet name="C_PutongRecover" sheetId="17" r:id="rId17"/>
    <sheet name="C_PutongAgile" sheetId="18" r:id="rId18"/>
    <sheet name="C_PutongDefense" sheetId="19" r:id="rId19"/>
    <sheet name="C_JingyingAttack" sheetId="20" r:id="rId20"/>
    <sheet name="C_JingyingRecover" sheetId="21" r:id="rId21"/>
    <sheet name="C_JingyingAgile" sheetId="28" r:id="rId22"/>
    <sheet name="C_JingyingDefense" sheetId="27" r:id="rId23"/>
    <sheet name="C_BossAttack" sheetId="26" r:id="rId24"/>
    <sheet name="C_BossRecover" sheetId="25" r:id="rId25"/>
    <sheet name="C_BossAgile" sheetId="24" r:id="rId26"/>
    <sheet name="C_BossDefense" sheetId="23" r:id="rId27"/>
  </sheets>
  <externalReferences>
    <externalReference r:id="rId28"/>
    <externalReference r:id="rId29"/>
    <externalReference r:id="rId30"/>
  </externalReferences>
  <calcPr calcId="144525"/>
</workbook>
</file>

<file path=xl/calcChain.xml><?xml version="1.0" encoding="utf-8"?>
<calcChain xmlns="http://schemas.openxmlformats.org/spreadsheetml/2006/main">
  <c r="B23" i="30" l="1"/>
  <c r="D2" i="30" l="1"/>
  <c r="E2" i="30"/>
  <c r="F2" i="30"/>
  <c r="D3" i="30"/>
  <c r="E3" i="30"/>
  <c r="F3" i="30"/>
  <c r="D4" i="30"/>
  <c r="E4" i="30"/>
  <c r="F4" i="30"/>
  <c r="D5" i="30"/>
  <c r="E5" i="30"/>
  <c r="F5" i="30"/>
  <c r="D6" i="30"/>
  <c r="E6" i="30"/>
  <c r="F6" i="30"/>
  <c r="D7" i="30"/>
  <c r="E7" i="30"/>
  <c r="F7" i="30"/>
  <c r="D8" i="30"/>
  <c r="E8" i="30"/>
  <c r="F8" i="30"/>
  <c r="D9" i="30"/>
  <c r="E9" i="30"/>
  <c r="F9" i="30"/>
  <c r="D10" i="30"/>
  <c r="E10" i="30"/>
  <c r="F10" i="30"/>
  <c r="D11" i="30"/>
  <c r="E11" i="30"/>
  <c r="F11" i="30"/>
  <c r="D12" i="30"/>
  <c r="E12" i="30"/>
  <c r="F12" i="30"/>
  <c r="D13" i="30"/>
  <c r="E13" i="30"/>
  <c r="F13" i="30"/>
  <c r="D14" i="30"/>
  <c r="E14" i="30"/>
  <c r="F14" i="30"/>
  <c r="D15" i="30"/>
  <c r="E15" i="30"/>
  <c r="F15" i="30"/>
  <c r="D16" i="30"/>
  <c r="E16" i="30"/>
  <c r="F16" i="30"/>
  <c r="D17" i="30"/>
  <c r="E17" i="30"/>
  <c r="F17" i="30"/>
  <c r="D18" i="30"/>
  <c r="E18" i="30"/>
  <c r="F18" i="30"/>
  <c r="D19" i="30"/>
  <c r="E19" i="30"/>
  <c r="F19" i="30"/>
  <c r="D20" i="30"/>
  <c r="E20" i="30"/>
  <c r="F20" i="30"/>
  <c r="D21" i="30"/>
  <c r="E21" i="30"/>
  <c r="F21" i="30"/>
  <c r="D22" i="30"/>
  <c r="E22" i="30"/>
  <c r="F22" i="30"/>
  <c r="D23" i="30"/>
  <c r="E23" i="30"/>
  <c r="F23" i="30"/>
  <c r="D24" i="30"/>
  <c r="E24" i="30"/>
  <c r="F24" i="30"/>
  <c r="D25" i="30"/>
  <c r="E25" i="30"/>
  <c r="F25" i="30"/>
  <c r="D26" i="30"/>
  <c r="E26" i="30"/>
  <c r="F26" i="30"/>
  <c r="D27" i="30"/>
  <c r="E27" i="30"/>
  <c r="F27" i="30"/>
  <c r="D28" i="30"/>
  <c r="E28" i="30"/>
  <c r="F28" i="30"/>
  <c r="D29" i="30"/>
  <c r="E29" i="30"/>
  <c r="F29" i="30"/>
  <c r="D30" i="30"/>
  <c r="E30" i="30"/>
  <c r="F30" i="30"/>
  <c r="D31" i="30"/>
  <c r="E31" i="30"/>
  <c r="F31" i="30"/>
  <c r="D32" i="30"/>
  <c r="E32" i="30"/>
  <c r="F32" i="30"/>
  <c r="D33" i="30"/>
  <c r="E33" i="30"/>
  <c r="F33" i="30"/>
  <c r="D34" i="30"/>
  <c r="E34" i="30"/>
  <c r="F34" i="30"/>
  <c r="D35" i="30"/>
  <c r="E35" i="30"/>
  <c r="F35" i="30"/>
  <c r="D36" i="30"/>
  <c r="E36" i="30"/>
  <c r="F36" i="30"/>
  <c r="D37" i="30"/>
  <c r="E37" i="30"/>
  <c r="F37" i="30"/>
  <c r="D38" i="30"/>
  <c r="E38" i="30"/>
  <c r="F38" i="30"/>
  <c r="D39" i="30"/>
  <c r="E39" i="30"/>
  <c r="F39" i="30"/>
  <c r="D40" i="30"/>
  <c r="E40" i="30"/>
  <c r="F40" i="30"/>
  <c r="D41" i="30"/>
  <c r="E41" i="30"/>
  <c r="F41" i="30"/>
  <c r="D42" i="30"/>
  <c r="E42" i="30"/>
  <c r="F42" i="30"/>
  <c r="D43" i="30"/>
  <c r="E43" i="30"/>
  <c r="F43" i="30"/>
  <c r="D44" i="30"/>
  <c r="E44" i="30"/>
  <c r="F44" i="30"/>
  <c r="D45" i="30"/>
  <c r="E45" i="30"/>
  <c r="F45" i="30"/>
  <c r="D46" i="30"/>
  <c r="E46" i="30"/>
  <c r="F46" i="30"/>
  <c r="D47" i="30"/>
  <c r="E47" i="30"/>
  <c r="F47" i="30"/>
  <c r="D48" i="30"/>
  <c r="E48" i="30"/>
  <c r="F48" i="30"/>
  <c r="D49" i="30"/>
  <c r="E49" i="30"/>
  <c r="F49" i="30"/>
  <c r="D50" i="30"/>
  <c r="E50" i="30"/>
  <c r="F50" i="30"/>
  <c r="D51" i="30"/>
  <c r="E51" i="30"/>
  <c r="F51" i="30"/>
  <c r="D52" i="30"/>
  <c r="E52" i="30"/>
  <c r="F52" i="30"/>
  <c r="D53" i="30"/>
  <c r="E53" i="30"/>
  <c r="F53" i="30"/>
  <c r="D54" i="30"/>
  <c r="E54" i="30"/>
  <c r="F54" i="30"/>
  <c r="D55" i="30"/>
  <c r="E55" i="30"/>
  <c r="F55" i="30"/>
  <c r="D56" i="30"/>
  <c r="E56" i="30"/>
  <c r="F56" i="30"/>
  <c r="D57" i="30"/>
  <c r="E57" i="30"/>
  <c r="F57" i="30"/>
  <c r="D58" i="30"/>
  <c r="E58" i="30"/>
  <c r="F58" i="30"/>
  <c r="D59" i="30"/>
  <c r="E59" i="30"/>
  <c r="F59" i="30"/>
  <c r="C2" i="30" l="1"/>
  <c r="C3" i="30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L26" i="23"/>
  <c r="K26" i="23"/>
  <c r="J26" i="23"/>
  <c r="L25" i="23"/>
  <c r="K25" i="23"/>
  <c r="J25" i="23"/>
  <c r="L24" i="23"/>
  <c r="K24" i="23"/>
  <c r="J24" i="23"/>
  <c r="L23" i="23"/>
  <c r="K23" i="23"/>
  <c r="J23" i="23"/>
  <c r="L22" i="23"/>
  <c r="K22" i="23"/>
  <c r="J22" i="23"/>
  <c r="L21" i="23"/>
  <c r="K21" i="23"/>
  <c r="J21" i="23"/>
  <c r="L20" i="23"/>
  <c r="K20" i="23"/>
  <c r="J20" i="23"/>
  <c r="L19" i="23"/>
  <c r="K19" i="23"/>
  <c r="J19" i="23"/>
  <c r="L18" i="23"/>
  <c r="K18" i="23"/>
  <c r="J18" i="23"/>
  <c r="L17" i="23"/>
  <c r="K17" i="23"/>
  <c r="J17" i="23"/>
  <c r="L16" i="23"/>
  <c r="K16" i="23"/>
  <c r="J16" i="23"/>
  <c r="L15" i="23"/>
  <c r="K15" i="23"/>
  <c r="J15" i="23"/>
  <c r="L14" i="23"/>
  <c r="K14" i="23"/>
  <c r="J14" i="23"/>
  <c r="L13" i="23"/>
  <c r="K13" i="23"/>
  <c r="J13" i="23"/>
  <c r="L12" i="23"/>
  <c r="K12" i="23"/>
  <c r="J12" i="23"/>
  <c r="L11" i="23"/>
  <c r="K11" i="23"/>
  <c r="J11" i="23"/>
  <c r="L10" i="23"/>
  <c r="K10" i="23"/>
  <c r="J10" i="23"/>
  <c r="L9" i="23"/>
  <c r="K9" i="23"/>
  <c r="J9" i="23"/>
  <c r="L8" i="23"/>
  <c r="K8" i="23"/>
  <c r="J8" i="23"/>
  <c r="L7" i="23"/>
  <c r="K7" i="23"/>
  <c r="J7" i="23"/>
  <c r="L6" i="23"/>
  <c r="K6" i="23"/>
  <c r="J6" i="23"/>
  <c r="L5" i="23"/>
  <c r="K5" i="23"/>
  <c r="J5" i="23"/>
  <c r="L4" i="23"/>
  <c r="K4" i="23"/>
  <c r="J4" i="23"/>
  <c r="L3" i="23"/>
  <c r="K3" i="23"/>
  <c r="J3" i="23"/>
  <c r="L2" i="23"/>
  <c r="K2" i="23"/>
  <c r="J2" i="23"/>
  <c r="L26" i="24"/>
  <c r="K26" i="24"/>
  <c r="J26" i="24"/>
  <c r="L25" i="24"/>
  <c r="K25" i="24"/>
  <c r="J25" i="24"/>
  <c r="L24" i="24"/>
  <c r="K24" i="24"/>
  <c r="J24" i="24"/>
  <c r="L23" i="24"/>
  <c r="K23" i="24"/>
  <c r="J23" i="24"/>
  <c r="L22" i="24"/>
  <c r="K22" i="24"/>
  <c r="J22" i="24"/>
  <c r="L21" i="24"/>
  <c r="K21" i="24"/>
  <c r="J21" i="24"/>
  <c r="L20" i="24"/>
  <c r="K20" i="24"/>
  <c r="J20" i="24"/>
  <c r="L19" i="24"/>
  <c r="K19" i="24"/>
  <c r="J19" i="24"/>
  <c r="L18" i="24"/>
  <c r="K18" i="24"/>
  <c r="J18" i="24"/>
  <c r="L17" i="24"/>
  <c r="K17" i="24"/>
  <c r="J17" i="24"/>
  <c r="L16" i="24"/>
  <c r="K16" i="24"/>
  <c r="J16" i="24"/>
  <c r="L15" i="24"/>
  <c r="K15" i="24"/>
  <c r="J15" i="24"/>
  <c r="L14" i="24"/>
  <c r="K14" i="24"/>
  <c r="J14" i="24"/>
  <c r="L13" i="24"/>
  <c r="K13" i="24"/>
  <c r="J13" i="24"/>
  <c r="L12" i="24"/>
  <c r="K12" i="24"/>
  <c r="J12" i="24"/>
  <c r="L11" i="24"/>
  <c r="K11" i="24"/>
  <c r="J11" i="24"/>
  <c r="L10" i="24"/>
  <c r="K10" i="24"/>
  <c r="J10" i="24"/>
  <c r="L9" i="24"/>
  <c r="K9" i="24"/>
  <c r="J9" i="24"/>
  <c r="L8" i="24"/>
  <c r="K8" i="24"/>
  <c r="J8" i="24"/>
  <c r="L7" i="24"/>
  <c r="K7" i="24"/>
  <c r="J7" i="24"/>
  <c r="L6" i="24"/>
  <c r="K6" i="24"/>
  <c r="J6" i="24"/>
  <c r="L5" i="24"/>
  <c r="K5" i="24"/>
  <c r="J5" i="24"/>
  <c r="L4" i="24"/>
  <c r="K4" i="24"/>
  <c r="J4" i="24"/>
  <c r="L3" i="24"/>
  <c r="K3" i="24"/>
  <c r="J3" i="24"/>
  <c r="L2" i="24"/>
  <c r="K2" i="24"/>
  <c r="J2" i="24"/>
  <c r="L26" i="25"/>
  <c r="K26" i="25"/>
  <c r="J26" i="25"/>
  <c r="L25" i="25"/>
  <c r="K25" i="25"/>
  <c r="J25" i="25"/>
  <c r="L24" i="25"/>
  <c r="K24" i="25"/>
  <c r="J24" i="25"/>
  <c r="L23" i="25"/>
  <c r="K23" i="25"/>
  <c r="J23" i="25"/>
  <c r="L22" i="25"/>
  <c r="K22" i="25"/>
  <c r="J22" i="25"/>
  <c r="L21" i="25"/>
  <c r="K21" i="25"/>
  <c r="J21" i="25"/>
  <c r="L20" i="25"/>
  <c r="K20" i="25"/>
  <c r="J20" i="25"/>
  <c r="L19" i="25"/>
  <c r="K19" i="25"/>
  <c r="J19" i="25"/>
  <c r="L18" i="25"/>
  <c r="K18" i="25"/>
  <c r="J18" i="25"/>
  <c r="L17" i="25"/>
  <c r="K17" i="25"/>
  <c r="J17" i="25"/>
  <c r="L16" i="25"/>
  <c r="K16" i="25"/>
  <c r="J16" i="25"/>
  <c r="L15" i="25"/>
  <c r="K15" i="25"/>
  <c r="J15" i="25"/>
  <c r="L14" i="25"/>
  <c r="K14" i="25"/>
  <c r="J14" i="25"/>
  <c r="L13" i="25"/>
  <c r="K13" i="25"/>
  <c r="J13" i="25"/>
  <c r="L12" i="25"/>
  <c r="K12" i="25"/>
  <c r="J12" i="25"/>
  <c r="L11" i="25"/>
  <c r="K11" i="25"/>
  <c r="J11" i="25"/>
  <c r="L10" i="25"/>
  <c r="K10" i="25"/>
  <c r="J10" i="25"/>
  <c r="L9" i="25"/>
  <c r="K9" i="25"/>
  <c r="J9" i="25"/>
  <c r="L8" i="25"/>
  <c r="K8" i="25"/>
  <c r="J8" i="25"/>
  <c r="L7" i="25"/>
  <c r="K7" i="25"/>
  <c r="J7" i="25"/>
  <c r="L6" i="25"/>
  <c r="K6" i="25"/>
  <c r="J6" i="25"/>
  <c r="L5" i="25"/>
  <c r="K5" i="25"/>
  <c r="J5" i="25"/>
  <c r="L4" i="25"/>
  <c r="K4" i="25"/>
  <c r="J4" i="25"/>
  <c r="L3" i="25"/>
  <c r="K3" i="25"/>
  <c r="J3" i="25"/>
  <c r="L2" i="25"/>
  <c r="K2" i="25"/>
  <c r="J2" i="25"/>
  <c r="L26" i="26"/>
  <c r="K26" i="26"/>
  <c r="J26" i="26"/>
  <c r="L25" i="26"/>
  <c r="K25" i="26"/>
  <c r="J25" i="26"/>
  <c r="L24" i="26"/>
  <c r="K24" i="26"/>
  <c r="J24" i="26"/>
  <c r="L23" i="26"/>
  <c r="K23" i="26"/>
  <c r="J23" i="26"/>
  <c r="L22" i="26"/>
  <c r="K22" i="26"/>
  <c r="J22" i="26"/>
  <c r="L21" i="26"/>
  <c r="K21" i="26"/>
  <c r="J21" i="26"/>
  <c r="L20" i="26"/>
  <c r="K20" i="26"/>
  <c r="J20" i="26"/>
  <c r="L19" i="26"/>
  <c r="K19" i="26"/>
  <c r="J19" i="26"/>
  <c r="L18" i="26"/>
  <c r="K18" i="26"/>
  <c r="J18" i="26"/>
  <c r="L17" i="26"/>
  <c r="K17" i="26"/>
  <c r="J17" i="26"/>
  <c r="L16" i="26"/>
  <c r="K16" i="26"/>
  <c r="J16" i="26"/>
  <c r="L15" i="26"/>
  <c r="K15" i="26"/>
  <c r="J15" i="26"/>
  <c r="L14" i="26"/>
  <c r="K14" i="26"/>
  <c r="J14" i="26"/>
  <c r="L13" i="26"/>
  <c r="K13" i="26"/>
  <c r="J13" i="26"/>
  <c r="L12" i="26"/>
  <c r="K12" i="26"/>
  <c r="J12" i="26"/>
  <c r="L11" i="26"/>
  <c r="K11" i="26"/>
  <c r="J11" i="26"/>
  <c r="L10" i="26"/>
  <c r="K10" i="26"/>
  <c r="J10" i="26"/>
  <c r="L9" i="26"/>
  <c r="K9" i="26"/>
  <c r="J9" i="26"/>
  <c r="L8" i="26"/>
  <c r="K8" i="26"/>
  <c r="J8" i="26"/>
  <c r="L7" i="26"/>
  <c r="K7" i="26"/>
  <c r="J7" i="26"/>
  <c r="L6" i="26"/>
  <c r="K6" i="26"/>
  <c r="J6" i="26"/>
  <c r="L5" i="26"/>
  <c r="K5" i="26"/>
  <c r="J5" i="26"/>
  <c r="L4" i="26"/>
  <c r="K4" i="26"/>
  <c r="J4" i="26"/>
  <c r="L3" i="26"/>
  <c r="K3" i="26"/>
  <c r="J3" i="26"/>
  <c r="L2" i="26"/>
  <c r="K2" i="26"/>
  <c r="J2" i="26"/>
  <c r="L26" i="27"/>
  <c r="K26" i="27"/>
  <c r="J26" i="27"/>
  <c r="L25" i="27"/>
  <c r="K25" i="27"/>
  <c r="J25" i="27"/>
  <c r="L24" i="27"/>
  <c r="K24" i="27"/>
  <c r="J24" i="27"/>
  <c r="L23" i="27"/>
  <c r="K23" i="27"/>
  <c r="J23" i="27"/>
  <c r="L22" i="27"/>
  <c r="K22" i="27"/>
  <c r="J22" i="27"/>
  <c r="L21" i="27"/>
  <c r="K21" i="27"/>
  <c r="J21" i="27"/>
  <c r="L20" i="27"/>
  <c r="K20" i="27"/>
  <c r="J20" i="27"/>
  <c r="L19" i="27"/>
  <c r="K19" i="27"/>
  <c r="J19" i="27"/>
  <c r="L18" i="27"/>
  <c r="K18" i="27"/>
  <c r="J18" i="27"/>
  <c r="L17" i="27"/>
  <c r="K17" i="27"/>
  <c r="J17" i="27"/>
  <c r="L16" i="27"/>
  <c r="K16" i="27"/>
  <c r="J16" i="27"/>
  <c r="L15" i="27"/>
  <c r="K15" i="27"/>
  <c r="J15" i="27"/>
  <c r="L14" i="27"/>
  <c r="K14" i="27"/>
  <c r="J14" i="27"/>
  <c r="L13" i="27"/>
  <c r="K13" i="27"/>
  <c r="J13" i="27"/>
  <c r="L12" i="27"/>
  <c r="K12" i="27"/>
  <c r="J12" i="27"/>
  <c r="L11" i="27"/>
  <c r="K11" i="27"/>
  <c r="J11" i="27"/>
  <c r="L10" i="27"/>
  <c r="K10" i="27"/>
  <c r="J10" i="27"/>
  <c r="L9" i="27"/>
  <c r="K9" i="27"/>
  <c r="J9" i="27"/>
  <c r="L8" i="27"/>
  <c r="K8" i="27"/>
  <c r="J8" i="27"/>
  <c r="L7" i="27"/>
  <c r="K7" i="27"/>
  <c r="J7" i="27"/>
  <c r="L6" i="27"/>
  <c r="K6" i="27"/>
  <c r="J6" i="27"/>
  <c r="L5" i="27"/>
  <c r="K5" i="27"/>
  <c r="J5" i="27"/>
  <c r="L4" i="27"/>
  <c r="K4" i="27"/>
  <c r="J4" i="27"/>
  <c r="L3" i="27"/>
  <c r="K3" i="27"/>
  <c r="J3" i="27"/>
  <c r="L2" i="27"/>
  <c r="K2" i="27"/>
  <c r="J2" i="27"/>
  <c r="L26" i="28"/>
  <c r="K26" i="28"/>
  <c r="J26" i="28"/>
  <c r="L25" i="28"/>
  <c r="K25" i="28"/>
  <c r="J25" i="28"/>
  <c r="L24" i="28"/>
  <c r="K24" i="28"/>
  <c r="J24" i="28"/>
  <c r="L23" i="28"/>
  <c r="K23" i="28"/>
  <c r="J23" i="28"/>
  <c r="L22" i="28"/>
  <c r="K22" i="28"/>
  <c r="J22" i="28"/>
  <c r="L21" i="28"/>
  <c r="K21" i="28"/>
  <c r="J21" i="28"/>
  <c r="L20" i="28"/>
  <c r="K20" i="28"/>
  <c r="J20" i="28"/>
  <c r="L19" i="28"/>
  <c r="K19" i="28"/>
  <c r="J19" i="28"/>
  <c r="L18" i="28"/>
  <c r="K18" i="28"/>
  <c r="J18" i="28"/>
  <c r="L17" i="28"/>
  <c r="K17" i="28"/>
  <c r="J17" i="28"/>
  <c r="L16" i="28"/>
  <c r="K16" i="28"/>
  <c r="J16" i="28"/>
  <c r="L15" i="28"/>
  <c r="K15" i="28"/>
  <c r="J15" i="28"/>
  <c r="L14" i="28"/>
  <c r="K14" i="28"/>
  <c r="J14" i="28"/>
  <c r="L13" i="28"/>
  <c r="K13" i="28"/>
  <c r="J13" i="28"/>
  <c r="L12" i="28"/>
  <c r="K12" i="28"/>
  <c r="J12" i="28"/>
  <c r="L11" i="28"/>
  <c r="K11" i="28"/>
  <c r="J11" i="28"/>
  <c r="L10" i="28"/>
  <c r="K10" i="28"/>
  <c r="J10" i="28"/>
  <c r="L9" i="28"/>
  <c r="K9" i="28"/>
  <c r="J9" i="28"/>
  <c r="L8" i="28"/>
  <c r="K8" i="28"/>
  <c r="J8" i="28"/>
  <c r="L7" i="28"/>
  <c r="K7" i="28"/>
  <c r="J7" i="28"/>
  <c r="L6" i="28"/>
  <c r="K6" i="28"/>
  <c r="J6" i="28"/>
  <c r="L5" i="28"/>
  <c r="K5" i="28"/>
  <c r="J5" i="28"/>
  <c r="L4" i="28"/>
  <c r="K4" i="28"/>
  <c r="J4" i="28"/>
  <c r="L3" i="28"/>
  <c r="K3" i="28"/>
  <c r="J3" i="28"/>
  <c r="L2" i="28"/>
  <c r="K2" i="28"/>
  <c r="J2" i="28"/>
  <c r="L26" i="21"/>
  <c r="K26" i="21"/>
  <c r="J26" i="21"/>
  <c r="L25" i="21"/>
  <c r="K25" i="21"/>
  <c r="J25" i="21"/>
  <c r="L24" i="21"/>
  <c r="K24" i="21"/>
  <c r="J24" i="21"/>
  <c r="L23" i="21"/>
  <c r="K23" i="21"/>
  <c r="J23" i="21"/>
  <c r="L22" i="21"/>
  <c r="K22" i="21"/>
  <c r="J22" i="21"/>
  <c r="L21" i="21"/>
  <c r="K21" i="21"/>
  <c r="J21" i="21"/>
  <c r="L20" i="21"/>
  <c r="K20" i="21"/>
  <c r="J20" i="21"/>
  <c r="L19" i="21"/>
  <c r="K19" i="21"/>
  <c r="J19" i="21"/>
  <c r="L18" i="21"/>
  <c r="K18" i="21"/>
  <c r="J18" i="21"/>
  <c r="L17" i="21"/>
  <c r="K17" i="21"/>
  <c r="J17" i="21"/>
  <c r="L16" i="21"/>
  <c r="K16" i="21"/>
  <c r="J16" i="21"/>
  <c r="L15" i="21"/>
  <c r="K15" i="21"/>
  <c r="J15" i="21"/>
  <c r="L14" i="21"/>
  <c r="K14" i="21"/>
  <c r="J14" i="21"/>
  <c r="L13" i="21"/>
  <c r="K13" i="21"/>
  <c r="J13" i="21"/>
  <c r="L12" i="21"/>
  <c r="K12" i="21"/>
  <c r="J12" i="21"/>
  <c r="L11" i="21"/>
  <c r="K11" i="21"/>
  <c r="J11" i="21"/>
  <c r="L10" i="21"/>
  <c r="K10" i="21"/>
  <c r="J10" i="21"/>
  <c r="L9" i="21"/>
  <c r="K9" i="21"/>
  <c r="J9" i="21"/>
  <c r="L8" i="21"/>
  <c r="K8" i="21"/>
  <c r="J8" i="21"/>
  <c r="L7" i="21"/>
  <c r="K7" i="21"/>
  <c r="J7" i="21"/>
  <c r="L6" i="21"/>
  <c r="K6" i="21"/>
  <c r="J6" i="21"/>
  <c r="L5" i="21"/>
  <c r="K5" i="21"/>
  <c r="J5" i="21"/>
  <c r="L4" i="21"/>
  <c r="K4" i="21"/>
  <c r="J4" i="21"/>
  <c r="L3" i="21"/>
  <c r="K3" i="21"/>
  <c r="J3" i="21"/>
  <c r="L2" i="21"/>
  <c r="K2" i="21"/>
  <c r="J2" i="21"/>
  <c r="L26" i="20"/>
  <c r="K26" i="20"/>
  <c r="J26" i="20"/>
  <c r="L25" i="20"/>
  <c r="K25" i="20"/>
  <c r="J25" i="20"/>
  <c r="L24" i="20"/>
  <c r="K24" i="20"/>
  <c r="J24" i="20"/>
  <c r="L23" i="20"/>
  <c r="K23" i="20"/>
  <c r="J23" i="20"/>
  <c r="L22" i="20"/>
  <c r="K22" i="20"/>
  <c r="J22" i="20"/>
  <c r="L21" i="20"/>
  <c r="K21" i="20"/>
  <c r="J21" i="20"/>
  <c r="L20" i="20"/>
  <c r="K20" i="20"/>
  <c r="J20" i="20"/>
  <c r="L19" i="20"/>
  <c r="K19" i="20"/>
  <c r="J19" i="20"/>
  <c r="L18" i="20"/>
  <c r="K18" i="20"/>
  <c r="J18" i="20"/>
  <c r="L17" i="20"/>
  <c r="K17" i="20"/>
  <c r="J17" i="20"/>
  <c r="L16" i="20"/>
  <c r="K16" i="20"/>
  <c r="J16" i="20"/>
  <c r="L15" i="20"/>
  <c r="K15" i="20"/>
  <c r="J15" i="20"/>
  <c r="L14" i="20"/>
  <c r="K14" i="20"/>
  <c r="J14" i="20"/>
  <c r="L13" i="20"/>
  <c r="K13" i="20"/>
  <c r="J13" i="20"/>
  <c r="L12" i="20"/>
  <c r="K12" i="20"/>
  <c r="J12" i="20"/>
  <c r="L11" i="20"/>
  <c r="K11" i="20"/>
  <c r="J11" i="20"/>
  <c r="L10" i="20"/>
  <c r="K10" i="20"/>
  <c r="J10" i="20"/>
  <c r="L9" i="20"/>
  <c r="K9" i="20"/>
  <c r="J9" i="20"/>
  <c r="L8" i="20"/>
  <c r="K8" i="20"/>
  <c r="J8" i="20"/>
  <c r="L7" i="20"/>
  <c r="K7" i="20"/>
  <c r="J7" i="20"/>
  <c r="L6" i="20"/>
  <c r="K6" i="20"/>
  <c r="J6" i="20"/>
  <c r="L5" i="20"/>
  <c r="K5" i="20"/>
  <c r="J5" i="20"/>
  <c r="L4" i="20"/>
  <c r="K4" i="20"/>
  <c r="J4" i="20"/>
  <c r="L3" i="20"/>
  <c r="K3" i="20"/>
  <c r="J3" i="20"/>
  <c r="L2" i="20"/>
  <c r="K2" i="20"/>
  <c r="J2" i="20"/>
  <c r="L26" i="19"/>
  <c r="K26" i="19"/>
  <c r="J26" i="19"/>
  <c r="L25" i="19"/>
  <c r="K25" i="19"/>
  <c r="J25" i="19"/>
  <c r="L24" i="19"/>
  <c r="K24" i="19"/>
  <c r="J24" i="19"/>
  <c r="L23" i="19"/>
  <c r="K23" i="19"/>
  <c r="J23" i="19"/>
  <c r="L22" i="19"/>
  <c r="K22" i="19"/>
  <c r="J22" i="19"/>
  <c r="L21" i="19"/>
  <c r="K21" i="19"/>
  <c r="J21" i="19"/>
  <c r="L20" i="19"/>
  <c r="K20" i="19"/>
  <c r="J20" i="19"/>
  <c r="L19" i="19"/>
  <c r="K19" i="19"/>
  <c r="J19" i="19"/>
  <c r="L18" i="19"/>
  <c r="K18" i="19"/>
  <c r="J18" i="19"/>
  <c r="L17" i="19"/>
  <c r="K17" i="19"/>
  <c r="J17" i="19"/>
  <c r="L16" i="19"/>
  <c r="K16" i="19"/>
  <c r="J16" i="19"/>
  <c r="L15" i="19"/>
  <c r="K15" i="19"/>
  <c r="J15" i="19"/>
  <c r="L14" i="19"/>
  <c r="K14" i="19"/>
  <c r="J14" i="19"/>
  <c r="L13" i="19"/>
  <c r="K13" i="19"/>
  <c r="J13" i="19"/>
  <c r="L12" i="19"/>
  <c r="K12" i="19"/>
  <c r="J12" i="19"/>
  <c r="L11" i="19"/>
  <c r="K11" i="19"/>
  <c r="J11" i="19"/>
  <c r="L10" i="19"/>
  <c r="K10" i="19"/>
  <c r="J10" i="19"/>
  <c r="L9" i="19"/>
  <c r="K9" i="19"/>
  <c r="J9" i="19"/>
  <c r="L8" i="19"/>
  <c r="K8" i="19"/>
  <c r="J8" i="19"/>
  <c r="L7" i="19"/>
  <c r="K7" i="19"/>
  <c r="J7" i="19"/>
  <c r="L6" i="19"/>
  <c r="K6" i="19"/>
  <c r="J6" i="19"/>
  <c r="L5" i="19"/>
  <c r="K5" i="19"/>
  <c r="J5" i="19"/>
  <c r="L4" i="19"/>
  <c r="K4" i="19"/>
  <c r="J4" i="19"/>
  <c r="L3" i="19"/>
  <c r="K3" i="19"/>
  <c r="J3" i="19"/>
  <c r="L2" i="19"/>
  <c r="K2" i="19"/>
  <c r="J2" i="19"/>
  <c r="L26" i="18"/>
  <c r="K26" i="18"/>
  <c r="J26" i="18"/>
  <c r="L25" i="18"/>
  <c r="K25" i="18"/>
  <c r="J25" i="18"/>
  <c r="L24" i="18"/>
  <c r="K24" i="18"/>
  <c r="J24" i="18"/>
  <c r="L23" i="18"/>
  <c r="K23" i="18"/>
  <c r="J23" i="18"/>
  <c r="L22" i="18"/>
  <c r="K22" i="18"/>
  <c r="J22" i="18"/>
  <c r="L21" i="18"/>
  <c r="K21" i="18"/>
  <c r="J21" i="18"/>
  <c r="L20" i="18"/>
  <c r="K20" i="18"/>
  <c r="J20" i="18"/>
  <c r="L19" i="18"/>
  <c r="K19" i="18"/>
  <c r="J19" i="18"/>
  <c r="L18" i="18"/>
  <c r="K18" i="18"/>
  <c r="J18" i="18"/>
  <c r="L17" i="18"/>
  <c r="K17" i="18"/>
  <c r="J17" i="18"/>
  <c r="L16" i="18"/>
  <c r="K16" i="18"/>
  <c r="J16" i="18"/>
  <c r="L15" i="18"/>
  <c r="K15" i="18"/>
  <c r="J15" i="18"/>
  <c r="L14" i="18"/>
  <c r="K14" i="18"/>
  <c r="J14" i="18"/>
  <c r="L13" i="18"/>
  <c r="K13" i="18"/>
  <c r="J13" i="18"/>
  <c r="L12" i="18"/>
  <c r="K12" i="18"/>
  <c r="J12" i="18"/>
  <c r="L11" i="18"/>
  <c r="K11" i="18"/>
  <c r="J11" i="18"/>
  <c r="L10" i="18"/>
  <c r="K10" i="18"/>
  <c r="J10" i="18"/>
  <c r="L9" i="18"/>
  <c r="K9" i="18"/>
  <c r="J9" i="18"/>
  <c r="L8" i="18"/>
  <c r="K8" i="18"/>
  <c r="J8" i="18"/>
  <c r="L7" i="18"/>
  <c r="K7" i="18"/>
  <c r="J7" i="18"/>
  <c r="L6" i="18"/>
  <c r="K6" i="18"/>
  <c r="J6" i="18"/>
  <c r="L5" i="18"/>
  <c r="K5" i="18"/>
  <c r="J5" i="18"/>
  <c r="L4" i="18"/>
  <c r="K4" i="18"/>
  <c r="J4" i="18"/>
  <c r="L3" i="18"/>
  <c r="K3" i="18"/>
  <c r="J3" i="18"/>
  <c r="L2" i="18"/>
  <c r="K2" i="18"/>
  <c r="J2" i="18"/>
  <c r="L26" i="17"/>
  <c r="K26" i="17"/>
  <c r="J26" i="17"/>
  <c r="L25" i="17"/>
  <c r="K25" i="17"/>
  <c r="J25" i="17"/>
  <c r="L24" i="17"/>
  <c r="K24" i="17"/>
  <c r="J24" i="17"/>
  <c r="L23" i="17"/>
  <c r="K23" i="17"/>
  <c r="J23" i="17"/>
  <c r="L22" i="17"/>
  <c r="K22" i="17"/>
  <c r="J22" i="17"/>
  <c r="L21" i="17"/>
  <c r="K21" i="17"/>
  <c r="J21" i="17"/>
  <c r="L20" i="17"/>
  <c r="K20" i="17"/>
  <c r="J20" i="17"/>
  <c r="L19" i="17"/>
  <c r="K19" i="17"/>
  <c r="J19" i="17"/>
  <c r="L18" i="17"/>
  <c r="K18" i="17"/>
  <c r="J18" i="17"/>
  <c r="L17" i="17"/>
  <c r="K17" i="17"/>
  <c r="J17" i="17"/>
  <c r="L16" i="17"/>
  <c r="K16" i="17"/>
  <c r="J16" i="17"/>
  <c r="L15" i="17"/>
  <c r="K15" i="17"/>
  <c r="J15" i="17"/>
  <c r="L14" i="17"/>
  <c r="K14" i="17"/>
  <c r="J14" i="17"/>
  <c r="L13" i="17"/>
  <c r="K13" i="17"/>
  <c r="J13" i="17"/>
  <c r="L12" i="17"/>
  <c r="K12" i="17"/>
  <c r="J12" i="17"/>
  <c r="L11" i="17"/>
  <c r="K11" i="17"/>
  <c r="J11" i="17"/>
  <c r="L10" i="17"/>
  <c r="K10" i="17"/>
  <c r="J10" i="17"/>
  <c r="L9" i="17"/>
  <c r="K9" i="17"/>
  <c r="J9" i="17"/>
  <c r="L8" i="17"/>
  <c r="K8" i="17"/>
  <c r="J8" i="17"/>
  <c r="L7" i="17"/>
  <c r="K7" i="17"/>
  <c r="J7" i="17"/>
  <c r="L6" i="17"/>
  <c r="K6" i="17"/>
  <c r="J6" i="17"/>
  <c r="L5" i="17"/>
  <c r="K5" i="17"/>
  <c r="J5" i="17"/>
  <c r="L4" i="17"/>
  <c r="K4" i="17"/>
  <c r="J4" i="17"/>
  <c r="L3" i="17"/>
  <c r="K3" i="17"/>
  <c r="J3" i="17"/>
  <c r="L2" i="17"/>
  <c r="K2" i="17"/>
  <c r="J2" i="17"/>
  <c r="L26" i="16"/>
  <c r="K26" i="16"/>
  <c r="J26" i="16"/>
  <c r="L25" i="16"/>
  <c r="K25" i="16"/>
  <c r="J25" i="16"/>
  <c r="L24" i="16"/>
  <c r="K24" i="16"/>
  <c r="J24" i="16"/>
  <c r="L23" i="16"/>
  <c r="K23" i="16"/>
  <c r="J23" i="16"/>
  <c r="L22" i="16"/>
  <c r="K22" i="16"/>
  <c r="J22" i="16"/>
  <c r="L21" i="16"/>
  <c r="K21" i="16"/>
  <c r="J21" i="16"/>
  <c r="L20" i="16"/>
  <c r="K20" i="16"/>
  <c r="J20" i="16"/>
  <c r="L19" i="16"/>
  <c r="K19" i="16"/>
  <c r="J19" i="16"/>
  <c r="L18" i="16"/>
  <c r="K18" i="16"/>
  <c r="J18" i="16"/>
  <c r="L17" i="16"/>
  <c r="K17" i="16"/>
  <c r="J17" i="16"/>
  <c r="L16" i="16"/>
  <c r="K16" i="16"/>
  <c r="J16" i="16"/>
  <c r="L15" i="16"/>
  <c r="K15" i="16"/>
  <c r="J15" i="16"/>
  <c r="L14" i="16"/>
  <c r="K14" i="16"/>
  <c r="J14" i="16"/>
  <c r="L13" i="16"/>
  <c r="K13" i="16"/>
  <c r="J13" i="16"/>
  <c r="L12" i="16"/>
  <c r="K12" i="16"/>
  <c r="J12" i="16"/>
  <c r="L11" i="16"/>
  <c r="K11" i="16"/>
  <c r="J11" i="16"/>
  <c r="L10" i="16"/>
  <c r="K10" i="16"/>
  <c r="J10" i="16"/>
  <c r="L9" i="16"/>
  <c r="K9" i="16"/>
  <c r="J9" i="16"/>
  <c r="L8" i="16"/>
  <c r="K8" i="16"/>
  <c r="J8" i="16"/>
  <c r="L7" i="16"/>
  <c r="K7" i="16"/>
  <c r="J7" i="16"/>
  <c r="L6" i="16"/>
  <c r="K6" i="16"/>
  <c r="J6" i="16"/>
  <c r="L5" i="16"/>
  <c r="K5" i="16"/>
  <c r="J5" i="16"/>
  <c r="L4" i="16"/>
  <c r="K4" i="16"/>
  <c r="J4" i="16"/>
  <c r="L3" i="16"/>
  <c r="K3" i="16"/>
  <c r="J3" i="16"/>
  <c r="L2" i="16"/>
  <c r="K2" i="16"/>
  <c r="J2" i="16"/>
  <c r="L26" i="15"/>
  <c r="K26" i="15"/>
  <c r="J26" i="15"/>
  <c r="L25" i="15"/>
  <c r="K25" i="15"/>
  <c r="J25" i="15"/>
  <c r="L24" i="15"/>
  <c r="K24" i="15"/>
  <c r="J24" i="15"/>
  <c r="L23" i="15"/>
  <c r="K23" i="15"/>
  <c r="J23" i="15"/>
  <c r="L22" i="15"/>
  <c r="K22" i="15"/>
  <c r="J22" i="15"/>
  <c r="L21" i="15"/>
  <c r="K21" i="15"/>
  <c r="J21" i="15"/>
  <c r="L20" i="15"/>
  <c r="K20" i="15"/>
  <c r="J20" i="15"/>
  <c r="L19" i="15"/>
  <c r="K19" i="15"/>
  <c r="J19" i="15"/>
  <c r="L18" i="15"/>
  <c r="K18" i="15"/>
  <c r="J18" i="15"/>
  <c r="L17" i="15"/>
  <c r="K17" i="15"/>
  <c r="J17" i="15"/>
  <c r="L16" i="15"/>
  <c r="K16" i="15"/>
  <c r="J16" i="15"/>
  <c r="L15" i="15"/>
  <c r="K15" i="15"/>
  <c r="J15" i="15"/>
  <c r="L14" i="15"/>
  <c r="K14" i="15"/>
  <c r="J14" i="15"/>
  <c r="L13" i="15"/>
  <c r="K13" i="15"/>
  <c r="J13" i="15"/>
  <c r="L12" i="15"/>
  <c r="K12" i="15"/>
  <c r="J12" i="15"/>
  <c r="L11" i="15"/>
  <c r="K11" i="15"/>
  <c r="J11" i="15"/>
  <c r="L10" i="15"/>
  <c r="K10" i="15"/>
  <c r="J10" i="15"/>
  <c r="L9" i="15"/>
  <c r="K9" i="15"/>
  <c r="J9" i="15"/>
  <c r="L8" i="15"/>
  <c r="K8" i="15"/>
  <c r="J8" i="15"/>
  <c r="L7" i="15"/>
  <c r="K7" i="15"/>
  <c r="J7" i="15"/>
  <c r="L6" i="15"/>
  <c r="K6" i="15"/>
  <c r="J6" i="15"/>
  <c r="L5" i="15"/>
  <c r="K5" i="15"/>
  <c r="J5" i="15"/>
  <c r="L4" i="15"/>
  <c r="K4" i="15"/>
  <c r="J4" i="15"/>
  <c r="L3" i="15"/>
  <c r="K3" i="15"/>
  <c r="J3" i="15"/>
  <c r="L2" i="15"/>
  <c r="K2" i="15"/>
  <c r="J2" i="15"/>
  <c r="L26" i="14"/>
  <c r="K26" i="14"/>
  <c r="J26" i="14"/>
  <c r="L25" i="14"/>
  <c r="K25" i="14"/>
  <c r="J25" i="14"/>
  <c r="L24" i="14"/>
  <c r="K24" i="14"/>
  <c r="J24" i="14"/>
  <c r="L23" i="14"/>
  <c r="K23" i="14"/>
  <c r="J23" i="14"/>
  <c r="L22" i="14"/>
  <c r="K22" i="14"/>
  <c r="J22" i="14"/>
  <c r="L21" i="14"/>
  <c r="K21" i="14"/>
  <c r="J21" i="14"/>
  <c r="L20" i="14"/>
  <c r="K20" i="14"/>
  <c r="J20" i="14"/>
  <c r="L19" i="14"/>
  <c r="K19" i="14"/>
  <c r="J19" i="14"/>
  <c r="L18" i="14"/>
  <c r="K18" i="14"/>
  <c r="J18" i="14"/>
  <c r="L17" i="14"/>
  <c r="K17" i="14"/>
  <c r="J17" i="14"/>
  <c r="L16" i="14"/>
  <c r="K16" i="14"/>
  <c r="J16" i="14"/>
  <c r="L15" i="14"/>
  <c r="K15" i="14"/>
  <c r="J15" i="14"/>
  <c r="L14" i="14"/>
  <c r="K14" i="14"/>
  <c r="J14" i="14"/>
  <c r="L13" i="14"/>
  <c r="K13" i="14"/>
  <c r="J13" i="14"/>
  <c r="L12" i="14"/>
  <c r="K12" i="14"/>
  <c r="J12" i="14"/>
  <c r="L11" i="14"/>
  <c r="K11" i="14"/>
  <c r="J11" i="14"/>
  <c r="L10" i="14"/>
  <c r="K10" i="14"/>
  <c r="J10" i="14"/>
  <c r="L9" i="14"/>
  <c r="K9" i="14"/>
  <c r="J9" i="14"/>
  <c r="L8" i="14"/>
  <c r="K8" i="14"/>
  <c r="J8" i="14"/>
  <c r="L7" i="14"/>
  <c r="K7" i="14"/>
  <c r="J7" i="14"/>
  <c r="L6" i="14"/>
  <c r="K6" i="14"/>
  <c r="J6" i="14"/>
  <c r="L5" i="14"/>
  <c r="K5" i="14"/>
  <c r="J5" i="14"/>
  <c r="L4" i="14"/>
  <c r="K4" i="14"/>
  <c r="J4" i="14"/>
  <c r="L3" i="14"/>
  <c r="K3" i="14"/>
  <c r="J3" i="14"/>
  <c r="L2" i="14"/>
  <c r="K2" i="14"/>
  <c r="J2" i="14"/>
  <c r="L26" i="13"/>
  <c r="K26" i="13"/>
  <c r="J26" i="13"/>
  <c r="L25" i="13"/>
  <c r="K25" i="13"/>
  <c r="J25" i="13"/>
  <c r="L24" i="13"/>
  <c r="K24" i="13"/>
  <c r="J24" i="13"/>
  <c r="L23" i="13"/>
  <c r="K23" i="13"/>
  <c r="J23" i="13"/>
  <c r="L22" i="13"/>
  <c r="K22" i="13"/>
  <c r="J22" i="13"/>
  <c r="L21" i="13"/>
  <c r="K21" i="13"/>
  <c r="J21" i="13"/>
  <c r="L20" i="13"/>
  <c r="K20" i="13"/>
  <c r="J20" i="13"/>
  <c r="L19" i="13"/>
  <c r="K19" i="13"/>
  <c r="J19" i="13"/>
  <c r="L18" i="13"/>
  <c r="K18" i="13"/>
  <c r="J18" i="13"/>
  <c r="L17" i="13"/>
  <c r="K17" i="13"/>
  <c r="J17" i="13"/>
  <c r="L16" i="13"/>
  <c r="K16" i="13"/>
  <c r="J16" i="13"/>
  <c r="L15" i="13"/>
  <c r="K15" i="13"/>
  <c r="J15" i="13"/>
  <c r="L14" i="13"/>
  <c r="K14" i="13"/>
  <c r="J14" i="13"/>
  <c r="L13" i="13"/>
  <c r="K13" i="13"/>
  <c r="J13" i="13"/>
  <c r="L12" i="13"/>
  <c r="K12" i="13"/>
  <c r="J12" i="13"/>
  <c r="L11" i="13"/>
  <c r="K11" i="13"/>
  <c r="J11" i="13"/>
  <c r="L10" i="13"/>
  <c r="K10" i="13"/>
  <c r="J10" i="13"/>
  <c r="L9" i="13"/>
  <c r="K9" i="13"/>
  <c r="J9" i="13"/>
  <c r="L8" i="13"/>
  <c r="K8" i="13"/>
  <c r="J8" i="13"/>
  <c r="L7" i="13"/>
  <c r="K7" i="13"/>
  <c r="J7" i="13"/>
  <c r="L6" i="13"/>
  <c r="K6" i="13"/>
  <c r="J6" i="13"/>
  <c r="L5" i="13"/>
  <c r="K5" i="13"/>
  <c r="J5" i="13"/>
  <c r="L4" i="13"/>
  <c r="K4" i="13"/>
  <c r="J4" i="13"/>
  <c r="L3" i="13"/>
  <c r="K3" i="13"/>
  <c r="J3" i="13"/>
  <c r="L2" i="13"/>
  <c r="K2" i="13"/>
  <c r="J2" i="13"/>
  <c r="L26" i="12"/>
  <c r="K26" i="12"/>
  <c r="J26" i="12"/>
  <c r="L25" i="12"/>
  <c r="K25" i="12"/>
  <c r="J25" i="12"/>
  <c r="L24" i="12"/>
  <c r="K24" i="12"/>
  <c r="J24" i="12"/>
  <c r="L23" i="12"/>
  <c r="K23" i="12"/>
  <c r="J23" i="12"/>
  <c r="L22" i="12"/>
  <c r="K22" i="12"/>
  <c r="J22" i="12"/>
  <c r="L21" i="12"/>
  <c r="K21" i="12"/>
  <c r="J21" i="12"/>
  <c r="L20" i="12"/>
  <c r="K20" i="12"/>
  <c r="J20" i="12"/>
  <c r="L19" i="12"/>
  <c r="K19" i="12"/>
  <c r="J19" i="12"/>
  <c r="L18" i="12"/>
  <c r="K18" i="12"/>
  <c r="J18" i="12"/>
  <c r="L17" i="12"/>
  <c r="K17" i="12"/>
  <c r="J17" i="12"/>
  <c r="L16" i="12"/>
  <c r="K16" i="12"/>
  <c r="J16" i="12"/>
  <c r="L15" i="12"/>
  <c r="K15" i="12"/>
  <c r="J15" i="12"/>
  <c r="L14" i="12"/>
  <c r="K14" i="12"/>
  <c r="J14" i="12"/>
  <c r="L13" i="12"/>
  <c r="K13" i="12"/>
  <c r="J13" i="12"/>
  <c r="L12" i="12"/>
  <c r="K12" i="12"/>
  <c r="J12" i="12"/>
  <c r="L11" i="12"/>
  <c r="K11" i="12"/>
  <c r="J11" i="12"/>
  <c r="L10" i="12"/>
  <c r="K10" i="12"/>
  <c r="J10" i="12"/>
  <c r="L9" i="12"/>
  <c r="K9" i="12"/>
  <c r="J9" i="12"/>
  <c r="L8" i="12"/>
  <c r="K8" i="12"/>
  <c r="J8" i="12"/>
  <c r="L7" i="12"/>
  <c r="K7" i="12"/>
  <c r="J7" i="12"/>
  <c r="L6" i="12"/>
  <c r="K6" i="12"/>
  <c r="J6" i="12"/>
  <c r="L5" i="12"/>
  <c r="K5" i="12"/>
  <c r="J5" i="12"/>
  <c r="L4" i="12"/>
  <c r="K4" i="12"/>
  <c r="J4" i="12"/>
  <c r="L3" i="12"/>
  <c r="K3" i="12"/>
  <c r="J3" i="12"/>
  <c r="L2" i="12"/>
  <c r="K2" i="12"/>
  <c r="J2" i="12"/>
  <c r="L26" i="11"/>
  <c r="K26" i="11"/>
  <c r="J26" i="11"/>
  <c r="L25" i="11"/>
  <c r="K25" i="11"/>
  <c r="J25" i="11"/>
  <c r="L24" i="11"/>
  <c r="K24" i="11"/>
  <c r="J24" i="11"/>
  <c r="L23" i="11"/>
  <c r="K23" i="11"/>
  <c r="J23" i="11"/>
  <c r="L22" i="11"/>
  <c r="K22" i="11"/>
  <c r="J22" i="11"/>
  <c r="L21" i="11"/>
  <c r="K21" i="11"/>
  <c r="J21" i="11"/>
  <c r="L20" i="11"/>
  <c r="K20" i="11"/>
  <c r="J20" i="11"/>
  <c r="L19" i="11"/>
  <c r="K19" i="11"/>
  <c r="J19" i="11"/>
  <c r="L18" i="11"/>
  <c r="K18" i="11"/>
  <c r="J18" i="11"/>
  <c r="L17" i="11"/>
  <c r="K17" i="11"/>
  <c r="J17" i="11"/>
  <c r="L16" i="11"/>
  <c r="K16" i="11"/>
  <c r="J16" i="11"/>
  <c r="L15" i="11"/>
  <c r="K15" i="11"/>
  <c r="J15" i="11"/>
  <c r="L14" i="11"/>
  <c r="K14" i="11"/>
  <c r="J14" i="11"/>
  <c r="L13" i="11"/>
  <c r="K13" i="11"/>
  <c r="J13" i="11"/>
  <c r="L12" i="11"/>
  <c r="K12" i="11"/>
  <c r="J12" i="11"/>
  <c r="L11" i="11"/>
  <c r="K11" i="11"/>
  <c r="J11" i="11"/>
  <c r="L10" i="11"/>
  <c r="K10" i="11"/>
  <c r="J10" i="11"/>
  <c r="L9" i="11"/>
  <c r="K9" i="11"/>
  <c r="J9" i="11"/>
  <c r="L8" i="11"/>
  <c r="K8" i="11"/>
  <c r="J8" i="11"/>
  <c r="L7" i="11"/>
  <c r="K7" i="11"/>
  <c r="J7" i="11"/>
  <c r="L6" i="11"/>
  <c r="K6" i="11"/>
  <c r="J6" i="11"/>
  <c r="L5" i="11"/>
  <c r="K5" i="11"/>
  <c r="J5" i="11"/>
  <c r="L4" i="11"/>
  <c r="K4" i="11"/>
  <c r="J4" i="11"/>
  <c r="L3" i="11"/>
  <c r="K3" i="11"/>
  <c r="J3" i="11"/>
  <c r="L2" i="11"/>
  <c r="K2" i="11"/>
  <c r="J2" i="11"/>
  <c r="L26" i="10"/>
  <c r="K26" i="10"/>
  <c r="J26" i="10"/>
  <c r="L25" i="10"/>
  <c r="K25" i="10"/>
  <c r="J25" i="10"/>
  <c r="L24" i="10"/>
  <c r="K24" i="10"/>
  <c r="J24" i="10"/>
  <c r="L23" i="10"/>
  <c r="K23" i="10"/>
  <c r="J23" i="10"/>
  <c r="L22" i="10"/>
  <c r="K22" i="10"/>
  <c r="J22" i="10"/>
  <c r="L21" i="10"/>
  <c r="K21" i="10"/>
  <c r="J21" i="10"/>
  <c r="L20" i="10"/>
  <c r="K20" i="10"/>
  <c r="J20" i="10"/>
  <c r="L19" i="10"/>
  <c r="K19" i="10"/>
  <c r="J19" i="10"/>
  <c r="L18" i="10"/>
  <c r="K18" i="10"/>
  <c r="J18" i="10"/>
  <c r="L17" i="10"/>
  <c r="K17" i="10"/>
  <c r="J17" i="10"/>
  <c r="L16" i="10"/>
  <c r="K16" i="10"/>
  <c r="J16" i="10"/>
  <c r="L15" i="10"/>
  <c r="K15" i="10"/>
  <c r="J15" i="10"/>
  <c r="L14" i="10"/>
  <c r="K14" i="10"/>
  <c r="J14" i="10"/>
  <c r="L13" i="10"/>
  <c r="K13" i="10"/>
  <c r="J13" i="10"/>
  <c r="L12" i="10"/>
  <c r="K12" i="10"/>
  <c r="J12" i="10"/>
  <c r="L11" i="10"/>
  <c r="K11" i="10"/>
  <c r="J11" i="10"/>
  <c r="L10" i="10"/>
  <c r="K10" i="10"/>
  <c r="J10" i="10"/>
  <c r="L9" i="10"/>
  <c r="K9" i="10"/>
  <c r="J9" i="10"/>
  <c r="L8" i="10"/>
  <c r="K8" i="10"/>
  <c r="J8" i="10"/>
  <c r="L7" i="10"/>
  <c r="K7" i="10"/>
  <c r="J7" i="10"/>
  <c r="L6" i="10"/>
  <c r="K6" i="10"/>
  <c r="J6" i="10"/>
  <c r="L5" i="10"/>
  <c r="K5" i="10"/>
  <c r="J5" i="10"/>
  <c r="L4" i="10"/>
  <c r="K4" i="10"/>
  <c r="J4" i="10"/>
  <c r="L3" i="10"/>
  <c r="K3" i="10"/>
  <c r="J3" i="10"/>
  <c r="L2" i="10"/>
  <c r="K2" i="10"/>
  <c r="J2" i="10"/>
  <c r="L26" i="9"/>
  <c r="K26" i="9"/>
  <c r="J26" i="9"/>
  <c r="L25" i="9"/>
  <c r="K25" i="9"/>
  <c r="J25" i="9"/>
  <c r="L24" i="9"/>
  <c r="K24" i="9"/>
  <c r="J24" i="9"/>
  <c r="L23" i="9"/>
  <c r="K23" i="9"/>
  <c r="J23" i="9"/>
  <c r="L22" i="9"/>
  <c r="K22" i="9"/>
  <c r="J22" i="9"/>
  <c r="L21" i="9"/>
  <c r="K21" i="9"/>
  <c r="J21" i="9"/>
  <c r="L20" i="9"/>
  <c r="K20" i="9"/>
  <c r="J20" i="9"/>
  <c r="L19" i="9"/>
  <c r="K19" i="9"/>
  <c r="J19" i="9"/>
  <c r="L18" i="9"/>
  <c r="K18" i="9"/>
  <c r="J18" i="9"/>
  <c r="L17" i="9"/>
  <c r="K17" i="9"/>
  <c r="J17" i="9"/>
  <c r="L16" i="9"/>
  <c r="K16" i="9"/>
  <c r="J16" i="9"/>
  <c r="L15" i="9"/>
  <c r="K15" i="9"/>
  <c r="J15" i="9"/>
  <c r="L14" i="9"/>
  <c r="K14" i="9"/>
  <c r="J14" i="9"/>
  <c r="L13" i="9"/>
  <c r="K13" i="9"/>
  <c r="J13" i="9"/>
  <c r="L12" i="9"/>
  <c r="K12" i="9"/>
  <c r="J12" i="9"/>
  <c r="L11" i="9"/>
  <c r="K11" i="9"/>
  <c r="J11" i="9"/>
  <c r="L10" i="9"/>
  <c r="K10" i="9"/>
  <c r="J10" i="9"/>
  <c r="L9" i="9"/>
  <c r="K9" i="9"/>
  <c r="J9" i="9"/>
  <c r="L8" i="9"/>
  <c r="K8" i="9"/>
  <c r="J8" i="9"/>
  <c r="L7" i="9"/>
  <c r="K7" i="9"/>
  <c r="J7" i="9"/>
  <c r="L6" i="9"/>
  <c r="K6" i="9"/>
  <c r="J6" i="9"/>
  <c r="L5" i="9"/>
  <c r="K5" i="9"/>
  <c r="J5" i="9"/>
  <c r="L4" i="9"/>
  <c r="K4" i="9"/>
  <c r="J4" i="9"/>
  <c r="L3" i="9"/>
  <c r="K3" i="9"/>
  <c r="J3" i="9"/>
  <c r="L2" i="9"/>
  <c r="K2" i="9"/>
  <c r="J2" i="9"/>
  <c r="L26" i="8"/>
  <c r="K26" i="8"/>
  <c r="J26" i="8"/>
  <c r="L25" i="8"/>
  <c r="K25" i="8"/>
  <c r="J25" i="8"/>
  <c r="L24" i="8"/>
  <c r="K24" i="8"/>
  <c r="J24" i="8"/>
  <c r="L23" i="8"/>
  <c r="K23" i="8"/>
  <c r="J23" i="8"/>
  <c r="L22" i="8"/>
  <c r="K22" i="8"/>
  <c r="J22" i="8"/>
  <c r="L21" i="8"/>
  <c r="K21" i="8"/>
  <c r="J21" i="8"/>
  <c r="L20" i="8"/>
  <c r="K20" i="8"/>
  <c r="J20" i="8"/>
  <c r="L19" i="8"/>
  <c r="K19" i="8"/>
  <c r="J19" i="8"/>
  <c r="L18" i="8"/>
  <c r="K18" i="8"/>
  <c r="J18" i="8"/>
  <c r="L17" i="8"/>
  <c r="K17" i="8"/>
  <c r="J17" i="8"/>
  <c r="L16" i="8"/>
  <c r="K16" i="8"/>
  <c r="J16" i="8"/>
  <c r="L15" i="8"/>
  <c r="K15" i="8"/>
  <c r="J15" i="8"/>
  <c r="L14" i="8"/>
  <c r="K14" i="8"/>
  <c r="J14" i="8"/>
  <c r="L13" i="8"/>
  <c r="K13" i="8"/>
  <c r="J13" i="8"/>
  <c r="L12" i="8"/>
  <c r="K12" i="8"/>
  <c r="J12" i="8"/>
  <c r="L11" i="8"/>
  <c r="K11" i="8"/>
  <c r="J11" i="8"/>
  <c r="L10" i="8"/>
  <c r="K10" i="8"/>
  <c r="J10" i="8"/>
  <c r="L9" i="8"/>
  <c r="K9" i="8"/>
  <c r="J9" i="8"/>
  <c r="L8" i="8"/>
  <c r="K8" i="8"/>
  <c r="J8" i="8"/>
  <c r="L7" i="8"/>
  <c r="K7" i="8"/>
  <c r="J7" i="8"/>
  <c r="L6" i="8"/>
  <c r="K6" i="8"/>
  <c r="J6" i="8"/>
  <c r="L5" i="8"/>
  <c r="K5" i="8"/>
  <c r="J5" i="8"/>
  <c r="L4" i="8"/>
  <c r="K4" i="8"/>
  <c r="J4" i="8"/>
  <c r="L3" i="8"/>
  <c r="K3" i="8"/>
  <c r="J3" i="8"/>
  <c r="L2" i="8"/>
  <c r="K2" i="8"/>
  <c r="J2" i="8"/>
  <c r="L26" i="7"/>
  <c r="K26" i="7"/>
  <c r="J26" i="7"/>
  <c r="L25" i="7"/>
  <c r="K25" i="7"/>
  <c r="J25" i="7"/>
  <c r="L24" i="7"/>
  <c r="K24" i="7"/>
  <c r="J24" i="7"/>
  <c r="L23" i="7"/>
  <c r="K23" i="7"/>
  <c r="J23" i="7"/>
  <c r="L22" i="7"/>
  <c r="K22" i="7"/>
  <c r="J22" i="7"/>
  <c r="L21" i="7"/>
  <c r="K21" i="7"/>
  <c r="J21" i="7"/>
  <c r="L20" i="7"/>
  <c r="K20" i="7"/>
  <c r="J20" i="7"/>
  <c r="L19" i="7"/>
  <c r="K19" i="7"/>
  <c r="J19" i="7"/>
  <c r="L18" i="7"/>
  <c r="K18" i="7"/>
  <c r="J18" i="7"/>
  <c r="L17" i="7"/>
  <c r="K17" i="7"/>
  <c r="J17" i="7"/>
  <c r="L16" i="7"/>
  <c r="K16" i="7"/>
  <c r="J16" i="7"/>
  <c r="L15" i="7"/>
  <c r="K15" i="7"/>
  <c r="J15" i="7"/>
  <c r="L14" i="7"/>
  <c r="K14" i="7"/>
  <c r="J14" i="7"/>
  <c r="L13" i="7"/>
  <c r="K13" i="7"/>
  <c r="J13" i="7"/>
  <c r="L12" i="7"/>
  <c r="K12" i="7"/>
  <c r="J12" i="7"/>
  <c r="L11" i="7"/>
  <c r="K11" i="7"/>
  <c r="J11" i="7"/>
  <c r="L10" i="7"/>
  <c r="K10" i="7"/>
  <c r="J10" i="7"/>
  <c r="L9" i="7"/>
  <c r="K9" i="7"/>
  <c r="J9" i="7"/>
  <c r="L8" i="7"/>
  <c r="K8" i="7"/>
  <c r="J8" i="7"/>
  <c r="L7" i="7"/>
  <c r="K7" i="7"/>
  <c r="J7" i="7"/>
  <c r="L6" i="7"/>
  <c r="K6" i="7"/>
  <c r="J6" i="7"/>
  <c r="L5" i="7"/>
  <c r="K5" i="7"/>
  <c r="J5" i="7"/>
  <c r="L4" i="7"/>
  <c r="K4" i="7"/>
  <c r="J4" i="7"/>
  <c r="L3" i="7"/>
  <c r="K3" i="7"/>
  <c r="J3" i="7"/>
  <c r="L2" i="7"/>
  <c r="K2" i="7"/>
  <c r="J2" i="7"/>
  <c r="L26" i="6"/>
  <c r="K26" i="6"/>
  <c r="J26" i="6"/>
  <c r="L25" i="6"/>
  <c r="K25" i="6"/>
  <c r="J25" i="6"/>
  <c r="L24" i="6"/>
  <c r="K24" i="6"/>
  <c r="J24" i="6"/>
  <c r="L23" i="6"/>
  <c r="K23" i="6"/>
  <c r="J23" i="6"/>
  <c r="L22" i="6"/>
  <c r="K22" i="6"/>
  <c r="J22" i="6"/>
  <c r="L21" i="6"/>
  <c r="K21" i="6"/>
  <c r="J21" i="6"/>
  <c r="L20" i="6"/>
  <c r="K20" i="6"/>
  <c r="J20" i="6"/>
  <c r="L19" i="6"/>
  <c r="K19" i="6"/>
  <c r="J19" i="6"/>
  <c r="L18" i="6"/>
  <c r="K18" i="6"/>
  <c r="J18" i="6"/>
  <c r="L17" i="6"/>
  <c r="K17" i="6"/>
  <c r="J17" i="6"/>
  <c r="L16" i="6"/>
  <c r="K16" i="6"/>
  <c r="J16" i="6"/>
  <c r="L15" i="6"/>
  <c r="K15" i="6"/>
  <c r="J15" i="6"/>
  <c r="L14" i="6"/>
  <c r="K14" i="6"/>
  <c r="J14" i="6"/>
  <c r="L13" i="6"/>
  <c r="K13" i="6"/>
  <c r="J13" i="6"/>
  <c r="L12" i="6"/>
  <c r="K12" i="6"/>
  <c r="J12" i="6"/>
  <c r="L11" i="6"/>
  <c r="K11" i="6"/>
  <c r="J11" i="6"/>
  <c r="L10" i="6"/>
  <c r="K10" i="6"/>
  <c r="J10" i="6"/>
  <c r="L9" i="6"/>
  <c r="K9" i="6"/>
  <c r="J9" i="6"/>
  <c r="L8" i="6"/>
  <c r="K8" i="6"/>
  <c r="J8" i="6"/>
  <c r="L7" i="6"/>
  <c r="K7" i="6"/>
  <c r="J7" i="6"/>
  <c r="L6" i="6"/>
  <c r="K6" i="6"/>
  <c r="J6" i="6"/>
  <c r="L5" i="6"/>
  <c r="K5" i="6"/>
  <c r="J5" i="6"/>
  <c r="L4" i="6"/>
  <c r="K4" i="6"/>
  <c r="J4" i="6"/>
  <c r="L3" i="6"/>
  <c r="K3" i="6"/>
  <c r="J3" i="6"/>
  <c r="L2" i="6"/>
  <c r="K2" i="6"/>
  <c r="J2" i="6"/>
  <c r="L26" i="5"/>
  <c r="K26" i="5"/>
  <c r="J26" i="5"/>
  <c r="L25" i="5"/>
  <c r="K25" i="5"/>
  <c r="J25" i="5"/>
  <c r="L24" i="5"/>
  <c r="K24" i="5"/>
  <c r="J24" i="5"/>
  <c r="L23" i="5"/>
  <c r="K23" i="5"/>
  <c r="J23" i="5"/>
  <c r="L22" i="5"/>
  <c r="K22" i="5"/>
  <c r="J22" i="5"/>
  <c r="L21" i="5"/>
  <c r="K21" i="5"/>
  <c r="J21" i="5"/>
  <c r="L20" i="5"/>
  <c r="K20" i="5"/>
  <c r="J20" i="5"/>
  <c r="L19" i="5"/>
  <c r="K19" i="5"/>
  <c r="J19" i="5"/>
  <c r="L18" i="5"/>
  <c r="K18" i="5"/>
  <c r="J18" i="5"/>
  <c r="L17" i="5"/>
  <c r="K17" i="5"/>
  <c r="J17" i="5"/>
  <c r="L16" i="5"/>
  <c r="K16" i="5"/>
  <c r="J16" i="5"/>
  <c r="L15" i="5"/>
  <c r="K15" i="5"/>
  <c r="J15" i="5"/>
  <c r="L14" i="5"/>
  <c r="K14" i="5"/>
  <c r="J14" i="5"/>
  <c r="L13" i="5"/>
  <c r="K13" i="5"/>
  <c r="J13" i="5"/>
  <c r="L12" i="5"/>
  <c r="K12" i="5"/>
  <c r="J12" i="5"/>
  <c r="L11" i="5"/>
  <c r="K11" i="5"/>
  <c r="J11" i="5"/>
  <c r="L10" i="5"/>
  <c r="K10" i="5"/>
  <c r="J10" i="5"/>
  <c r="L9" i="5"/>
  <c r="K9" i="5"/>
  <c r="J9" i="5"/>
  <c r="L8" i="5"/>
  <c r="K8" i="5"/>
  <c r="J8" i="5"/>
  <c r="L7" i="5"/>
  <c r="K7" i="5"/>
  <c r="J7" i="5"/>
  <c r="L6" i="5"/>
  <c r="K6" i="5"/>
  <c r="J6" i="5"/>
  <c r="L5" i="5"/>
  <c r="K5" i="5"/>
  <c r="J5" i="5"/>
  <c r="L4" i="5"/>
  <c r="K4" i="5"/>
  <c r="J4" i="5"/>
  <c r="L3" i="5"/>
  <c r="K3" i="5"/>
  <c r="J3" i="5"/>
  <c r="L2" i="5"/>
  <c r="K2" i="5"/>
  <c r="J2" i="5"/>
  <c r="J2" i="1"/>
  <c r="K2" i="1"/>
  <c r="L2" i="1"/>
  <c r="J3" i="1"/>
  <c r="K3" i="1"/>
  <c r="L3" i="1"/>
  <c r="J4" i="1"/>
  <c r="K4" i="1"/>
  <c r="L4" i="1"/>
  <c r="J5" i="1"/>
  <c r="K5" i="1"/>
  <c r="L5" i="1"/>
  <c r="J6" i="1"/>
  <c r="K6" i="1"/>
  <c r="L6" i="1"/>
  <c r="J7" i="1"/>
  <c r="K7" i="1"/>
  <c r="L7" i="1"/>
  <c r="J8" i="1"/>
  <c r="K8" i="1"/>
  <c r="L8" i="1"/>
  <c r="J9" i="1"/>
  <c r="K9" i="1"/>
  <c r="L9" i="1"/>
  <c r="J10" i="1"/>
  <c r="K10" i="1"/>
  <c r="L10" i="1"/>
  <c r="J11" i="1"/>
  <c r="K11" i="1"/>
  <c r="L11" i="1"/>
  <c r="J12" i="1"/>
  <c r="K12" i="1"/>
  <c r="L12" i="1"/>
  <c r="J13" i="1"/>
  <c r="K13" i="1"/>
  <c r="L13" i="1"/>
  <c r="J14" i="1"/>
  <c r="K14" i="1"/>
  <c r="L14" i="1"/>
  <c r="J15" i="1"/>
  <c r="K15" i="1"/>
  <c r="L15" i="1"/>
  <c r="J16" i="1"/>
  <c r="K16" i="1"/>
  <c r="L16" i="1"/>
  <c r="J17" i="1"/>
  <c r="K17" i="1"/>
  <c r="L17" i="1"/>
  <c r="J18" i="1"/>
  <c r="K18" i="1"/>
  <c r="L18" i="1"/>
  <c r="J19" i="1"/>
  <c r="K19" i="1"/>
  <c r="L19" i="1"/>
  <c r="J20" i="1"/>
  <c r="K20" i="1"/>
  <c r="L20" i="1"/>
  <c r="J21" i="1"/>
  <c r="K21" i="1"/>
  <c r="L21" i="1"/>
  <c r="J22" i="1"/>
  <c r="K22" i="1"/>
  <c r="L22" i="1"/>
  <c r="J23" i="1"/>
  <c r="K23" i="1"/>
  <c r="L23" i="1"/>
  <c r="J24" i="1"/>
  <c r="K24" i="1"/>
  <c r="L24" i="1"/>
  <c r="J25" i="1"/>
  <c r="K25" i="1"/>
  <c r="L25" i="1"/>
  <c r="J26" i="1"/>
  <c r="K26" i="1"/>
  <c r="L26" i="1"/>
  <c r="A2" i="30" l="1"/>
  <c r="B2" i="30"/>
  <c r="A3" i="30"/>
  <c r="B3" i="30"/>
  <c r="A4" i="30"/>
  <c r="B4" i="30"/>
  <c r="A5" i="30"/>
  <c r="B5" i="30"/>
  <c r="A6" i="30"/>
  <c r="B6" i="30"/>
  <c r="A7" i="30"/>
  <c r="B7" i="30"/>
  <c r="A8" i="30"/>
  <c r="B8" i="30"/>
  <c r="A9" i="30"/>
  <c r="B9" i="30"/>
  <c r="A10" i="30"/>
  <c r="B10" i="30"/>
  <c r="A11" i="30"/>
  <c r="B11" i="30"/>
  <c r="A12" i="30"/>
  <c r="B12" i="30"/>
  <c r="A13" i="30"/>
  <c r="B13" i="30"/>
  <c r="A14" i="30"/>
  <c r="B14" i="30"/>
  <c r="A15" i="30"/>
  <c r="B15" i="30"/>
  <c r="A16" i="30"/>
  <c r="B16" i="30"/>
  <c r="A17" i="30"/>
  <c r="B17" i="30"/>
  <c r="A18" i="30"/>
  <c r="B18" i="30"/>
  <c r="A19" i="30"/>
  <c r="B19" i="30"/>
  <c r="A20" i="30"/>
  <c r="B20" i="30"/>
  <c r="A21" i="30"/>
  <c r="B21" i="30"/>
  <c r="A22" i="30"/>
  <c r="B22" i="30"/>
  <c r="A23" i="30"/>
  <c r="A24" i="30"/>
  <c r="B24" i="30"/>
  <c r="A25" i="30"/>
  <c r="B25" i="30"/>
  <c r="A26" i="30"/>
  <c r="B26" i="30"/>
  <c r="A27" i="30"/>
  <c r="B27" i="30"/>
  <c r="A28" i="30"/>
  <c r="B28" i="30"/>
  <c r="A29" i="30"/>
  <c r="B29" i="30"/>
  <c r="A30" i="30"/>
  <c r="B30" i="30"/>
  <c r="A31" i="30"/>
  <c r="B31" i="30"/>
  <c r="A32" i="30"/>
  <c r="B32" i="30"/>
  <c r="A33" i="30"/>
  <c r="B33" i="30"/>
  <c r="A34" i="30"/>
  <c r="B34" i="30"/>
  <c r="A35" i="30"/>
  <c r="B35" i="30"/>
  <c r="A36" i="30"/>
  <c r="B36" i="30"/>
  <c r="A37" i="30"/>
  <c r="B37" i="30"/>
  <c r="A38" i="30"/>
  <c r="B38" i="30"/>
  <c r="A39" i="30"/>
  <c r="B39" i="30"/>
  <c r="A40" i="30"/>
  <c r="B40" i="30"/>
  <c r="A41" i="30"/>
  <c r="B41" i="30"/>
  <c r="A42" i="30"/>
  <c r="B42" i="30"/>
  <c r="A43" i="30"/>
  <c r="B43" i="30"/>
  <c r="A44" i="30"/>
  <c r="B44" i="30"/>
  <c r="A45" i="30"/>
  <c r="B45" i="30"/>
  <c r="A46" i="30"/>
  <c r="B46" i="30"/>
  <c r="A47" i="30"/>
  <c r="B47" i="30"/>
  <c r="A48" i="30"/>
  <c r="B48" i="30"/>
  <c r="A49" i="30"/>
  <c r="B49" i="30"/>
  <c r="A50" i="30"/>
  <c r="B50" i="30"/>
  <c r="A51" i="30"/>
  <c r="B51" i="30"/>
  <c r="A52" i="30"/>
  <c r="B52" i="30"/>
  <c r="A53" i="30"/>
  <c r="B53" i="30"/>
  <c r="A54" i="30"/>
  <c r="B54" i="30"/>
  <c r="A55" i="30"/>
  <c r="B55" i="30"/>
  <c r="A56" i="30"/>
  <c r="B56" i="30"/>
  <c r="A57" i="30"/>
  <c r="B57" i="30"/>
  <c r="A58" i="30"/>
  <c r="B58" i="30"/>
  <c r="A59" i="30"/>
  <c r="B59" i="30"/>
  <c r="B13" i="31"/>
  <c r="B12" i="31"/>
  <c r="B11" i="31"/>
  <c r="B10" i="31"/>
  <c r="B9" i="31"/>
  <c r="B8" i="31"/>
  <c r="B7" i="31"/>
  <c r="B6" i="31"/>
  <c r="B5" i="31"/>
  <c r="B4" i="31"/>
  <c r="B3" i="31"/>
  <c r="B2" i="31"/>
  <c r="K13" i="31" l="1"/>
  <c r="K12" i="31"/>
  <c r="K11" i="31"/>
  <c r="K10" i="31"/>
  <c r="K9" i="31"/>
  <c r="K8" i="31"/>
  <c r="K7" i="31"/>
  <c r="K6" i="31"/>
  <c r="K5" i="31"/>
  <c r="K4" i="31"/>
  <c r="K3" i="31"/>
  <c r="K2" i="31"/>
  <c r="J13" i="31"/>
  <c r="J12" i="31"/>
  <c r="J11" i="31"/>
  <c r="J10" i="31"/>
  <c r="J9" i="31"/>
  <c r="J8" i="31"/>
  <c r="J7" i="31"/>
  <c r="J6" i="31"/>
  <c r="J5" i="31"/>
  <c r="J4" i="31"/>
  <c r="J3" i="31"/>
  <c r="J2" i="31"/>
  <c r="I13" i="31"/>
  <c r="I12" i="31"/>
  <c r="I11" i="31"/>
  <c r="I10" i="31"/>
  <c r="I9" i="31"/>
  <c r="I8" i="31"/>
  <c r="I7" i="31"/>
  <c r="I6" i="31"/>
  <c r="I5" i="31"/>
  <c r="I4" i="31"/>
  <c r="I3" i="31"/>
  <c r="I2" i="31"/>
  <c r="H13" i="31"/>
  <c r="H12" i="31"/>
  <c r="H11" i="31"/>
  <c r="H10" i="31"/>
  <c r="H9" i="31"/>
  <c r="H8" i="31"/>
  <c r="H7" i="31"/>
  <c r="H6" i="31"/>
  <c r="H5" i="31"/>
  <c r="H4" i="31"/>
  <c r="H3" i="31"/>
  <c r="H2" i="31"/>
  <c r="G13" i="31"/>
  <c r="G12" i="31"/>
  <c r="G11" i="31"/>
  <c r="G10" i="31"/>
  <c r="G9" i="31"/>
  <c r="G8" i="31"/>
  <c r="G7" i="31"/>
  <c r="G6" i="31"/>
  <c r="G5" i="31"/>
  <c r="G4" i="31"/>
  <c r="G3" i="31"/>
  <c r="G2" i="31"/>
  <c r="F13" i="31"/>
  <c r="F12" i="31"/>
  <c r="F11" i="31"/>
  <c r="F10" i="31"/>
  <c r="F9" i="31"/>
  <c r="F8" i="31"/>
  <c r="F7" i="31"/>
  <c r="F6" i="31"/>
  <c r="F5" i="31"/>
  <c r="F4" i="31"/>
  <c r="F3" i="31"/>
  <c r="F2" i="31"/>
  <c r="E13" i="31"/>
  <c r="E12" i="31"/>
  <c r="E11" i="31"/>
  <c r="E10" i="31"/>
  <c r="E9" i="31"/>
  <c r="E8" i="31"/>
  <c r="E7" i="31"/>
  <c r="E6" i="31"/>
  <c r="E5" i="31"/>
  <c r="E4" i="31"/>
  <c r="E2" i="31"/>
  <c r="D13" i="31"/>
  <c r="D12" i="31"/>
  <c r="D11" i="31"/>
  <c r="D10" i="31"/>
  <c r="D9" i="31"/>
  <c r="D8" i="31"/>
  <c r="D7" i="31"/>
  <c r="D6" i="31"/>
  <c r="D3" i="31"/>
  <c r="C2" i="31"/>
  <c r="C3" i="31"/>
  <c r="C4" i="31"/>
  <c r="C5" i="31"/>
  <c r="C6" i="31"/>
  <c r="C7" i="31"/>
  <c r="C8" i="31"/>
  <c r="C9" i="31"/>
  <c r="C10" i="31"/>
  <c r="C11" i="31"/>
  <c r="C12" i="31"/>
  <c r="C13" i="31"/>
  <c r="A2" i="31"/>
  <c r="A3" i="31"/>
  <c r="A4" i="31"/>
  <c r="A5" i="31"/>
  <c r="A6" i="31"/>
  <c r="A7" i="31"/>
  <c r="A8" i="31"/>
  <c r="A9" i="31"/>
  <c r="A10" i="31"/>
  <c r="A11" i="31"/>
  <c r="A12" i="31"/>
  <c r="A13" i="31"/>
  <c r="I26" i="23" l="1"/>
  <c r="H26" i="23"/>
  <c r="G26" i="23"/>
  <c r="F26" i="23"/>
  <c r="E26" i="23"/>
  <c r="D26" i="23"/>
  <c r="B26" i="23"/>
  <c r="I25" i="23"/>
  <c r="H25" i="23"/>
  <c r="G25" i="23"/>
  <c r="F25" i="23"/>
  <c r="E25" i="23"/>
  <c r="D25" i="23"/>
  <c r="B25" i="23"/>
  <c r="I24" i="23"/>
  <c r="H24" i="23"/>
  <c r="G24" i="23"/>
  <c r="F24" i="23"/>
  <c r="E24" i="23"/>
  <c r="D24" i="23"/>
  <c r="B24" i="23"/>
  <c r="I23" i="23"/>
  <c r="H23" i="23"/>
  <c r="G23" i="23"/>
  <c r="F23" i="23"/>
  <c r="E23" i="23"/>
  <c r="D23" i="23"/>
  <c r="B23" i="23"/>
  <c r="I22" i="23"/>
  <c r="H22" i="23"/>
  <c r="G22" i="23"/>
  <c r="F22" i="23"/>
  <c r="E22" i="23"/>
  <c r="D22" i="23"/>
  <c r="B22" i="23"/>
  <c r="I21" i="23"/>
  <c r="H21" i="23"/>
  <c r="G21" i="23"/>
  <c r="F21" i="23"/>
  <c r="E21" i="23"/>
  <c r="D21" i="23"/>
  <c r="B21" i="23"/>
  <c r="I20" i="23"/>
  <c r="H20" i="23"/>
  <c r="G20" i="23"/>
  <c r="F20" i="23"/>
  <c r="E20" i="23"/>
  <c r="D20" i="23"/>
  <c r="B20" i="23"/>
  <c r="I19" i="23"/>
  <c r="H19" i="23"/>
  <c r="G19" i="23"/>
  <c r="F19" i="23"/>
  <c r="E19" i="23"/>
  <c r="D19" i="23"/>
  <c r="B19" i="23"/>
  <c r="I18" i="23"/>
  <c r="H18" i="23"/>
  <c r="G18" i="23"/>
  <c r="F18" i="23"/>
  <c r="E18" i="23"/>
  <c r="D18" i="23"/>
  <c r="B18" i="23"/>
  <c r="I17" i="23"/>
  <c r="H17" i="23"/>
  <c r="G17" i="23"/>
  <c r="F17" i="23"/>
  <c r="E17" i="23"/>
  <c r="D17" i="23"/>
  <c r="B17" i="23"/>
  <c r="I16" i="23"/>
  <c r="H16" i="23"/>
  <c r="G16" i="23"/>
  <c r="F16" i="23"/>
  <c r="E16" i="23"/>
  <c r="D16" i="23"/>
  <c r="B16" i="23"/>
  <c r="I15" i="23"/>
  <c r="H15" i="23"/>
  <c r="G15" i="23"/>
  <c r="F15" i="23"/>
  <c r="E15" i="23"/>
  <c r="D15" i="23"/>
  <c r="B15" i="23"/>
  <c r="I14" i="23"/>
  <c r="H14" i="23"/>
  <c r="G14" i="23"/>
  <c r="F14" i="23"/>
  <c r="E14" i="23"/>
  <c r="D14" i="23"/>
  <c r="B14" i="23"/>
  <c r="I13" i="23"/>
  <c r="H13" i="23"/>
  <c r="G13" i="23"/>
  <c r="F13" i="23"/>
  <c r="E13" i="23"/>
  <c r="D13" i="23"/>
  <c r="B13" i="23"/>
  <c r="I12" i="23"/>
  <c r="H12" i="23"/>
  <c r="G12" i="23"/>
  <c r="F12" i="23"/>
  <c r="E12" i="23"/>
  <c r="D12" i="23"/>
  <c r="B12" i="23"/>
  <c r="I11" i="23"/>
  <c r="H11" i="23"/>
  <c r="G11" i="23"/>
  <c r="F11" i="23"/>
  <c r="E11" i="23"/>
  <c r="D11" i="23"/>
  <c r="B11" i="23"/>
  <c r="I10" i="23"/>
  <c r="H10" i="23"/>
  <c r="G10" i="23"/>
  <c r="F10" i="23"/>
  <c r="E10" i="23"/>
  <c r="D10" i="23"/>
  <c r="B10" i="23"/>
  <c r="I9" i="23"/>
  <c r="H9" i="23"/>
  <c r="G9" i="23"/>
  <c r="F9" i="23"/>
  <c r="E9" i="23"/>
  <c r="D9" i="23"/>
  <c r="B9" i="23"/>
  <c r="I8" i="23"/>
  <c r="H8" i="23"/>
  <c r="G8" i="23"/>
  <c r="F8" i="23"/>
  <c r="E8" i="23"/>
  <c r="D8" i="23"/>
  <c r="B8" i="23"/>
  <c r="I7" i="23"/>
  <c r="H7" i="23"/>
  <c r="G7" i="23"/>
  <c r="F7" i="23"/>
  <c r="E7" i="23"/>
  <c r="D7" i="23"/>
  <c r="B7" i="23"/>
  <c r="I6" i="23"/>
  <c r="H6" i="23"/>
  <c r="G6" i="23"/>
  <c r="F6" i="23"/>
  <c r="E6" i="23"/>
  <c r="D6" i="23"/>
  <c r="B6" i="23"/>
  <c r="I5" i="23"/>
  <c r="H5" i="23"/>
  <c r="G5" i="23"/>
  <c r="F5" i="23"/>
  <c r="E5" i="23"/>
  <c r="D5" i="23"/>
  <c r="B5" i="23"/>
  <c r="I4" i="23"/>
  <c r="H4" i="23"/>
  <c r="G4" i="23"/>
  <c r="F4" i="23"/>
  <c r="E4" i="23"/>
  <c r="D4" i="23"/>
  <c r="B4" i="23"/>
  <c r="I3" i="23"/>
  <c r="H3" i="23"/>
  <c r="G3" i="23"/>
  <c r="F3" i="23"/>
  <c r="E3" i="23"/>
  <c r="D3" i="23"/>
  <c r="B3" i="23"/>
  <c r="I2" i="23"/>
  <c r="H2" i="23"/>
  <c r="G2" i="23"/>
  <c r="F2" i="23"/>
  <c r="E2" i="23"/>
  <c r="D2" i="23"/>
  <c r="B2" i="23"/>
  <c r="I26" i="24"/>
  <c r="H26" i="24"/>
  <c r="G26" i="24"/>
  <c r="F26" i="24"/>
  <c r="E26" i="24"/>
  <c r="D26" i="24"/>
  <c r="B26" i="24"/>
  <c r="I25" i="24"/>
  <c r="H25" i="24"/>
  <c r="G25" i="24"/>
  <c r="F25" i="24"/>
  <c r="E25" i="24"/>
  <c r="D25" i="24"/>
  <c r="B25" i="24"/>
  <c r="I24" i="24"/>
  <c r="H24" i="24"/>
  <c r="G24" i="24"/>
  <c r="F24" i="24"/>
  <c r="E24" i="24"/>
  <c r="D24" i="24"/>
  <c r="B24" i="24"/>
  <c r="I23" i="24"/>
  <c r="H23" i="24"/>
  <c r="G23" i="24"/>
  <c r="F23" i="24"/>
  <c r="E23" i="24"/>
  <c r="D23" i="24"/>
  <c r="B23" i="24"/>
  <c r="I22" i="24"/>
  <c r="H22" i="24"/>
  <c r="G22" i="24"/>
  <c r="F22" i="24"/>
  <c r="E22" i="24"/>
  <c r="D22" i="24"/>
  <c r="B22" i="24"/>
  <c r="I21" i="24"/>
  <c r="H21" i="24"/>
  <c r="G21" i="24"/>
  <c r="F21" i="24"/>
  <c r="E21" i="24"/>
  <c r="D21" i="24"/>
  <c r="B21" i="24"/>
  <c r="I20" i="24"/>
  <c r="H20" i="24"/>
  <c r="G20" i="24"/>
  <c r="F20" i="24"/>
  <c r="E20" i="24"/>
  <c r="D20" i="24"/>
  <c r="B20" i="24"/>
  <c r="I19" i="24"/>
  <c r="H19" i="24"/>
  <c r="G19" i="24"/>
  <c r="F19" i="24"/>
  <c r="E19" i="24"/>
  <c r="D19" i="24"/>
  <c r="B19" i="24"/>
  <c r="I18" i="24"/>
  <c r="H18" i="24"/>
  <c r="G18" i="24"/>
  <c r="F18" i="24"/>
  <c r="E18" i="24"/>
  <c r="D18" i="24"/>
  <c r="B18" i="24"/>
  <c r="I17" i="24"/>
  <c r="H17" i="24"/>
  <c r="G17" i="24"/>
  <c r="F17" i="24"/>
  <c r="E17" i="24"/>
  <c r="D17" i="24"/>
  <c r="B17" i="24"/>
  <c r="I16" i="24"/>
  <c r="H16" i="24"/>
  <c r="G16" i="24"/>
  <c r="F16" i="24"/>
  <c r="E16" i="24"/>
  <c r="D16" i="24"/>
  <c r="B16" i="24"/>
  <c r="I15" i="24"/>
  <c r="H15" i="24"/>
  <c r="G15" i="24"/>
  <c r="F15" i="24"/>
  <c r="E15" i="24"/>
  <c r="D15" i="24"/>
  <c r="B15" i="24"/>
  <c r="I14" i="24"/>
  <c r="H14" i="24"/>
  <c r="G14" i="24"/>
  <c r="F14" i="24"/>
  <c r="E14" i="24"/>
  <c r="D14" i="24"/>
  <c r="B14" i="24"/>
  <c r="I13" i="24"/>
  <c r="H13" i="24"/>
  <c r="G13" i="24"/>
  <c r="F13" i="24"/>
  <c r="E13" i="24"/>
  <c r="D13" i="24"/>
  <c r="B13" i="24"/>
  <c r="I12" i="24"/>
  <c r="H12" i="24"/>
  <c r="G12" i="24"/>
  <c r="F12" i="24"/>
  <c r="E12" i="24"/>
  <c r="D12" i="24"/>
  <c r="B12" i="24"/>
  <c r="I11" i="24"/>
  <c r="H11" i="24"/>
  <c r="G11" i="24"/>
  <c r="F11" i="24"/>
  <c r="E11" i="24"/>
  <c r="D11" i="24"/>
  <c r="B11" i="24"/>
  <c r="I10" i="24"/>
  <c r="H10" i="24"/>
  <c r="G10" i="24"/>
  <c r="F10" i="24"/>
  <c r="E10" i="24"/>
  <c r="D10" i="24"/>
  <c r="B10" i="24"/>
  <c r="I9" i="24"/>
  <c r="H9" i="24"/>
  <c r="G9" i="24"/>
  <c r="F9" i="24"/>
  <c r="E9" i="24"/>
  <c r="D9" i="24"/>
  <c r="B9" i="24"/>
  <c r="I8" i="24"/>
  <c r="H8" i="24"/>
  <c r="G8" i="24"/>
  <c r="F8" i="24"/>
  <c r="E8" i="24"/>
  <c r="D8" i="24"/>
  <c r="B8" i="24"/>
  <c r="I7" i="24"/>
  <c r="H7" i="24"/>
  <c r="G7" i="24"/>
  <c r="F7" i="24"/>
  <c r="E7" i="24"/>
  <c r="D7" i="24"/>
  <c r="B7" i="24"/>
  <c r="I6" i="24"/>
  <c r="H6" i="24"/>
  <c r="G6" i="24"/>
  <c r="F6" i="24"/>
  <c r="E6" i="24"/>
  <c r="D6" i="24"/>
  <c r="B6" i="24"/>
  <c r="I5" i="24"/>
  <c r="H5" i="24"/>
  <c r="G5" i="24"/>
  <c r="F5" i="24"/>
  <c r="E5" i="24"/>
  <c r="D5" i="24"/>
  <c r="B5" i="24"/>
  <c r="I4" i="24"/>
  <c r="H4" i="24"/>
  <c r="G4" i="24"/>
  <c r="F4" i="24"/>
  <c r="E4" i="24"/>
  <c r="D4" i="24"/>
  <c r="B4" i="24"/>
  <c r="I3" i="24"/>
  <c r="H3" i="24"/>
  <c r="G3" i="24"/>
  <c r="F3" i="24"/>
  <c r="E3" i="24"/>
  <c r="D3" i="24"/>
  <c r="B3" i="24"/>
  <c r="I2" i="24"/>
  <c r="H2" i="24"/>
  <c r="G2" i="24"/>
  <c r="F2" i="24"/>
  <c r="E2" i="24"/>
  <c r="D2" i="24"/>
  <c r="B2" i="24"/>
  <c r="I26" i="25"/>
  <c r="H26" i="25"/>
  <c r="G26" i="25"/>
  <c r="F26" i="25"/>
  <c r="E26" i="25"/>
  <c r="D26" i="25"/>
  <c r="B26" i="25"/>
  <c r="I25" i="25"/>
  <c r="H25" i="25"/>
  <c r="G25" i="25"/>
  <c r="F25" i="25"/>
  <c r="E25" i="25"/>
  <c r="D25" i="25"/>
  <c r="B25" i="25"/>
  <c r="I24" i="25"/>
  <c r="H24" i="25"/>
  <c r="G24" i="25"/>
  <c r="F24" i="25"/>
  <c r="E24" i="25"/>
  <c r="D24" i="25"/>
  <c r="B24" i="25"/>
  <c r="I23" i="25"/>
  <c r="H23" i="25"/>
  <c r="G23" i="25"/>
  <c r="F23" i="25"/>
  <c r="E23" i="25"/>
  <c r="D23" i="25"/>
  <c r="B23" i="25"/>
  <c r="I22" i="25"/>
  <c r="H22" i="25"/>
  <c r="G22" i="25"/>
  <c r="F22" i="25"/>
  <c r="E22" i="25"/>
  <c r="D22" i="25"/>
  <c r="B22" i="25"/>
  <c r="I21" i="25"/>
  <c r="H21" i="25"/>
  <c r="G21" i="25"/>
  <c r="F21" i="25"/>
  <c r="E21" i="25"/>
  <c r="D21" i="25"/>
  <c r="B21" i="25"/>
  <c r="I20" i="25"/>
  <c r="H20" i="25"/>
  <c r="G20" i="25"/>
  <c r="F20" i="25"/>
  <c r="E20" i="25"/>
  <c r="D20" i="25"/>
  <c r="B20" i="25"/>
  <c r="I19" i="25"/>
  <c r="H19" i="25"/>
  <c r="G19" i="25"/>
  <c r="F19" i="25"/>
  <c r="E19" i="25"/>
  <c r="D19" i="25"/>
  <c r="B19" i="25"/>
  <c r="I18" i="25"/>
  <c r="H18" i="25"/>
  <c r="G18" i="25"/>
  <c r="F18" i="25"/>
  <c r="E18" i="25"/>
  <c r="D18" i="25"/>
  <c r="B18" i="25"/>
  <c r="I17" i="25"/>
  <c r="H17" i="25"/>
  <c r="G17" i="25"/>
  <c r="F17" i="25"/>
  <c r="E17" i="25"/>
  <c r="D17" i="25"/>
  <c r="B17" i="25"/>
  <c r="I16" i="25"/>
  <c r="H16" i="25"/>
  <c r="G16" i="25"/>
  <c r="F16" i="25"/>
  <c r="E16" i="25"/>
  <c r="D16" i="25"/>
  <c r="B16" i="25"/>
  <c r="I15" i="25"/>
  <c r="H15" i="25"/>
  <c r="G15" i="25"/>
  <c r="F15" i="25"/>
  <c r="E15" i="25"/>
  <c r="D15" i="25"/>
  <c r="B15" i="25"/>
  <c r="I14" i="25"/>
  <c r="H14" i="25"/>
  <c r="G14" i="25"/>
  <c r="F14" i="25"/>
  <c r="E14" i="25"/>
  <c r="D14" i="25"/>
  <c r="B14" i="25"/>
  <c r="I13" i="25"/>
  <c r="H13" i="25"/>
  <c r="G13" i="25"/>
  <c r="F13" i="25"/>
  <c r="E13" i="25"/>
  <c r="D13" i="25"/>
  <c r="B13" i="25"/>
  <c r="I12" i="25"/>
  <c r="H12" i="25"/>
  <c r="G12" i="25"/>
  <c r="F12" i="25"/>
  <c r="E12" i="25"/>
  <c r="D12" i="25"/>
  <c r="B12" i="25"/>
  <c r="I11" i="25"/>
  <c r="H11" i="25"/>
  <c r="G11" i="25"/>
  <c r="F11" i="25"/>
  <c r="E11" i="25"/>
  <c r="D11" i="25"/>
  <c r="B11" i="25"/>
  <c r="I10" i="25"/>
  <c r="H10" i="25"/>
  <c r="G10" i="25"/>
  <c r="F10" i="25"/>
  <c r="E10" i="25"/>
  <c r="D10" i="25"/>
  <c r="B10" i="25"/>
  <c r="I9" i="25"/>
  <c r="H9" i="25"/>
  <c r="G9" i="25"/>
  <c r="F9" i="25"/>
  <c r="E9" i="25"/>
  <c r="D9" i="25"/>
  <c r="B9" i="25"/>
  <c r="I8" i="25"/>
  <c r="H8" i="25"/>
  <c r="G8" i="25"/>
  <c r="F8" i="25"/>
  <c r="E8" i="25"/>
  <c r="D8" i="25"/>
  <c r="B8" i="25"/>
  <c r="I7" i="25"/>
  <c r="H7" i="25"/>
  <c r="G7" i="25"/>
  <c r="F7" i="25"/>
  <c r="E7" i="25"/>
  <c r="D7" i="25"/>
  <c r="B7" i="25"/>
  <c r="I6" i="25"/>
  <c r="H6" i="25"/>
  <c r="G6" i="25"/>
  <c r="F6" i="25"/>
  <c r="E6" i="25"/>
  <c r="D6" i="25"/>
  <c r="B6" i="25"/>
  <c r="I5" i="25"/>
  <c r="H5" i="25"/>
  <c r="G5" i="25"/>
  <c r="F5" i="25"/>
  <c r="E5" i="25"/>
  <c r="D5" i="25"/>
  <c r="B5" i="25"/>
  <c r="I4" i="25"/>
  <c r="H4" i="25"/>
  <c r="G4" i="25"/>
  <c r="F4" i="25"/>
  <c r="E4" i="25"/>
  <c r="D4" i="25"/>
  <c r="B4" i="25"/>
  <c r="I3" i="25"/>
  <c r="H3" i="25"/>
  <c r="G3" i="25"/>
  <c r="F3" i="25"/>
  <c r="E3" i="25"/>
  <c r="D3" i="25"/>
  <c r="B3" i="25"/>
  <c r="I2" i="25"/>
  <c r="H2" i="25"/>
  <c r="G2" i="25"/>
  <c r="F2" i="25"/>
  <c r="E2" i="25"/>
  <c r="D2" i="25"/>
  <c r="B2" i="25"/>
  <c r="I26" i="26"/>
  <c r="H26" i="26"/>
  <c r="G26" i="26"/>
  <c r="F26" i="26"/>
  <c r="E26" i="26"/>
  <c r="D26" i="26"/>
  <c r="B26" i="26"/>
  <c r="I25" i="26"/>
  <c r="H25" i="26"/>
  <c r="G25" i="26"/>
  <c r="F25" i="26"/>
  <c r="E25" i="26"/>
  <c r="D25" i="26"/>
  <c r="B25" i="26"/>
  <c r="I24" i="26"/>
  <c r="H24" i="26"/>
  <c r="G24" i="26"/>
  <c r="F24" i="26"/>
  <c r="E24" i="26"/>
  <c r="D24" i="26"/>
  <c r="B24" i="26"/>
  <c r="I23" i="26"/>
  <c r="H23" i="26"/>
  <c r="G23" i="26"/>
  <c r="F23" i="26"/>
  <c r="E23" i="26"/>
  <c r="D23" i="26"/>
  <c r="B23" i="26"/>
  <c r="I22" i="26"/>
  <c r="H22" i="26"/>
  <c r="G22" i="26"/>
  <c r="F22" i="26"/>
  <c r="E22" i="26"/>
  <c r="D22" i="26"/>
  <c r="B22" i="26"/>
  <c r="I21" i="26"/>
  <c r="H21" i="26"/>
  <c r="G21" i="26"/>
  <c r="F21" i="26"/>
  <c r="E21" i="26"/>
  <c r="D21" i="26"/>
  <c r="B21" i="26"/>
  <c r="I20" i="26"/>
  <c r="H20" i="26"/>
  <c r="G20" i="26"/>
  <c r="F20" i="26"/>
  <c r="E20" i="26"/>
  <c r="D20" i="26"/>
  <c r="B20" i="26"/>
  <c r="I19" i="26"/>
  <c r="H19" i="26"/>
  <c r="G19" i="26"/>
  <c r="F19" i="26"/>
  <c r="E19" i="26"/>
  <c r="D19" i="26"/>
  <c r="B19" i="26"/>
  <c r="I18" i="26"/>
  <c r="H18" i="26"/>
  <c r="G18" i="26"/>
  <c r="F18" i="26"/>
  <c r="E18" i="26"/>
  <c r="D18" i="26"/>
  <c r="B18" i="26"/>
  <c r="I17" i="26"/>
  <c r="H17" i="26"/>
  <c r="G17" i="26"/>
  <c r="F17" i="26"/>
  <c r="E17" i="26"/>
  <c r="D17" i="26"/>
  <c r="B17" i="26"/>
  <c r="I16" i="26"/>
  <c r="H16" i="26"/>
  <c r="G16" i="26"/>
  <c r="F16" i="26"/>
  <c r="E16" i="26"/>
  <c r="D16" i="26"/>
  <c r="B16" i="26"/>
  <c r="I15" i="26"/>
  <c r="H15" i="26"/>
  <c r="G15" i="26"/>
  <c r="F15" i="26"/>
  <c r="E15" i="26"/>
  <c r="D15" i="26"/>
  <c r="B15" i="26"/>
  <c r="I14" i="26"/>
  <c r="H14" i="26"/>
  <c r="G14" i="26"/>
  <c r="F14" i="26"/>
  <c r="E14" i="26"/>
  <c r="D14" i="26"/>
  <c r="B14" i="26"/>
  <c r="I13" i="26"/>
  <c r="H13" i="26"/>
  <c r="G13" i="26"/>
  <c r="F13" i="26"/>
  <c r="E13" i="26"/>
  <c r="D13" i="26"/>
  <c r="B13" i="26"/>
  <c r="I12" i="26"/>
  <c r="H12" i="26"/>
  <c r="G12" i="26"/>
  <c r="F12" i="26"/>
  <c r="E12" i="26"/>
  <c r="D12" i="26"/>
  <c r="B12" i="26"/>
  <c r="I11" i="26"/>
  <c r="H11" i="26"/>
  <c r="G11" i="26"/>
  <c r="F11" i="26"/>
  <c r="E11" i="26"/>
  <c r="D11" i="26"/>
  <c r="B11" i="26"/>
  <c r="I10" i="26"/>
  <c r="H10" i="26"/>
  <c r="G10" i="26"/>
  <c r="F10" i="26"/>
  <c r="E10" i="26"/>
  <c r="D10" i="26"/>
  <c r="B10" i="26"/>
  <c r="I9" i="26"/>
  <c r="H9" i="26"/>
  <c r="G9" i="26"/>
  <c r="F9" i="26"/>
  <c r="E9" i="26"/>
  <c r="D9" i="26"/>
  <c r="B9" i="26"/>
  <c r="I8" i="26"/>
  <c r="H8" i="26"/>
  <c r="G8" i="26"/>
  <c r="F8" i="26"/>
  <c r="E8" i="26"/>
  <c r="D8" i="26"/>
  <c r="B8" i="26"/>
  <c r="I7" i="26"/>
  <c r="H7" i="26"/>
  <c r="G7" i="26"/>
  <c r="F7" i="26"/>
  <c r="E7" i="26"/>
  <c r="D7" i="26"/>
  <c r="B7" i="26"/>
  <c r="I6" i="26"/>
  <c r="H6" i="26"/>
  <c r="G6" i="26"/>
  <c r="F6" i="26"/>
  <c r="E6" i="26"/>
  <c r="D6" i="26"/>
  <c r="B6" i="26"/>
  <c r="I5" i="26"/>
  <c r="H5" i="26"/>
  <c r="G5" i="26"/>
  <c r="F5" i="26"/>
  <c r="E5" i="26"/>
  <c r="D5" i="26"/>
  <c r="B5" i="26"/>
  <c r="I4" i="26"/>
  <c r="H4" i="26"/>
  <c r="G4" i="26"/>
  <c r="F4" i="26"/>
  <c r="E4" i="26"/>
  <c r="D4" i="26"/>
  <c r="B4" i="26"/>
  <c r="I3" i="26"/>
  <c r="H3" i="26"/>
  <c r="G3" i="26"/>
  <c r="F3" i="26"/>
  <c r="E3" i="26"/>
  <c r="D3" i="26"/>
  <c r="B3" i="26"/>
  <c r="I2" i="26"/>
  <c r="H2" i="26"/>
  <c r="G2" i="26"/>
  <c r="F2" i="26"/>
  <c r="E2" i="26"/>
  <c r="D2" i="26"/>
  <c r="B2" i="26"/>
  <c r="I26" i="27"/>
  <c r="H26" i="27"/>
  <c r="G26" i="27"/>
  <c r="F26" i="27"/>
  <c r="E26" i="27"/>
  <c r="D26" i="27"/>
  <c r="B26" i="27"/>
  <c r="I25" i="27"/>
  <c r="H25" i="27"/>
  <c r="G25" i="27"/>
  <c r="F25" i="27"/>
  <c r="E25" i="27"/>
  <c r="D25" i="27"/>
  <c r="B25" i="27"/>
  <c r="I24" i="27"/>
  <c r="H24" i="27"/>
  <c r="G24" i="27"/>
  <c r="F24" i="27"/>
  <c r="E24" i="27"/>
  <c r="D24" i="27"/>
  <c r="B24" i="27"/>
  <c r="I23" i="27"/>
  <c r="H23" i="27"/>
  <c r="G23" i="27"/>
  <c r="F23" i="27"/>
  <c r="E23" i="27"/>
  <c r="D23" i="27"/>
  <c r="B23" i="27"/>
  <c r="I22" i="27"/>
  <c r="H22" i="27"/>
  <c r="G22" i="27"/>
  <c r="F22" i="27"/>
  <c r="E22" i="27"/>
  <c r="D22" i="27"/>
  <c r="B22" i="27"/>
  <c r="I21" i="27"/>
  <c r="H21" i="27"/>
  <c r="G21" i="27"/>
  <c r="F21" i="27"/>
  <c r="E21" i="27"/>
  <c r="D21" i="27"/>
  <c r="B21" i="27"/>
  <c r="I20" i="27"/>
  <c r="H20" i="27"/>
  <c r="G20" i="27"/>
  <c r="F20" i="27"/>
  <c r="E20" i="27"/>
  <c r="D20" i="27"/>
  <c r="B20" i="27"/>
  <c r="I19" i="27"/>
  <c r="H19" i="27"/>
  <c r="G19" i="27"/>
  <c r="F19" i="27"/>
  <c r="E19" i="27"/>
  <c r="D19" i="27"/>
  <c r="B19" i="27"/>
  <c r="I18" i="27"/>
  <c r="H18" i="27"/>
  <c r="G18" i="27"/>
  <c r="F18" i="27"/>
  <c r="E18" i="27"/>
  <c r="D18" i="27"/>
  <c r="B18" i="27"/>
  <c r="I17" i="27"/>
  <c r="H17" i="27"/>
  <c r="G17" i="27"/>
  <c r="F17" i="27"/>
  <c r="E17" i="27"/>
  <c r="D17" i="27"/>
  <c r="B17" i="27"/>
  <c r="I16" i="27"/>
  <c r="H16" i="27"/>
  <c r="G16" i="27"/>
  <c r="F16" i="27"/>
  <c r="E16" i="27"/>
  <c r="D16" i="27"/>
  <c r="B16" i="27"/>
  <c r="I15" i="27"/>
  <c r="H15" i="27"/>
  <c r="G15" i="27"/>
  <c r="F15" i="27"/>
  <c r="E15" i="27"/>
  <c r="D15" i="27"/>
  <c r="B15" i="27"/>
  <c r="I14" i="27"/>
  <c r="H14" i="27"/>
  <c r="G14" i="27"/>
  <c r="F14" i="27"/>
  <c r="E14" i="27"/>
  <c r="D14" i="27"/>
  <c r="B14" i="27"/>
  <c r="I13" i="27"/>
  <c r="H13" i="27"/>
  <c r="G13" i="27"/>
  <c r="F13" i="27"/>
  <c r="E13" i="27"/>
  <c r="D13" i="27"/>
  <c r="B13" i="27"/>
  <c r="I12" i="27"/>
  <c r="H12" i="27"/>
  <c r="G12" i="27"/>
  <c r="F12" i="27"/>
  <c r="E12" i="27"/>
  <c r="D12" i="27"/>
  <c r="B12" i="27"/>
  <c r="I11" i="27"/>
  <c r="H11" i="27"/>
  <c r="G11" i="27"/>
  <c r="F11" i="27"/>
  <c r="E11" i="27"/>
  <c r="D11" i="27"/>
  <c r="B11" i="27"/>
  <c r="I10" i="27"/>
  <c r="H10" i="27"/>
  <c r="G10" i="27"/>
  <c r="F10" i="27"/>
  <c r="E10" i="27"/>
  <c r="D10" i="27"/>
  <c r="B10" i="27"/>
  <c r="I9" i="27"/>
  <c r="H9" i="27"/>
  <c r="G9" i="27"/>
  <c r="F9" i="27"/>
  <c r="E9" i="27"/>
  <c r="D9" i="27"/>
  <c r="B9" i="27"/>
  <c r="I8" i="27"/>
  <c r="H8" i="27"/>
  <c r="G8" i="27"/>
  <c r="F8" i="27"/>
  <c r="E8" i="27"/>
  <c r="D8" i="27"/>
  <c r="B8" i="27"/>
  <c r="I7" i="27"/>
  <c r="H7" i="27"/>
  <c r="G7" i="27"/>
  <c r="F7" i="27"/>
  <c r="E7" i="27"/>
  <c r="D7" i="27"/>
  <c r="B7" i="27"/>
  <c r="I6" i="27"/>
  <c r="H6" i="27"/>
  <c r="G6" i="27"/>
  <c r="F6" i="27"/>
  <c r="E6" i="27"/>
  <c r="D6" i="27"/>
  <c r="B6" i="27"/>
  <c r="I5" i="27"/>
  <c r="H5" i="27"/>
  <c r="G5" i="27"/>
  <c r="F5" i="27"/>
  <c r="E5" i="27"/>
  <c r="D5" i="27"/>
  <c r="B5" i="27"/>
  <c r="I4" i="27"/>
  <c r="H4" i="27"/>
  <c r="G4" i="27"/>
  <c r="F4" i="27"/>
  <c r="E4" i="27"/>
  <c r="D4" i="27"/>
  <c r="B4" i="27"/>
  <c r="I3" i="27"/>
  <c r="H3" i="27"/>
  <c r="G3" i="27"/>
  <c r="F3" i="27"/>
  <c r="E3" i="27"/>
  <c r="D3" i="27"/>
  <c r="B3" i="27"/>
  <c r="I2" i="27"/>
  <c r="H2" i="27"/>
  <c r="G2" i="27"/>
  <c r="F2" i="27"/>
  <c r="E2" i="27"/>
  <c r="D2" i="27"/>
  <c r="B2" i="27"/>
  <c r="I26" i="28"/>
  <c r="H26" i="28"/>
  <c r="G26" i="28"/>
  <c r="F26" i="28"/>
  <c r="E26" i="28"/>
  <c r="D26" i="28"/>
  <c r="B26" i="28"/>
  <c r="I25" i="28"/>
  <c r="H25" i="28"/>
  <c r="G25" i="28"/>
  <c r="F25" i="28"/>
  <c r="E25" i="28"/>
  <c r="D25" i="28"/>
  <c r="B25" i="28"/>
  <c r="I24" i="28"/>
  <c r="H24" i="28"/>
  <c r="G24" i="28"/>
  <c r="F24" i="28"/>
  <c r="E24" i="28"/>
  <c r="D24" i="28"/>
  <c r="B24" i="28"/>
  <c r="I23" i="28"/>
  <c r="H23" i="28"/>
  <c r="G23" i="28"/>
  <c r="F23" i="28"/>
  <c r="E23" i="28"/>
  <c r="D23" i="28"/>
  <c r="B23" i="28"/>
  <c r="I22" i="28"/>
  <c r="H22" i="28"/>
  <c r="G22" i="28"/>
  <c r="F22" i="28"/>
  <c r="E22" i="28"/>
  <c r="D22" i="28"/>
  <c r="B22" i="28"/>
  <c r="I21" i="28"/>
  <c r="H21" i="28"/>
  <c r="G21" i="28"/>
  <c r="F21" i="28"/>
  <c r="E21" i="28"/>
  <c r="D21" i="28"/>
  <c r="B21" i="28"/>
  <c r="I20" i="28"/>
  <c r="H20" i="28"/>
  <c r="G20" i="28"/>
  <c r="F20" i="28"/>
  <c r="E20" i="28"/>
  <c r="D20" i="28"/>
  <c r="B20" i="28"/>
  <c r="I19" i="28"/>
  <c r="H19" i="28"/>
  <c r="G19" i="28"/>
  <c r="F19" i="28"/>
  <c r="E19" i="28"/>
  <c r="D19" i="28"/>
  <c r="B19" i="28"/>
  <c r="I18" i="28"/>
  <c r="H18" i="28"/>
  <c r="G18" i="28"/>
  <c r="F18" i="28"/>
  <c r="E18" i="28"/>
  <c r="D18" i="28"/>
  <c r="B18" i="28"/>
  <c r="I17" i="28"/>
  <c r="H17" i="28"/>
  <c r="G17" i="28"/>
  <c r="F17" i="28"/>
  <c r="E17" i="28"/>
  <c r="D17" i="28"/>
  <c r="B17" i="28"/>
  <c r="I16" i="28"/>
  <c r="H16" i="28"/>
  <c r="G16" i="28"/>
  <c r="F16" i="28"/>
  <c r="E16" i="28"/>
  <c r="D16" i="28"/>
  <c r="B16" i="28"/>
  <c r="I15" i="28"/>
  <c r="H15" i="28"/>
  <c r="G15" i="28"/>
  <c r="F15" i="28"/>
  <c r="E15" i="28"/>
  <c r="D15" i="28"/>
  <c r="B15" i="28"/>
  <c r="I14" i="28"/>
  <c r="H14" i="28"/>
  <c r="G14" i="28"/>
  <c r="F14" i="28"/>
  <c r="E14" i="28"/>
  <c r="D14" i="28"/>
  <c r="B14" i="28"/>
  <c r="I13" i="28"/>
  <c r="H13" i="28"/>
  <c r="G13" i="28"/>
  <c r="F13" i="28"/>
  <c r="E13" i="28"/>
  <c r="D13" i="28"/>
  <c r="B13" i="28"/>
  <c r="I12" i="28"/>
  <c r="H12" i="28"/>
  <c r="G12" i="28"/>
  <c r="F12" i="28"/>
  <c r="E12" i="28"/>
  <c r="D12" i="28"/>
  <c r="B12" i="28"/>
  <c r="I11" i="28"/>
  <c r="H11" i="28"/>
  <c r="G11" i="28"/>
  <c r="F11" i="28"/>
  <c r="E11" i="28"/>
  <c r="D11" i="28"/>
  <c r="B11" i="28"/>
  <c r="I10" i="28"/>
  <c r="H10" i="28"/>
  <c r="G10" i="28"/>
  <c r="F10" i="28"/>
  <c r="E10" i="28"/>
  <c r="D10" i="28"/>
  <c r="B10" i="28"/>
  <c r="I9" i="28"/>
  <c r="H9" i="28"/>
  <c r="G9" i="28"/>
  <c r="F9" i="28"/>
  <c r="E9" i="28"/>
  <c r="D9" i="28"/>
  <c r="B9" i="28"/>
  <c r="I8" i="28"/>
  <c r="H8" i="28"/>
  <c r="G8" i="28"/>
  <c r="F8" i="28"/>
  <c r="E8" i="28"/>
  <c r="D8" i="28"/>
  <c r="B8" i="28"/>
  <c r="I7" i="28"/>
  <c r="H7" i="28"/>
  <c r="G7" i="28"/>
  <c r="F7" i="28"/>
  <c r="E7" i="28"/>
  <c r="D7" i="28"/>
  <c r="B7" i="28"/>
  <c r="I6" i="28"/>
  <c r="H6" i="28"/>
  <c r="G6" i="28"/>
  <c r="F6" i="28"/>
  <c r="E6" i="28"/>
  <c r="D6" i="28"/>
  <c r="B6" i="28"/>
  <c r="I5" i="28"/>
  <c r="H5" i="28"/>
  <c r="G5" i="28"/>
  <c r="F5" i="28"/>
  <c r="E5" i="28"/>
  <c r="D5" i="28"/>
  <c r="B5" i="28"/>
  <c r="I4" i="28"/>
  <c r="H4" i="28"/>
  <c r="G4" i="28"/>
  <c r="F4" i="28"/>
  <c r="E4" i="28"/>
  <c r="D4" i="28"/>
  <c r="B4" i="28"/>
  <c r="I3" i="28"/>
  <c r="H3" i="28"/>
  <c r="G3" i="28"/>
  <c r="F3" i="28"/>
  <c r="E3" i="28"/>
  <c r="D3" i="28"/>
  <c r="B3" i="28"/>
  <c r="I2" i="28"/>
  <c r="H2" i="28"/>
  <c r="G2" i="28"/>
  <c r="F2" i="28"/>
  <c r="E2" i="28"/>
  <c r="D2" i="28"/>
  <c r="B2" i="28"/>
  <c r="I26" i="21"/>
  <c r="H26" i="21"/>
  <c r="G26" i="21"/>
  <c r="F26" i="21"/>
  <c r="E26" i="21"/>
  <c r="D26" i="21"/>
  <c r="B26" i="21"/>
  <c r="I25" i="21"/>
  <c r="H25" i="21"/>
  <c r="G25" i="21"/>
  <c r="F25" i="21"/>
  <c r="E25" i="21"/>
  <c r="D25" i="21"/>
  <c r="B25" i="21"/>
  <c r="I24" i="21"/>
  <c r="H24" i="21"/>
  <c r="G24" i="21"/>
  <c r="F24" i="21"/>
  <c r="E24" i="21"/>
  <c r="D24" i="21"/>
  <c r="B24" i="21"/>
  <c r="I23" i="21"/>
  <c r="H23" i="21"/>
  <c r="G23" i="21"/>
  <c r="F23" i="21"/>
  <c r="E23" i="21"/>
  <c r="D23" i="21"/>
  <c r="B23" i="21"/>
  <c r="I22" i="21"/>
  <c r="H22" i="21"/>
  <c r="G22" i="21"/>
  <c r="F22" i="21"/>
  <c r="E22" i="21"/>
  <c r="D22" i="21"/>
  <c r="B22" i="21"/>
  <c r="I21" i="21"/>
  <c r="H21" i="21"/>
  <c r="G21" i="21"/>
  <c r="F21" i="21"/>
  <c r="E21" i="21"/>
  <c r="D21" i="21"/>
  <c r="B21" i="21"/>
  <c r="I20" i="21"/>
  <c r="H20" i="21"/>
  <c r="G20" i="21"/>
  <c r="F20" i="21"/>
  <c r="E20" i="21"/>
  <c r="D20" i="21"/>
  <c r="B20" i="21"/>
  <c r="I19" i="21"/>
  <c r="H19" i="21"/>
  <c r="G19" i="21"/>
  <c r="F19" i="21"/>
  <c r="E19" i="21"/>
  <c r="D19" i="21"/>
  <c r="B19" i="21"/>
  <c r="I18" i="21"/>
  <c r="H18" i="21"/>
  <c r="G18" i="21"/>
  <c r="F18" i="21"/>
  <c r="E18" i="21"/>
  <c r="D18" i="21"/>
  <c r="B18" i="21"/>
  <c r="I17" i="21"/>
  <c r="H17" i="21"/>
  <c r="G17" i="21"/>
  <c r="F17" i="21"/>
  <c r="E17" i="21"/>
  <c r="D17" i="21"/>
  <c r="B17" i="21"/>
  <c r="I16" i="21"/>
  <c r="H16" i="21"/>
  <c r="G16" i="21"/>
  <c r="F16" i="21"/>
  <c r="E16" i="21"/>
  <c r="D16" i="21"/>
  <c r="B16" i="21"/>
  <c r="I15" i="21"/>
  <c r="H15" i="21"/>
  <c r="G15" i="21"/>
  <c r="F15" i="21"/>
  <c r="E15" i="21"/>
  <c r="D15" i="21"/>
  <c r="B15" i="21"/>
  <c r="I14" i="21"/>
  <c r="H14" i="21"/>
  <c r="G14" i="21"/>
  <c r="F14" i="21"/>
  <c r="E14" i="21"/>
  <c r="D14" i="21"/>
  <c r="B14" i="21"/>
  <c r="I13" i="21"/>
  <c r="H13" i="21"/>
  <c r="G13" i="21"/>
  <c r="F13" i="21"/>
  <c r="E13" i="21"/>
  <c r="D13" i="21"/>
  <c r="B13" i="21"/>
  <c r="I12" i="21"/>
  <c r="H12" i="21"/>
  <c r="G12" i="21"/>
  <c r="F12" i="21"/>
  <c r="E12" i="21"/>
  <c r="D12" i="21"/>
  <c r="B12" i="21"/>
  <c r="I11" i="21"/>
  <c r="H11" i="21"/>
  <c r="G11" i="21"/>
  <c r="F11" i="21"/>
  <c r="E11" i="21"/>
  <c r="D11" i="21"/>
  <c r="B11" i="21"/>
  <c r="I10" i="21"/>
  <c r="H10" i="21"/>
  <c r="G10" i="21"/>
  <c r="F10" i="21"/>
  <c r="E10" i="21"/>
  <c r="D10" i="21"/>
  <c r="B10" i="21"/>
  <c r="I9" i="21"/>
  <c r="H9" i="21"/>
  <c r="G9" i="21"/>
  <c r="F9" i="21"/>
  <c r="E9" i="21"/>
  <c r="D9" i="21"/>
  <c r="B9" i="21"/>
  <c r="I8" i="21"/>
  <c r="H8" i="21"/>
  <c r="G8" i="21"/>
  <c r="F8" i="21"/>
  <c r="E8" i="21"/>
  <c r="D8" i="21"/>
  <c r="B8" i="21"/>
  <c r="I7" i="21"/>
  <c r="H7" i="21"/>
  <c r="G7" i="21"/>
  <c r="F7" i="21"/>
  <c r="E7" i="21"/>
  <c r="D7" i="21"/>
  <c r="B7" i="21"/>
  <c r="I6" i="21"/>
  <c r="H6" i="21"/>
  <c r="G6" i="21"/>
  <c r="F6" i="21"/>
  <c r="E6" i="21"/>
  <c r="D6" i="21"/>
  <c r="B6" i="21"/>
  <c r="I5" i="21"/>
  <c r="H5" i="21"/>
  <c r="G5" i="21"/>
  <c r="F5" i="21"/>
  <c r="E5" i="21"/>
  <c r="D5" i="21"/>
  <c r="B5" i="21"/>
  <c r="I4" i="21"/>
  <c r="H4" i="21"/>
  <c r="G4" i="21"/>
  <c r="F4" i="21"/>
  <c r="E4" i="21"/>
  <c r="D4" i="21"/>
  <c r="B4" i="21"/>
  <c r="I3" i="21"/>
  <c r="H3" i="21"/>
  <c r="G3" i="21"/>
  <c r="F3" i="21"/>
  <c r="E3" i="21"/>
  <c r="D3" i="21"/>
  <c r="B3" i="21"/>
  <c r="I2" i="21"/>
  <c r="H2" i="21"/>
  <c r="G2" i="21"/>
  <c r="F2" i="21"/>
  <c r="E2" i="21"/>
  <c r="D2" i="21"/>
  <c r="B2" i="21"/>
  <c r="I26" i="20"/>
  <c r="H26" i="20"/>
  <c r="G26" i="20"/>
  <c r="F26" i="20"/>
  <c r="E26" i="20"/>
  <c r="D26" i="20"/>
  <c r="B26" i="20"/>
  <c r="I25" i="20"/>
  <c r="H25" i="20"/>
  <c r="G25" i="20"/>
  <c r="F25" i="20"/>
  <c r="E25" i="20"/>
  <c r="D25" i="20"/>
  <c r="B25" i="20"/>
  <c r="I24" i="20"/>
  <c r="H24" i="20"/>
  <c r="G24" i="20"/>
  <c r="F24" i="20"/>
  <c r="E24" i="20"/>
  <c r="D24" i="20"/>
  <c r="B24" i="20"/>
  <c r="I23" i="20"/>
  <c r="H23" i="20"/>
  <c r="G23" i="20"/>
  <c r="F23" i="20"/>
  <c r="E23" i="20"/>
  <c r="D23" i="20"/>
  <c r="B23" i="20"/>
  <c r="I22" i="20"/>
  <c r="H22" i="20"/>
  <c r="G22" i="20"/>
  <c r="F22" i="20"/>
  <c r="E22" i="20"/>
  <c r="D22" i="20"/>
  <c r="B22" i="20"/>
  <c r="I21" i="20"/>
  <c r="H21" i="20"/>
  <c r="G21" i="20"/>
  <c r="F21" i="20"/>
  <c r="E21" i="20"/>
  <c r="D21" i="20"/>
  <c r="B21" i="20"/>
  <c r="I20" i="20"/>
  <c r="H20" i="20"/>
  <c r="G20" i="20"/>
  <c r="F20" i="20"/>
  <c r="E20" i="20"/>
  <c r="D20" i="20"/>
  <c r="B20" i="20"/>
  <c r="I19" i="20"/>
  <c r="H19" i="20"/>
  <c r="G19" i="20"/>
  <c r="F19" i="20"/>
  <c r="E19" i="20"/>
  <c r="D19" i="20"/>
  <c r="B19" i="20"/>
  <c r="I18" i="20"/>
  <c r="H18" i="20"/>
  <c r="G18" i="20"/>
  <c r="F18" i="20"/>
  <c r="E18" i="20"/>
  <c r="D18" i="20"/>
  <c r="B18" i="20"/>
  <c r="I17" i="20"/>
  <c r="H17" i="20"/>
  <c r="G17" i="20"/>
  <c r="F17" i="20"/>
  <c r="E17" i="20"/>
  <c r="D17" i="20"/>
  <c r="B17" i="20"/>
  <c r="I16" i="20"/>
  <c r="H16" i="20"/>
  <c r="G16" i="20"/>
  <c r="F16" i="20"/>
  <c r="E16" i="20"/>
  <c r="D16" i="20"/>
  <c r="B16" i="20"/>
  <c r="I15" i="20"/>
  <c r="H15" i="20"/>
  <c r="G15" i="20"/>
  <c r="F15" i="20"/>
  <c r="E15" i="20"/>
  <c r="D15" i="20"/>
  <c r="B15" i="20"/>
  <c r="I14" i="20"/>
  <c r="H14" i="20"/>
  <c r="G14" i="20"/>
  <c r="F14" i="20"/>
  <c r="E14" i="20"/>
  <c r="D14" i="20"/>
  <c r="B14" i="20"/>
  <c r="I13" i="20"/>
  <c r="H13" i="20"/>
  <c r="G13" i="20"/>
  <c r="F13" i="20"/>
  <c r="E13" i="20"/>
  <c r="D13" i="20"/>
  <c r="B13" i="20"/>
  <c r="I12" i="20"/>
  <c r="H12" i="20"/>
  <c r="G12" i="20"/>
  <c r="F12" i="20"/>
  <c r="E12" i="20"/>
  <c r="D12" i="20"/>
  <c r="B12" i="20"/>
  <c r="I11" i="20"/>
  <c r="H11" i="20"/>
  <c r="G11" i="20"/>
  <c r="F11" i="20"/>
  <c r="E11" i="20"/>
  <c r="D11" i="20"/>
  <c r="B11" i="20"/>
  <c r="I10" i="20"/>
  <c r="H10" i="20"/>
  <c r="G10" i="20"/>
  <c r="F10" i="20"/>
  <c r="E10" i="20"/>
  <c r="D10" i="20"/>
  <c r="B10" i="20"/>
  <c r="I9" i="20"/>
  <c r="H9" i="20"/>
  <c r="G9" i="20"/>
  <c r="F9" i="20"/>
  <c r="E9" i="20"/>
  <c r="D9" i="20"/>
  <c r="B9" i="20"/>
  <c r="I8" i="20"/>
  <c r="H8" i="20"/>
  <c r="G8" i="20"/>
  <c r="F8" i="20"/>
  <c r="E8" i="20"/>
  <c r="D8" i="20"/>
  <c r="B8" i="20"/>
  <c r="I7" i="20"/>
  <c r="H7" i="20"/>
  <c r="G7" i="20"/>
  <c r="F7" i="20"/>
  <c r="E7" i="20"/>
  <c r="D7" i="20"/>
  <c r="B7" i="20"/>
  <c r="I6" i="20"/>
  <c r="H6" i="20"/>
  <c r="G6" i="20"/>
  <c r="F6" i="20"/>
  <c r="E6" i="20"/>
  <c r="D6" i="20"/>
  <c r="B6" i="20"/>
  <c r="I5" i="20"/>
  <c r="H5" i="20"/>
  <c r="G5" i="20"/>
  <c r="F5" i="20"/>
  <c r="E5" i="20"/>
  <c r="D5" i="20"/>
  <c r="B5" i="20"/>
  <c r="I4" i="20"/>
  <c r="H4" i="20"/>
  <c r="G4" i="20"/>
  <c r="F4" i="20"/>
  <c r="E4" i="20"/>
  <c r="D4" i="20"/>
  <c r="B4" i="20"/>
  <c r="I3" i="20"/>
  <c r="H3" i="20"/>
  <c r="G3" i="20"/>
  <c r="F3" i="20"/>
  <c r="E3" i="20"/>
  <c r="D3" i="20"/>
  <c r="B3" i="20"/>
  <c r="I2" i="20"/>
  <c r="H2" i="20"/>
  <c r="G2" i="20"/>
  <c r="F2" i="20"/>
  <c r="E2" i="20"/>
  <c r="D2" i="20"/>
  <c r="B2" i="20"/>
  <c r="I26" i="19"/>
  <c r="H26" i="19"/>
  <c r="G26" i="19"/>
  <c r="F26" i="19"/>
  <c r="E26" i="19"/>
  <c r="D26" i="19"/>
  <c r="B26" i="19"/>
  <c r="I25" i="19"/>
  <c r="H25" i="19"/>
  <c r="G25" i="19"/>
  <c r="F25" i="19"/>
  <c r="E25" i="19"/>
  <c r="D25" i="19"/>
  <c r="B25" i="19"/>
  <c r="I24" i="19"/>
  <c r="H24" i="19"/>
  <c r="G24" i="19"/>
  <c r="F24" i="19"/>
  <c r="E24" i="19"/>
  <c r="D24" i="19"/>
  <c r="B24" i="19"/>
  <c r="I23" i="19"/>
  <c r="H23" i="19"/>
  <c r="G23" i="19"/>
  <c r="F23" i="19"/>
  <c r="E23" i="19"/>
  <c r="D23" i="19"/>
  <c r="B23" i="19"/>
  <c r="I22" i="19"/>
  <c r="H22" i="19"/>
  <c r="G22" i="19"/>
  <c r="F22" i="19"/>
  <c r="E22" i="19"/>
  <c r="D22" i="19"/>
  <c r="B22" i="19"/>
  <c r="I21" i="19"/>
  <c r="H21" i="19"/>
  <c r="G21" i="19"/>
  <c r="F21" i="19"/>
  <c r="E21" i="19"/>
  <c r="D21" i="19"/>
  <c r="B21" i="19"/>
  <c r="I20" i="19"/>
  <c r="H20" i="19"/>
  <c r="G20" i="19"/>
  <c r="F20" i="19"/>
  <c r="E20" i="19"/>
  <c r="D20" i="19"/>
  <c r="B20" i="19"/>
  <c r="I19" i="19"/>
  <c r="H19" i="19"/>
  <c r="G19" i="19"/>
  <c r="F19" i="19"/>
  <c r="E19" i="19"/>
  <c r="D19" i="19"/>
  <c r="B19" i="19"/>
  <c r="I18" i="19"/>
  <c r="H18" i="19"/>
  <c r="G18" i="19"/>
  <c r="F18" i="19"/>
  <c r="E18" i="19"/>
  <c r="D18" i="19"/>
  <c r="B18" i="19"/>
  <c r="I17" i="19"/>
  <c r="H17" i="19"/>
  <c r="G17" i="19"/>
  <c r="F17" i="19"/>
  <c r="E17" i="19"/>
  <c r="D17" i="19"/>
  <c r="B17" i="19"/>
  <c r="I16" i="19"/>
  <c r="H16" i="19"/>
  <c r="G16" i="19"/>
  <c r="F16" i="19"/>
  <c r="E16" i="19"/>
  <c r="D16" i="19"/>
  <c r="B16" i="19"/>
  <c r="I15" i="19"/>
  <c r="H15" i="19"/>
  <c r="G15" i="19"/>
  <c r="F15" i="19"/>
  <c r="E15" i="19"/>
  <c r="D15" i="19"/>
  <c r="B15" i="19"/>
  <c r="I14" i="19"/>
  <c r="H14" i="19"/>
  <c r="G14" i="19"/>
  <c r="F14" i="19"/>
  <c r="E14" i="19"/>
  <c r="D14" i="19"/>
  <c r="B14" i="19"/>
  <c r="I13" i="19"/>
  <c r="H13" i="19"/>
  <c r="G13" i="19"/>
  <c r="F13" i="19"/>
  <c r="E13" i="19"/>
  <c r="D13" i="19"/>
  <c r="B13" i="19"/>
  <c r="I12" i="19"/>
  <c r="H12" i="19"/>
  <c r="G12" i="19"/>
  <c r="F12" i="19"/>
  <c r="E12" i="19"/>
  <c r="D12" i="19"/>
  <c r="B12" i="19"/>
  <c r="I11" i="19"/>
  <c r="H11" i="19"/>
  <c r="G11" i="19"/>
  <c r="F11" i="19"/>
  <c r="E11" i="19"/>
  <c r="D11" i="19"/>
  <c r="B11" i="19"/>
  <c r="I10" i="19"/>
  <c r="H10" i="19"/>
  <c r="G10" i="19"/>
  <c r="F10" i="19"/>
  <c r="E10" i="19"/>
  <c r="D10" i="19"/>
  <c r="B10" i="19"/>
  <c r="I9" i="19"/>
  <c r="H9" i="19"/>
  <c r="G9" i="19"/>
  <c r="F9" i="19"/>
  <c r="E9" i="19"/>
  <c r="D9" i="19"/>
  <c r="B9" i="19"/>
  <c r="I8" i="19"/>
  <c r="H8" i="19"/>
  <c r="G8" i="19"/>
  <c r="F8" i="19"/>
  <c r="E8" i="19"/>
  <c r="D8" i="19"/>
  <c r="B8" i="19"/>
  <c r="I7" i="19"/>
  <c r="H7" i="19"/>
  <c r="G7" i="19"/>
  <c r="F7" i="19"/>
  <c r="E7" i="19"/>
  <c r="D7" i="19"/>
  <c r="B7" i="19"/>
  <c r="I6" i="19"/>
  <c r="H6" i="19"/>
  <c r="G6" i="19"/>
  <c r="F6" i="19"/>
  <c r="E6" i="19"/>
  <c r="D6" i="19"/>
  <c r="B6" i="19"/>
  <c r="I5" i="19"/>
  <c r="H5" i="19"/>
  <c r="G5" i="19"/>
  <c r="F5" i="19"/>
  <c r="E5" i="19"/>
  <c r="D5" i="19"/>
  <c r="B5" i="19"/>
  <c r="I4" i="19"/>
  <c r="H4" i="19"/>
  <c r="G4" i="19"/>
  <c r="F4" i="19"/>
  <c r="E4" i="19"/>
  <c r="D4" i="19"/>
  <c r="B4" i="19"/>
  <c r="I3" i="19"/>
  <c r="H3" i="19"/>
  <c r="G3" i="19"/>
  <c r="F3" i="19"/>
  <c r="E3" i="19"/>
  <c r="D3" i="19"/>
  <c r="B3" i="19"/>
  <c r="I2" i="19"/>
  <c r="H2" i="19"/>
  <c r="G2" i="19"/>
  <c r="F2" i="19"/>
  <c r="E2" i="19"/>
  <c r="D2" i="19"/>
  <c r="B2" i="19"/>
  <c r="I26" i="18"/>
  <c r="H26" i="18"/>
  <c r="G26" i="18"/>
  <c r="F26" i="18"/>
  <c r="E26" i="18"/>
  <c r="D26" i="18"/>
  <c r="B26" i="18"/>
  <c r="I25" i="18"/>
  <c r="H25" i="18"/>
  <c r="G25" i="18"/>
  <c r="F25" i="18"/>
  <c r="E25" i="18"/>
  <c r="D25" i="18"/>
  <c r="B25" i="18"/>
  <c r="I24" i="18"/>
  <c r="H24" i="18"/>
  <c r="G24" i="18"/>
  <c r="F24" i="18"/>
  <c r="E24" i="18"/>
  <c r="D24" i="18"/>
  <c r="B24" i="18"/>
  <c r="I23" i="18"/>
  <c r="H23" i="18"/>
  <c r="G23" i="18"/>
  <c r="F23" i="18"/>
  <c r="E23" i="18"/>
  <c r="D23" i="18"/>
  <c r="B23" i="18"/>
  <c r="I22" i="18"/>
  <c r="H22" i="18"/>
  <c r="G22" i="18"/>
  <c r="F22" i="18"/>
  <c r="E22" i="18"/>
  <c r="D22" i="18"/>
  <c r="B22" i="18"/>
  <c r="I21" i="18"/>
  <c r="H21" i="18"/>
  <c r="G21" i="18"/>
  <c r="F21" i="18"/>
  <c r="E21" i="18"/>
  <c r="D21" i="18"/>
  <c r="B21" i="18"/>
  <c r="I20" i="18"/>
  <c r="H20" i="18"/>
  <c r="G20" i="18"/>
  <c r="F20" i="18"/>
  <c r="E20" i="18"/>
  <c r="D20" i="18"/>
  <c r="B20" i="18"/>
  <c r="I19" i="18"/>
  <c r="H19" i="18"/>
  <c r="G19" i="18"/>
  <c r="F19" i="18"/>
  <c r="E19" i="18"/>
  <c r="D19" i="18"/>
  <c r="B19" i="18"/>
  <c r="I18" i="18"/>
  <c r="H18" i="18"/>
  <c r="G18" i="18"/>
  <c r="F18" i="18"/>
  <c r="E18" i="18"/>
  <c r="D18" i="18"/>
  <c r="B18" i="18"/>
  <c r="I17" i="18"/>
  <c r="H17" i="18"/>
  <c r="G17" i="18"/>
  <c r="F17" i="18"/>
  <c r="E17" i="18"/>
  <c r="D17" i="18"/>
  <c r="B17" i="18"/>
  <c r="I16" i="18"/>
  <c r="H16" i="18"/>
  <c r="G16" i="18"/>
  <c r="F16" i="18"/>
  <c r="E16" i="18"/>
  <c r="D16" i="18"/>
  <c r="B16" i="18"/>
  <c r="I15" i="18"/>
  <c r="H15" i="18"/>
  <c r="G15" i="18"/>
  <c r="F15" i="18"/>
  <c r="E15" i="18"/>
  <c r="D15" i="18"/>
  <c r="B15" i="18"/>
  <c r="I14" i="18"/>
  <c r="H14" i="18"/>
  <c r="G14" i="18"/>
  <c r="F14" i="18"/>
  <c r="E14" i="18"/>
  <c r="D14" i="18"/>
  <c r="B14" i="18"/>
  <c r="I13" i="18"/>
  <c r="H13" i="18"/>
  <c r="G13" i="18"/>
  <c r="F13" i="18"/>
  <c r="E13" i="18"/>
  <c r="D13" i="18"/>
  <c r="B13" i="18"/>
  <c r="I12" i="18"/>
  <c r="H12" i="18"/>
  <c r="G12" i="18"/>
  <c r="F12" i="18"/>
  <c r="E12" i="18"/>
  <c r="D12" i="18"/>
  <c r="B12" i="18"/>
  <c r="I11" i="18"/>
  <c r="H11" i="18"/>
  <c r="G11" i="18"/>
  <c r="F11" i="18"/>
  <c r="E11" i="18"/>
  <c r="D11" i="18"/>
  <c r="B11" i="18"/>
  <c r="I10" i="18"/>
  <c r="H10" i="18"/>
  <c r="G10" i="18"/>
  <c r="F10" i="18"/>
  <c r="E10" i="18"/>
  <c r="D10" i="18"/>
  <c r="B10" i="18"/>
  <c r="I9" i="18"/>
  <c r="H9" i="18"/>
  <c r="G9" i="18"/>
  <c r="F9" i="18"/>
  <c r="E9" i="18"/>
  <c r="D9" i="18"/>
  <c r="B9" i="18"/>
  <c r="I8" i="18"/>
  <c r="H8" i="18"/>
  <c r="G8" i="18"/>
  <c r="F8" i="18"/>
  <c r="E8" i="18"/>
  <c r="D8" i="18"/>
  <c r="B8" i="18"/>
  <c r="I7" i="18"/>
  <c r="H7" i="18"/>
  <c r="G7" i="18"/>
  <c r="F7" i="18"/>
  <c r="E7" i="18"/>
  <c r="D7" i="18"/>
  <c r="B7" i="18"/>
  <c r="I6" i="18"/>
  <c r="H6" i="18"/>
  <c r="G6" i="18"/>
  <c r="F6" i="18"/>
  <c r="E6" i="18"/>
  <c r="D6" i="18"/>
  <c r="B6" i="18"/>
  <c r="I5" i="18"/>
  <c r="H5" i="18"/>
  <c r="G5" i="18"/>
  <c r="F5" i="18"/>
  <c r="E5" i="18"/>
  <c r="D5" i="18"/>
  <c r="B5" i="18"/>
  <c r="I4" i="18"/>
  <c r="H4" i="18"/>
  <c r="G4" i="18"/>
  <c r="F4" i="18"/>
  <c r="E4" i="18"/>
  <c r="D4" i="18"/>
  <c r="B4" i="18"/>
  <c r="I3" i="18"/>
  <c r="H3" i="18"/>
  <c r="G3" i="18"/>
  <c r="F3" i="18"/>
  <c r="E3" i="18"/>
  <c r="D3" i="18"/>
  <c r="B3" i="18"/>
  <c r="I2" i="18"/>
  <c r="H2" i="18"/>
  <c r="G2" i="18"/>
  <c r="F2" i="18"/>
  <c r="E2" i="18"/>
  <c r="D2" i="18"/>
  <c r="B2" i="18"/>
  <c r="I26" i="17"/>
  <c r="H26" i="17"/>
  <c r="G26" i="17"/>
  <c r="F26" i="17"/>
  <c r="E26" i="17"/>
  <c r="D26" i="17"/>
  <c r="B26" i="17"/>
  <c r="I25" i="17"/>
  <c r="H25" i="17"/>
  <c r="G25" i="17"/>
  <c r="F25" i="17"/>
  <c r="E25" i="17"/>
  <c r="D25" i="17"/>
  <c r="B25" i="17"/>
  <c r="I24" i="17"/>
  <c r="H24" i="17"/>
  <c r="G24" i="17"/>
  <c r="F24" i="17"/>
  <c r="E24" i="17"/>
  <c r="D24" i="17"/>
  <c r="B24" i="17"/>
  <c r="I23" i="17"/>
  <c r="H23" i="17"/>
  <c r="G23" i="17"/>
  <c r="F23" i="17"/>
  <c r="E23" i="17"/>
  <c r="D23" i="17"/>
  <c r="B23" i="17"/>
  <c r="I22" i="17"/>
  <c r="H22" i="17"/>
  <c r="G22" i="17"/>
  <c r="F22" i="17"/>
  <c r="E22" i="17"/>
  <c r="D22" i="17"/>
  <c r="B22" i="17"/>
  <c r="I21" i="17"/>
  <c r="H21" i="17"/>
  <c r="G21" i="17"/>
  <c r="F21" i="17"/>
  <c r="E21" i="17"/>
  <c r="D21" i="17"/>
  <c r="B21" i="17"/>
  <c r="I20" i="17"/>
  <c r="H20" i="17"/>
  <c r="G20" i="17"/>
  <c r="F20" i="17"/>
  <c r="E20" i="17"/>
  <c r="D20" i="17"/>
  <c r="B20" i="17"/>
  <c r="I19" i="17"/>
  <c r="H19" i="17"/>
  <c r="G19" i="17"/>
  <c r="F19" i="17"/>
  <c r="E19" i="17"/>
  <c r="D19" i="17"/>
  <c r="B19" i="17"/>
  <c r="I18" i="17"/>
  <c r="H18" i="17"/>
  <c r="G18" i="17"/>
  <c r="F18" i="17"/>
  <c r="E18" i="17"/>
  <c r="D18" i="17"/>
  <c r="B18" i="17"/>
  <c r="I17" i="17"/>
  <c r="H17" i="17"/>
  <c r="G17" i="17"/>
  <c r="F17" i="17"/>
  <c r="E17" i="17"/>
  <c r="D17" i="17"/>
  <c r="B17" i="17"/>
  <c r="I16" i="17"/>
  <c r="H16" i="17"/>
  <c r="G16" i="17"/>
  <c r="F16" i="17"/>
  <c r="E16" i="17"/>
  <c r="D16" i="17"/>
  <c r="B16" i="17"/>
  <c r="I15" i="17"/>
  <c r="H15" i="17"/>
  <c r="G15" i="17"/>
  <c r="F15" i="17"/>
  <c r="E15" i="17"/>
  <c r="D15" i="17"/>
  <c r="B15" i="17"/>
  <c r="I14" i="17"/>
  <c r="H14" i="17"/>
  <c r="G14" i="17"/>
  <c r="F14" i="17"/>
  <c r="E14" i="17"/>
  <c r="D14" i="17"/>
  <c r="B14" i="17"/>
  <c r="I13" i="17"/>
  <c r="H13" i="17"/>
  <c r="G13" i="17"/>
  <c r="F13" i="17"/>
  <c r="E13" i="17"/>
  <c r="D13" i="17"/>
  <c r="B13" i="17"/>
  <c r="I12" i="17"/>
  <c r="H12" i="17"/>
  <c r="G12" i="17"/>
  <c r="F12" i="17"/>
  <c r="E12" i="17"/>
  <c r="D12" i="17"/>
  <c r="B12" i="17"/>
  <c r="I11" i="17"/>
  <c r="H11" i="17"/>
  <c r="G11" i="17"/>
  <c r="F11" i="17"/>
  <c r="E11" i="17"/>
  <c r="D11" i="17"/>
  <c r="B11" i="17"/>
  <c r="I10" i="17"/>
  <c r="H10" i="17"/>
  <c r="G10" i="17"/>
  <c r="F10" i="17"/>
  <c r="E10" i="17"/>
  <c r="D10" i="17"/>
  <c r="B10" i="17"/>
  <c r="I9" i="17"/>
  <c r="H9" i="17"/>
  <c r="G9" i="17"/>
  <c r="F9" i="17"/>
  <c r="E9" i="17"/>
  <c r="D9" i="17"/>
  <c r="B9" i="17"/>
  <c r="I8" i="17"/>
  <c r="H8" i="17"/>
  <c r="G8" i="17"/>
  <c r="F8" i="17"/>
  <c r="E8" i="17"/>
  <c r="D8" i="17"/>
  <c r="B8" i="17"/>
  <c r="I7" i="17"/>
  <c r="H7" i="17"/>
  <c r="G7" i="17"/>
  <c r="F7" i="17"/>
  <c r="E7" i="17"/>
  <c r="D7" i="17"/>
  <c r="B7" i="17"/>
  <c r="I6" i="17"/>
  <c r="H6" i="17"/>
  <c r="G6" i="17"/>
  <c r="F6" i="17"/>
  <c r="E6" i="17"/>
  <c r="D6" i="17"/>
  <c r="B6" i="17"/>
  <c r="I5" i="17"/>
  <c r="H5" i="17"/>
  <c r="G5" i="17"/>
  <c r="F5" i="17"/>
  <c r="E5" i="17"/>
  <c r="D5" i="17"/>
  <c r="B5" i="17"/>
  <c r="I4" i="17"/>
  <c r="H4" i="17"/>
  <c r="G4" i="17"/>
  <c r="F4" i="17"/>
  <c r="E4" i="17"/>
  <c r="D4" i="17"/>
  <c r="B4" i="17"/>
  <c r="I3" i="17"/>
  <c r="H3" i="17"/>
  <c r="G3" i="17"/>
  <c r="F3" i="17"/>
  <c r="E3" i="17"/>
  <c r="D3" i="17"/>
  <c r="B3" i="17"/>
  <c r="I2" i="17"/>
  <c r="H2" i="17"/>
  <c r="G2" i="17"/>
  <c r="F2" i="17"/>
  <c r="E2" i="17"/>
  <c r="D2" i="17"/>
  <c r="B2" i="17"/>
  <c r="H13" i="16"/>
  <c r="I26" i="16"/>
  <c r="H26" i="16"/>
  <c r="G26" i="16"/>
  <c r="F26" i="16"/>
  <c r="E26" i="16"/>
  <c r="D26" i="16"/>
  <c r="B26" i="16"/>
  <c r="I25" i="16"/>
  <c r="H25" i="16"/>
  <c r="G25" i="16"/>
  <c r="F25" i="16"/>
  <c r="E25" i="16"/>
  <c r="D25" i="16"/>
  <c r="B25" i="16"/>
  <c r="I24" i="16"/>
  <c r="H24" i="16"/>
  <c r="G24" i="16"/>
  <c r="F24" i="16"/>
  <c r="E24" i="16"/>
  <c r="D24" i="16"/>
  <c r="B24" i="16"/>
  <c r="I23" i="16"/>
  <c r="H23" i="16"/>
  <c r="G23" i="16"/>
  <c r="F23" i="16"/>
  <c r="E23" i="16"/>
  <c r="D23" i="16"/>
  <c r="B23" i="16"/>
  <c r="I22" i="16"/>
  <c r="H22" i="16"/>
  <c r="G22" i="16"/>
  <c r="F22" i="16"/>
  <c r="E22" i="16"/>
  <c r="D22" i="16"/>
  <c r="B22" i="16"/>
  <c r="I21" i="16"/>
  <c r="H21" i="16"/>
  <c r="G21" i="16"/>
  <c r="F21" i="16"/>
  <c r="E21" i="16"/>
  <c r="D21" i="16"/>
  <c r="B21" i="16"/>
  <c r="I20" i="16"/>
  <c r="H20" i="16"/>
  <c r="G20" i="16"/>
  <c r="F20" i="16"/>
  <c r="E20" i="16"/>
  <c r="D20" i="16"/>
  <c r="B20" i="16"/>
  <c r="I19" i="16"/>
  <c r="H19" i="16"/>
  <c r="G19" i="16"/>
  <c r="F19" i="16"/>
  <c r="E19" i="16"/>
  <c r="D19" i="16"/>
  <c r="B19" i="16"/>
  <c r="I18" i="16"/>
  <c r="H18" i="16"/>
  <c r="G18" i="16"/>
  <c r="F18" i="16"/>
  <c r="E18" i="16"/>
  <c r="D18" i="16"/>
  <c r="B18" i="16"/>
  <c r="I17" i="16"/>
  <c r="H17" i="16"/>
  <c r="G17" i="16"/>
  <c r="F17" i="16"/>
  <c r="E17" i="16"/>
  <c r="D17" i="16"/>
  <c r="B17" i="16"/>
  <c r="I16" i="16"/>
  <c r="H16" i="16"/>
  <c r="G16" i="16"/>
  <c r="F16" i="16"/>
  <c r="E16" i="16"/>
  <c r="D16" i="16"/>
  <c r="B16" i="16"/>
  <c r="I15" i="16"/>
  <c r="H15" i="16"/>
  <c r="G15" i="16"/>
  <c r="F15" i="16"/>
  <c r="E15" i="16"/>
  <c r="D15" i="16"/>
  <c r="B15" i="16"/>
  <c r="I14" i="16"/>
  <c r="H14" i="16"/>
  <c r="G14" i="16"/>
  <c r="F14" i="16"/>
  <c r="E14" i="16"/>
  <c r="D14" i="16"/>
  <c r="B14" i="16"/>
  <c r="I13" i="16"/>
  <c r="G13" i="16"/>
  <c r="F13" i="16"/>
  <c r="E13" i="16"/>
  <c r="D13" i="16"/>
  <c r="B13" i="16"/>
  <c r="I12" i="16"/>
  <c r="H12" i="16"/>
  <c r="G12" i="16"/>
  <c r="F12" i="16"/>
  <c r="E12" i="16"/>
  <c r="D12" i="16"/>
  <c r="B12" i="16"/>
  <c r="I11" i="16"/>
  <c r="H11" i="16"/>
  <c r="G11" i="16"/>
  <c r="F11" i="16"/>
  <c r="E11" i="16"/>
  <c r="D11" i="16"/>
  <c r="B11" i="16"/>
  <c r="I10" i="16"/>
  <c r="H10" i="16"/>
  <c r="G10" i="16"/>
  <c r="F10" i="16"/>
  <c r="E10" i="16"/>
  <c r="D10" i="16"/>
  <c r="B10" i="16"/>
  <c r="I9" i="16"/>
  <c r="H9" i="16"/>
  <c r="G9" i="16"/>
  <c r="F9" i="16"/>
  <c r="E9" i="16"/>
  <c r="D9" i="16"/>
  <c r="B9" i="16"/>
  <c r="I8" i="16"/>
  <c r="H8" i="16"/>
  <c r="G8" i="16"/>
  <c r="F8" i="16"/>
  <c r="E8" i="16"/>
  <c r="D8" i="16"/>
  <c r="B8" i="16"/>
  <c r="I7" i="16"/>
  <c r="H7" i="16"/>
  <c r="G7" i="16"/>
  <c r="F7" i="16"/>
  <c r="E7" i="16"/>
  <c r="D7" i="16"/>
  <c r="B7" i="16"/>
  <c r="I6" i="16"/>
  <c r="H6" i="16"/>
  <c r="G6" i="16"/>
  <c r="F6" i="16"/>
  <c r="E6" i="16"/>
  <c r="D6" i="16"/>
  <c r="B6" i="16"/>
  <c r="I5" i="16"/>
  <c r="H5" i="16"/>
  <c r="G5" i="16"/>
  <c r="F5" i="16"/>
  <c r="E5" i="16"/>
  <c r="D5" i="16"/>
  <c r="B5" i="16"/>
  <c r="I4" i="16"/>
  <c r="H4" i="16"/>
  <c r="G4" i="16"/>
  <c r="F4" i="16"/>
  <c r="E4" i="16"/>
  <c r="D4" i="16"/>
  <c r="B4" i="16"/>
  <c r="I3" i="16"/>
  <c r="H3" i="16"/>
  <c r="G3" i="16"/>
  <c r="F3" i="16"/>
  <c r="E3" i="16"/>
  <c r="D3" i="16"/>
  <c r="B3" i="16"/>
  <c r="I2" i="16"/>
  <c r="H2" i="16"/>
  <c r="G2" i="16"/>
  <c r="F2" i="16"/>
  <c r="E2" i="16"/>
  <c r="D2" i="16"/>
  <c r="B2" i="16"/>
  <c r="I26" i="15"/>
  <c r="H26" i="15"/>
  <c r="G26" i="15"/>
  <c r="F26" i="15"/>
  <c r="E26" i="15"/>
  <c r="D26" i="15"/>
  <c r="B26" i="15"/>
  <c r="I25" i="15"/>
  <c r="H25" i="15"/>
  <c r="G25" i="15"/>
  <c r="F25" i="15"/>
  <c r="E25" i="15"/>
  <c r="D25" i="15"/>
  <c r="B25" i="15"/>
  <c r="I24" i="15"/>
  <c r="H24" i="15"/>
  <c r="G24" i="15"/>
  <c r="F24" i="15"/>
  <c r="E24" i="15"/>
  <c r="D24" i="15"/>
  <c r="B24" i="15"/>
  <c r="I23" i="15"/>
  <c r="H23" i="15"/>
  <c r="G23" i="15"/>
  <c r="F23" i="15"/>
  <c r="E23" i="15"/>
  <c r="D23" i="15"/>
  <c r="B23" i="15"/>
  <c r="I22" i="15"/>
  <c r="H22" i="15"/>
  <c r="G22" i="15"/>
  <c r="F22" i="15"/>
  <c r="E22" i="15"/>
  <c r="D22" i="15"/>
  <c r="B22" i="15"/>
  <c r="I21" i="15"/>
  <c r="H21" i="15"/>
  <c r="G21" i="15"/>
  <c r="F21" i="15"/>
  <c r="E21" i="15"/>
  <c r="D21" i="15"/>
  <c r="B21" i="15"/>
  <c r="I20" i="15"/>
  <c r="H20" i="15"/>
  <c r="G20" i="15"/>
  <c r="F20" i="15"/>
  <c r="E20" i="15"/>
  <c r="D20" i="15"/>
  <c r="B20" i="15"/>
  <c r="I19" i="15"/>
  <c r="H19" i="15"/>
  <c r="G19" i="15"/>
  <c r="F19" i="15"/>
  <c r="E19" i="15"/>
  <c r="D19" i="15"/>
  <c r="B19" i="15"/>
  <c r="I18" i="15"/>
  <c r="H18" i="15"/>
  <c r="G18" i="15"/>
  <c r="F18" i="15"/>
  <c r="E18" i="15"/>
  <c r="D18" i="15"/>
  <c r="B18" i="15"/>
  <c r="I17" i="15"/>
  <c r="H17" i="15"/>
  <c r="G17" i="15"/>
  <c r="F17" i="15"/>
  <c r="E17" i="15"/>
  <c r="D17" i="15"/>
  <c r="B17" i="15"/>
  <c r="I16" i="15"/>
  <c r="H16" i="15"/>
  <c r="G16" i="15"/>
  <c r="F16" i="15"/>
  <c r="E16" i="15"/>
  <c r="D16" i="15"/>
  <c r="B16" i="15"/>
  <c r="I15" i="15"/>
  <c r="H15" i="15"/>
  <c r="G15" i="15"/>
  <c r="F15" i="15"/>
  <c r="E15" i="15"/>
  <c r="D15" i="15"/>
  <c r="B15" i="15"/>
  <c r="I14" i="15"/>
  <c r="H14" i="15"/>
  <c r="G14" i="15"/>
  <c r="F14" i="15"/>
  <c r="E14" i="15"/>
  <c r="D14" i="15"/>
  <c r="B14" i="15"/>
  <c r="I13" i="15"/>
  <c r="H13" i="15"/>
  <c r="G13" i="15"/>
  <c r="F13" i="15"/>
  <c r="E13" i="15"/>
  <c r="D13" i="15"/>
  <c r="B13" i="15"/>
  <c r="I12" i="15"/>
  <c r="H12" i="15"/>
  <c r="G12" i="15"/>
  <c r="F12" i="15"/>
  <c r="E12" i="15"/>
  <c r="D12" i="15"/>
  <c r="B12" i="15"/>
  <c r="I11" i="15"/>
  <c r="H11" i="15"/>
  <c r="G11" i="15"/>
  <c r="F11" i="15"/>
  <c r="E11" i="15"/>
  <c r="D11" i="15"/>
  <c r="B11" i="15"/>
  <c r="I10" i="15"/>
  <c r="H10" i="15"/>
  <c r="G10" i="15"/>
  <c r="F10" i="15"/>
  <c r="E10" i="15"/>
  <c r="D10" i="15"/>
  <c r="B10" i="15"/>
  <c r="I9" i="15"/>
  <c r="H9" i="15"/>
  <c r="G9" i="15"/>
  <c r="F9" i="15"/>
  <c r="E9" i="15"/>
  <c r="D9" i="15"/>
  <c r="B9" i="15"/>
  <c r="I8" i="15"/>
  <c r="H8" i="15"/>
  <c r="G8" i="15"/>
  <c r="F8" i="15"/>
  <c r="E8" i="15"/>
  <c r="D8" i="15"/>
  <c r="B8" i="15"/>
  <c r="I7" i="15"/>
  <c r="H7" i="15"/>
  <c r="G7" i="15"/>
  <c r="F7" i="15"/>
  <c r="E7" i="15"/>
  <c r="D7" i="15"/>
  <c r="B7" i="15"/>
  <c r="I6" i="15"/>
  <c r="H6" i="15"/>
  <c r="G6" i="15"/>
  <c r="F6" i="15"/>
  <c r="E6" i="15"/>
  <c r="D6" i="15"/>
  <c r="B6" i="15"/>
  <c r="I5" i="15"/>
  <c r="H5" i="15"/>
  <c r="G5" i="15"/>
  <c r="F5" i="15"/>
  <c r="E5" i="15"/>
  <c r="D5" i="15"/>
  <c r="B5" i="15"/>
  <c r="I4" i="15"/>
  <c r="H4" i="15"/>
  <c r="G4" i="15"/>
  <c r="F4" i="15"/>
  <c r="E4" i="15"/>
  <c r="D4" i="15"/>
  <c r="B4" i="15"/>
  <c r="I3" i="15"/>
  <c r="H3" i="15"/>
  <c r="G3" i="15"/>
  <c r="F3" i="15"/>
  <c r="E3" i="15"/>
  <c r="D3" i="15"/>
  <c r="B3" i="15"/>
  <c r="I2" i="15"/>
  <c r="H2" i="15"/>
  <c r="G2" i="15"/>
  <c r="F2" i="15"/>
  <c r="E2" i="15"/>
  <c r="D2" i="15"/>
  <c r="B2" i="15"/>
  <c r="I26" i="14"/>
  <c r="H26" i="14"/>
  <c r="G26" i="14"/>
  <c r="F26" i="14"/>
  <c r="E26" i="14"/>
  <c r="D26" i="14"/>
  <c r="B26" i="14"/>
  <c r="I25" i="14"/>
  <c r="H25" i="14"/>
  <c r="G25" i="14"/>
  <c r="F25" i="14"/>
  <c r="E25" i="14"/>
  <c r="D25" i="14"/>
  <c r="B25" i="14"/>
  <c r="I24" i="14"/>
  <c r="H24" i="14"/>
  <c r="G24" i="14"/>
  <c r="F24" i="14"/>
  <c r="E24" i="14"/>
  <c r="D24" i="14"/>
  <c r="B24" i="14"/>
  <c r="I23" i="14"/>
  <c r="H23" i="14"/>
  <c r="G23" i="14"/>
  <c r="F23" i="14"/>
  <c r="E23" i="14"/>
  <c r="D23" i="14"/>
  <c r="B23" i="14"/>
  <c r="I22" i="14"/>
  <c r="H22" i="14"/>
  <c r="G22" i="14"/>
  <c r="F22" i="14"/>
  <c r="E22" i="14"/>
  <c r="D22" i="14"/>
  <c r="B22" i="14"/>
  <c r="I21" i="14"/>
  <c r="H21" i="14"/>
  <c r="G21" i="14"/>
  <c r="F21" i="14"/>
  <c r="E21" i="14"/>
  <c r="D21" i="14"/>
  <c r="B21" i="14"/>
  <c r="I20" i="14"/>
  <c r="H20" i="14"/>
  <c r="G20" i="14"/>
  <c r="F20" i="14"/>
  <c r="E20" i="14"/>
  <c r="D20" i="14"/>
  <c r="B20" i="14"/>
  <c r="I19" i="14"/>
  <c r="H19" i="14"/>
  <c r="G19" i="14"/>
  <c r="F19" i="14"/>
  <c r="E19" i="14"/>
  <c r="D19" i="14"/>
  <c r="B19" i="14"/>
  <c r="I18" i="14"/>
  <c r="H18" i="14"/>
  <c r="G18" i="14"/>
  <c r="F18" i="14"/>
  <c r="E18" i="14"/>
  <c r="D18" i="14"/>
  <c r="B18" i="14"/>
  <c r="I17" i="14"/>
  <c r="H17" i="14"/>
  <c r="G17" i="14"/>
  <c r="F17" i="14"/>
  <c r="E17" i="14"/>
  <c r="D17" i="14"/>
  <c r="B17" i="14"/>
  <c r="I16" i="14"/>
  <c r="H16" i="14"/>
  <c r="G16" i="14"/>
  <c r="F16" i="14"/>
  <c r="E16" i="14"/>
  <c r="D16" i="14"/>
  <c r="B16" i="14"/>
  <c r="I15" i="14"/>
  <c r="H15" i="14"/>
  <c r="G15" i="14"/>
  <c r="F15" i="14"/>
  <c r="E15" i="14"/>
  <c r="D15" i="14"/>
  <c r="B15" i="14"/>
  <c r="I14" i="14"/>
  <c r="H14" i="14"/>
  <c r="G14" i="14"/>
  <c r="F14" i="14"/>
  <c r="E14" i="14"/>
  <c r="D14" i="14"/>
  <c r="B14" i="14"/>
  <c r="I13" i="14"/>
  <c r="H13" i="14"/>
  <c r="G13" i="14"/>
  <c r="F13" i="14"/>
  <c r="E13" i="14"/>
  <c r="D13" i="14"/>
  <c r="B13" i="14"/>
  <c r="I12" i="14"/>
  <c r="H12" i="14"/>
  <c r="G12" i="14"/>
  <c r="F12" i="14"/>
  <c r="E12" i="14"/>
  <c r="D12" i="14"/>
  <c r="B12" i="14"/>
  <c r="I11" i="14"/>
  <c r="H11" i="14"/>
  <c r="G11" i="14"/>
  <c r="F11" i="14"/>
  <c r="E11" i="14"/>
  <c r="D11" i="14"/>
  <c r="B11" i="14"/>
  <c r="I10" i="14"/>
  <c r="H10" i="14"/>
  <c r="G10" i="14"/>
  <c r="F10" i="14"/>
  <c r="E10" i="14"/>
  <c r="D10" i="14"/>
  <c r="B10" i="14"/>
  <c r="I9" i="14"/>
  <c r="H9" i="14"/>
  <c r="G9" i="14"/>
  <c r="F9" i="14"/>
  <c r="E9" i="14"/>
  <c r="D9" i="14"/>
  <c r="B9" i="14"/>
  <c r="I8" i="14"/>
  <c r="H8" i="14"/>
  <c r="G8" i="14"/>
  <c r="F8" i="14"/>
  <c r="E8" i="14"/>
  <c r="D8" i="14"/>
  <c r="B8" i="14"/>
  <c r="I7" i="14"/>
  <c r="H7" i="14"/>
  <c r="G7" i="14"/>
  <c r="F7" i="14"/>
  <c r="E7" i="14"/>
  <c r="D7" i="14"/>
  <c r="B7" i="14"/>
  <c r="I6" i="14"/>
  <c r="H6" i="14"/>
  <c r="G6" i="14"/>
  <c r="F6" i="14"/>
  <c r="E6" i="14"/>
  <c r="D6" i="14"/>
  <c r="B6" i="14"/>
  <c r="I5" i="14"/>
  <c r="H5" i="14"/>
  <c r="G5" i="14"/>
  <c r="F5" i="14"/>
  <c r="E5" i="14"/>
  <c r="D5" i="14"/>
  <c r="B5" i="14"/>
  <c r="I4" i="14"/>
  <c r="H4" i="14"/>
  <c r="G4" i="14"/>
  <c r="F4" i="14"/>
  <c r="E4" i="14"/>
  <c r="D4" i="14"/>
  <c r="B4" i="14"/>
  <c r="I3" i="14"/>
  <c r="H3" i="14"/>
  <c r="G3" i="14"/>
  <c r="F3" i="14"/>
  <c r="E3" i="14"/>
  <c r="D3" i="14"/>
  <c r="B3" i="14"/>
  <c r="I2" i="14"/>
  <c r="H2" i="14"/>
  <c r="G2" i="14"/>
  <c r="F2" i="14"/>
  <c r="E2" i="14"/>
  <c r="D2" i="14"/>
  <c r="B2" i="14"/>
  <c r="I26" i="13"/>
  <c r="H26" i="13"/>
  <c r="G26" i="13"/>
  <c r="F26" i="13"/>
  <c r="E26" i="13"/>
  <c r="D26" i="13"/>
  <c r="B26" i="13"/>
  <c r="I25" i="13"/>
  <c r="H25" i="13"/>
  <c r="G25" i="13"/>
  <c r="F25" i="13"/>
  <c r="E25" i="13"/>
  <c r="D25" i="13"/>
  <c r="B25" i="13"/>
  <c r="I24" i="13"/>
  <c r="H24" i="13"/>
  <c r="G24" i="13"/>
  <c r="F24" i="13"/>
  <c r="E24" i="13"/>
  <c r="D24" i="13"/>
  <c r="B24" i="13"/>
  <c r="I23" i="13"/>
  <c r="H23" i="13"/>
  <c r="G23" i="13"/>
  <c r="F23" i="13"/>
  <c r="E23" i="13"/>
  <c r="D23" i="13"/>
  <c r="B23" i="13"/>
  <c r="I22" i="13"/>
  <c r="H22" i="13"/>
  <c r="G22" i="13"/>
  <c r="F22" i="13"/>
  <c r="E22" i="13"/>
  <c r="D22" i="13"/>
  <c r="B22" i="13"/>
  <c r="I21" i="13"/>
  <c r="H21" i="13"/>
  <c r="G21" i="13"/>
  <c r="F21" i="13"/>
  <c r="E21" i="13"/>
  <c r="D21" i="13"/>
  <c r="B21" i="13"/>
  <c r="I20" i="13"/>
  <c r="H20" i="13"/>
  <c r="G20" i="13"/>
  <c r="F20" i="13"/>
  <c r="E20" i="13"/>
  <c r="D20" i="13"/>
  <c r="B20" i="13"/>
  <c r="I19" i="13"/>
  <c r="H19" i="13"/>
  <c r="G19" i="13"/>
  <c r="F19" i="13"/>
  <c r="E19" i="13"/>
  <c r="D19" i="13"/>
  <c r="B19" i="13"/>
  <c r="I18" i="13"/>
  <c r="H18" i="13"/>
  <c r="G18" i="13"/>
  <c r="F18" i="13"/>
  <c r="E18" i="13"/>
  <c r="D18" i="13"/>
  <c r="B18" i="13"/>
  <c r="I17" i="13"/>
  <c r="H17" i="13"/>
  <c r="G17" i="13"/>
  <c r="F17" i="13"/>
  <c r="E17" i="13"/>
  <c r="D17" i="13"/>
  <c r="B17" i="13"/>
  <c r="I16" i="13"/>
  <c r="H16" i="13"/>
  <c r="G16" i="13"/>
  <c r="F16" i="13"/>
  <c r="E16" i="13"/>
  <c r="D16" i="13"/>
  <c r="B16" i="13"/>
  <c r="I15" i="13"/>
  <c r="H15" i="13"/>
  <c r="G15" i="13"/>
  <c r="F15" i="13"/>
  <c r="E15" i="13"/>
  <c r="D15" i="13"/>
  <c r="B15" i="13"/>
  <c r="I14" i="13"/>
  <c r="H14" i="13"/>
  <c r="G14" i="13"/>
  <c r="F14" i="13"/>
  <c r="E14" i="13"/>
  <c r="D14" i="13"/>
  <c r="B14" i="13"/>
  <c r="I13" i="13"/>
  <c r="H13" i="13"/>
  <c r="G13" i="13"/>
  <c r="F13" i="13"/>
  <c r="E13" i="13"/>
  <c r="D13" i="13"/>
  <c r="B13" i="13"/>
  <c r="I12" i="13"/>
  <c r="H12" i="13"/>
  <c r="G12" i="13"/>
  <c r="F12" i="13"/>
  <c r="E12" i="13"/>
  <c r="D12" i="13"/>
  <c r="B12" i="13"/>
  <c r="I11" i="13"/>
  <c r="H11" i="13"/>
  <c r="G11" i="13"/>
  <c r="F11" i="13"/>
  <c r="E11" i="13"/>
  <c r="D11" i="13"/>
  <c r="B11" i="13"/>
  <c r="I10" i="13"/>
  <c r="H10" i="13"/>
  <c r="G10" i="13"/>
  <c r="F10" i="13"/>
  <c r="E10" i="13"/>
  <c r="D10" i="13"/>
  <c r="B10" i="13"/>
  <c r="I9" i="13"/>
  <c r="H9" i="13"/>
  <c r="G9" i="13"/>
  <c r="F9" i="13"/>
  <c r="E9" i="13"/>
  <c r="D9" i="13"/>
  <c r="B9" i="13"/>
  <c r="I8" i="13"/>
  <c r="H8" i="13"/>
  <c r="G8" i="13"/>
  <c r="F8" i="13"/>
  <c r="E8" i="13"/>
  <c r="D8" i="13"/>
  <c r="B8" i="13"/>
  <c r="I7" i="13"/>
  <c r="H7" i="13"/>
  <c r="G7" i="13"/>
  <c r="F7" i="13"/>
  <c r="E7" i="13"/>
  <c r="D7" i="13"/>
  <c r="B7" i="13"/>
  <c r="I6" i="13"/>
  <c r="H6" i="13"/>
  <c r="G6" i="13"/>
  <c r="F6" i="13"/>
  <c r="E6" i="13"/>
  <c r="D6" i="13"/>
  <c r="B6" i="13"/>
  <c r="I5" i="13"/>
  <c r="H5" i="13"/>
  <c r="G5" i="13"/>
  <c r="F5" i="13"/>
  <c r="E5" i="13"/>
  <c r="D5" i="13"/>
  <c r="B5" i="13"/>
  <c r="I4" i="13"/>
  <c r="H4" i="13"/>
  <c r="G4" i="13"/>
  <c r="F4" i="13"/>
  <c r="E4" i="13"/>
  <c r="D4" i="13"/>
  <c r="B4" i="13"/>
  <c r="I3" i="13"/>
  <c r="H3" i="13"/>
  <c r="G3" i="13"/>
  <c r="F3" i="13"/>
  <c r="E3" i="13"/>
  <c r="D3" i="13"/>
  <c r="B3" i="13"/>
  <c r="I2" i="13"/>
  <c r="H2" i="13"/>
  <c r="G2" i="13"/>
  <c r="F2" i="13"/>
  <c r="E2" i="13"/>
  <c r="D2" i="13"/>
  <c r="B2" i="13"/>
  <c r="I26" i="12"/>
  <c r="H26" i="12"/>
  <c r="G26" i="12"/>
  <c r="F26" i="12"/>
  <c r="E26" i="12"/>
  <c r="D26" i="12"/>
  <c r="B26" i="12"/>
  <c r="I25" i="12"/>
  <c r="H25" i="12"/>
  <c r="G25" i="12"/>
  <c r="F25" i="12"/>
  <c r="E25" i="12"/>
  <c r="D25" i="12"/>
  <c r="B25" i="12"/>
  <c r="I24" i="12"/>
  <c r="H24" i="12"/>
  <c r="G24" i="12"/>
  <c r="F24" i="12"/>
  <c r="E24" i="12"/>
  <c r="D24" i="12"/>
  <c r="B24" i="12"/>
  <c r="I23" i="12"/>
  <c r="H23" i="12"/>
  <c r="G23" i="12"/>
  <c r="F23" i="12"/>
  <c r="E23" i="12"/>
  <c r="D23" i="12"/>
  <c r="B23" i="12"/>
  <c r="I22" i="12"/>
  <c r="H22" i="12"/>
  <c r="G22" i="12"/>
  <c r="F22" i="12"/>
  <c r="E22" i="12"/>
  <c r="D22" i="12"/>
  <c r="B22" i="12"/>
  <c r="I21" i="12"/>
  <c r="H21" i="12"/>
  <c r="G21" i="12"/>
  <c r="F21" i="12"/>
  <c r="E21" i="12"/>
  <c r="D21" i="12"/>
  <c r="B21" i="12"/>
  <c r="I20" i="12"/>
  <c r="H20" i="12"/>
  <c r="G20" i="12"/>
  <c r="F20" i="12"/>
  <c r="E20" i="12"/>
  <c r="D20" i="12"/>
  <c r="B20" i="12"/>
  <c r="I19" i="12"/>
  <c r="H19" i="12"/>
  <c r="G19" i="12"/>
  <c r="F19" i="12"/>
  <c r="E19" i="12"/>
  <c r="D19" i="12"/>
  <c r="B19" i="12"/>
  <c r="I18" i="12"/>
  <c r="H18" i="12"/>
  <c r="G18" i="12"/>
  <c r="F18" i="12"/>
  <c r="E18" i="12"/>
  <c r="D18" i="12"/>
  <c r="B18" i="12"/>
  <c r="I17" i="12"/>
  <c r="H17" i="12"/>
  <c r="G17" i="12"/>
  <c r="F17" i="12"/>
  <c r="E17" i="12"/>
  <c r="D17" i="12"/>
  <c r="B17" i="12"/>
  <c r="I16" i="12"/>
  <c r="H16" i="12"/>
  <c r="G16" i="12"/>
  <c r="F16" i="12"/>
  <c r="E16" i="12"/>
  <c r="D16" i="12"/>
  <c r="B16" i="12"/>
  <c r="I15" i="12"/>
  <c r="H15" i="12"/>
  <c r="G15" i="12"/>
  <c r="F15" i="12"/>
  <c r="E15" i="12"/>
  <c r="D15" i="12"/>
  <c r="B15" i="12"/>
  <c r="I14" i="12"/>
  <c r="H14" i="12"/>
  <c r="G14" i="12"/>
  <c r="F14" i="12"/>
  <c r="E14" i="12"/>
  <c r="D14" i="12"/>
  <c r="B14" i="12"/>
  <c r="I13" i="12"/>
  <c r="H13" i="12"/>
  <c r="G13" i="12"/>
  <c r="F13" i="12"/>
  <c r="E13" i="12"/>
  <c r="D13" i="12"/>
  <c r="B13" i="12"/>
  <c r="I12" i="12"/>
  <c r="H12" i="12"/>
  <c r="G12" i="12"/>
  <c r="F12" i="12"/>
  <c r="E12" i="12"/>
  <c r="D12" i="12"/>
  <c r="B12" i="12"/>
  <c r="I11" i="12"/>
  <c r="H11" i="12"/>
  <c r="G11" i="12"/>
  <c r="F11" i="12"/>
  <c r="E11" i="12"/>
  <c r="D11" i="12"/>
  <c r="B11" i="12"/>
  <c r="I10" i="12"/>
  <c r="H10" i="12"/>
  <c r="G10" i="12"/>
  <c r="F10" i="12"/>
  <c r="E10" i="12"/>
  <c r="D10" i="12"/>
  <c r="B10" i="12"/>
  <c r="I9" i="12"/>
  <c r="H9" i="12"/>
  <c r="G9" i="12"/>
  <c r="F9" i="12"/>
  <c r="E9" i="12"/>
  <c r="D9" i="12"/>
  <c r="B9" i="12"/>
  <c r="I8" i="12"/>
  <c r="H8" i="12"/>
  <c r="G8" i="12"/>
  <c r="F8" i="12"/>
  <c r="E8" i="12"/>
  <c r="D8" i="12"/>
  <c r="B8" i="12"/>
  <c r="I7" i="12"/>
  <c r="H7" i="12"/>
  <c r="G7" i="12"/>
  <c r="F7" i="12"/>
  <c r="E7" i="12"/>
  <c r="D7" i="12"/>
  <c r="B7" i="12"/>
  <c r="I6" i="12"/>
  <c r="H6" i="12"/>
  <c r="G6" i="12"/>
  <c r="F6" i="12"/>
  <c r="E6" i="12"/>
  <c r="D6" i="12"/>
  <c r="B6" i="12"/>
  <c r="I5" i="12"/>
  <c r="H5" i="12"/>
  <c r="G5" i="12"/>
  <c r="F5" i="12"/>
  <c r="E5" i="12"/>
  <c r="D5" i="12"/>
  <c r="B5" i="12"/>
  <c r="I4" i="12"/>
  <c r="H4" i="12"/>
  <c r="G4" i="12"/>
  <c r="F4" i="12"/>
  <c r="E4" i="12"/>
  <c r="D4" i="12"/>
  <c r="B4" i="12"/>
  <c r="I3" i="12"/>
  <c r="H3" i="12"/>
  <c r="G3" i="12"/>
  <c r="F3" i="12"/>
  <c r="E3" i="12"/>
  <c r="D3" i="12"/>
  <c r="B3" i="12"/>
  <c r="I2" i="12"/>
  <c r="H2" i="12"/>
  <c r="G2" i="12"/>
  <c r="F2" i="12"/>
  <c r="E2" i="12"/>
  <c r="D2" i="12"/>
  <c r="B2" i="12"/>
  <c r="I26" i="11"/>
  <c r="H26" i="11"/>
  <c r="G26" i="11"/>
  <c r="F26" i="11"/>
  <c r="E26" i="11"/>
  <c r="D26" i="11"/>
  <c r="B26" i="11"/>
  <c r="I25" i="11"/>
  <c r="H25" i="11"/>
  <c r="G25" i="11"/>
  <c r="F25" i="11"/>
  <c r="E25" i="11"/>
  <c r="D25" i="11"/>
  <c r="B25" i="11"/>
  <c r="I24" i="11"/>
  <c r="H24" i="11"/>
  <c r="G24" i="11"/>
  <c r="F24" i="11"/>
  <c r="E24" i="11"/>
  <c r="D24" i="11"/>
  <c r="B24" i="11"/>
  <c r="I23" i="11"/>
  <c r="H23" i="11"/>
  <c r="G23" i="11"/>
  <c r="F23" i="11"/>
  <c r="E23" i="11"/>
  <c r="D23" i="11"/>
  <c r="B23" i="11"/>
  <c r="I22" i="11"/>
  <c r="H22" i="11"/>
  <c r="G22" i="11"/>
  <c r="F22" i="11"/>
  <c r="E22" i="11"/>
  <c r="D22" i="11"/>
  <c r="B22" i="11"/>
  <c r="I21" i="11"/>
  <c r="H21" i="11"/>
  <c r="G21" i="11"/>
  <c r="F21" i="11"/>
  <c r="E21" i="11"/>
  <c r="D21" i="11"/>
  <c r="B21" i="11"/>
  <c r="I20" i="11"/>
  <c r="H20" i="11"/>
  <c r="G20" i="11"/>
  <c r="F20" i="11"/>
  <c r="E20" i="11"/>
  <c r="D20" i="11"/>
  <c r="B20" i="11"/>
  <c r="I19" i="11"/>
  <c r="H19" i="11"/>
  <c r="G19" i="11"/>
  <c r="F19" i="11"/>
  <c r="E19" i="11"/>
  <c r="D19" i="11"/>
  <c r="B19" i="11"/>
  <c r="I18" i="11"/>
  <c r="H18" i="11"/>
  <c r="G18" i="11"/>
  <c r="F18" i="11"/>
  <c r="E18" i="11"/>
  <c r="D18" i="11"/>
  <c r="B18" i="11"/>
  <c r="I17" i="11"/>
  <c r="H17" i="11"/>
  <c r="G17" i="11"/>
  <c r="F17" i="11"/>
  <c r="E17" i="11"/>
  <c r="D17" i="11"/>
  <c r="B17" i="11"/>
  <c r="I16" i="11"/>
  <c r="H16" i="11"/>
  <c r="G16" i="11"/>
  <c r="F16" i="11"/>
  <c r="E16" i="11"/>
  <c r="D16" i="11"/>
  <c r="B16" i="11"/>
  <c r="I15" i="11"/>
  <c r="H15" i="11"/>
  <c r="G15" i="11"/>
  <c r="F15" i="11"/>
  <c r="E15" i="11"/>
  <c r="D15" i="11"/>
  <c r="B15" i="11"/>
  <c r="I14" i="11"/>
  <c r="H14" i="11"/>
  <c r="G14" i="11"/>
  <c r="F14" i="11"/>
  <c r="E14" i="11"/>
  <c r="D14" i="11"/>
  <c r="B14" i="11"/>
  <c r="I13" i="11"/>
  <c r="H13" i="11"/>
  <c r="G13" i="11"/>
  <c r="F13" i="11"/>
  <c r="E13" i="11"/>
  <c r="D13" i="11"/>
  <c r="B13" i="11"/>
  <c r="I12" i="11"/>
  <c r="H12" i="11"/>
  <c r="G12" i="11"/>
  <c r="F12" i="11"/>
  <c r="E12" i="11"/>
  <c r="D12" i="11"/>
  <c r="B12" i="11"/>
  <c r="I11" i="11"/>
  <c r="H11" i="11"/>
  <c r="G11" i="11"/>
  <c r="F11" i="11"/>
  <c r="E11" i="11"/>
  <c r="D11" i="11"/>
  <c r="B11" i="11"/>
  <c r="I10" i="11"/>
  <c r="H10" i="11"/>
  <c r="G10" i="11"/>
  <c r="F10" i="11"/>
  <c r="E10" i="11"/>
  <c r="D10" i="11"/>
  <c r="B10" i="11"/>
  <c r="I9" i="11"/>
  <c r="H9" i="11"/>
  <c r="G9" i="11"/>
  <c r="F9" i="11"/>
  <c r="E9" i="11"/>
  <c r="D9" i="11"/>
  <c r="B9" i="11"/>
  <c r="I8" i="11"/>
  <c r="H8" i="11"/>
  <c r="G8" i="11"/>
  <c r="F8" i="11"/>
  <c r="E8" i="11"/>
  <c r="D8" i="11"/>
  <c r="B8" i="11"/>
  <c r="I7" i="11"/>
  <c r="H7" i="11"/>
  <c r="G7" i="11"/>
  <c r="F7" i="11"/>
  <c r="E7" i="11"/>
  <c r="D7" i="11"/>
  <c r="B7" i="11"/>
  <c r="I6" i="11"/>
  <c r="H6" i="11"/>
  <c r="G6" i="11"/>
  <c r="F6" i="11"/>
  <c r="E6" i="11"/>
  <c r="D6" i="11"/>
  <c r="B6" i="11"/>
  <c r="I5" i="11"/>
  <c r="H5" i="11"/>
  <c r="G5" i="11"/>
  <c r="F5" i="11"/>
  <c r="E5" i="11"/>
  <c r="D5" i="11"/>
  <c r="B5" i="11"/>
  <c r="I4" i="11"/>
  <c r="H4" i="11"/>
  <c r="G4" i="11"/>
  <c r="F4" i="11"/>
  <c r="E4" i="11"/>
  <c r="D4" i="11"/>
  <c r="B4" i="11"/>
  <c r="I3" i="11"/>
  <c r="H3" i="11"/>
  <c r="G3" i="11"/>
  <c r="F3" i="11"/>
  <c r="E3" i="11"/>
  <c r="D3" i="11"/>
  <c r="B3" i="11"/>
  <c r="I2" i="11"/>
  <c r="H2" i="11"/>
  <c r="G2" i="11"/>
  <c r="F2" i="11"/>
  <c r="E2" i="11"/>
  <c r="D2" i="11"/>
  <c r="B2" i="11"/>
  <c r="I26" i="10"/>
  <c r="H26" i="10"/>
  <c r="G26" i="10"/>
  <c r="F26" i="10"/>
  <c r="E26" i="10"/>
  <c r="D26" i="10"/>
  <c r="B26" i="10"/>
  <c r="I25" i="10"/>
  <c r="H25" i="10"/>
  <c r="G25" i="10"/>
  <c r="F25" i="10"/>
  <c r="E25" i="10"/>
  <c r="D25" i="10"/>
  <c r="B25" i="10"/>
  <c r="I24" i="10"/>
  <c r="H24" i="10"/>
  <c r="G24" i="10"/>
  <c r="F24" i="10"/>
  <c r="E24" i="10"/>
  <c r="D24" i="10"/>
  <c r="B24" i="10"/>
  <c r="I23" i="10"/>
  <c r="H23" i="10"/>
  <c r="G23" i="10"/>
  <c r="F23" i="10"/>
  <c r="E23" i="10"/>
  <c r="D23" i="10"/>
  <c r="B23" i="10"/>
  <c r="I22" i="10"/>
  <c r="H22" i="10"/>
  <c r="G22" i="10"/>
  <c r="F22" i="10"/>
  <c r="E22" i="10"/>
  <c r="D22" i="10"/>
  <c r="B22" i="10"/>
  <c r="I21" i="10"/>
  <c r="H21" i="10"/>
  <c r="G21" i="10"/>
  <c r="F21" i="10"/>
  <c r="E21" i="10"/>
  <c r="D21" i="10"/>
  <c r="B21" i="10"/>
  <c r="I20" i="10"/>
  <c r="H20" i="10"/>
  <c r="G20" i="10"/>
  <c r="F20" i="10"/>
  <c r="E20" i="10"/>
  <c r="D20" i="10"/>
  <c r="B20" i="10"/>
  <c r="I19" i="10"/>
  <c r="H19" i="10"/>
  <c r="G19" i="10"/>
  <c r="F19" i="10"/>
  <c r="E19" i="10"/>
  <c r="D19" i="10"/>
  <c r="B19" i="10"/>
  <c r="I18" i="10"/>
  <c r="H18" i="10"/>
  <c r="G18" i="10"/>
  <c r="F18" i="10"/>
  <c r="E18" i="10"/>
  <c r="D18" i="10"/>
  <c r="B18" i="10"/>
  <c r="I17" i="10"/>
  <c r="H17" i="10"/>
  <c r="G17" i="10"/>
  <c r="F17" i="10"/>
  <c r="E17" i="10"/>
  <c r="D17" i="10"/>
  <c r="B17" i="10"/>
  <c r="I16" i="10"/>
  <c r="H16" i="10"/>
  <c r="G16" i="10"/>
  <c r="F16" i="10"/>
  <c r="E16" i="10"/>
  <c r="D16" i="10"/>
  <c r="B16" i="10"/>
  <c r="I15" i="10"/>
  <c r="H15" i="10"/>
  <c r="G15" i="10"/>
  <c r="F15" i="10"/>
  <c r="E15" i="10"/>
  <c r="D15" i="10"/>
  <c r="B15" i="10"/>
  <c r="I14" i="10"/>
  <c r="H14" i="10"/>
  <c r="G14" i="10"/>
  <c r="F14" i="10"/>
  <c r="E14" i="10"/>
  <c r="D14" i="10"/>
  <c r="B14" i="10"/>
  <c r="I13" i="10"/>
  <c r="H13" i="10"/>
  <c r="G13" i="10"/>
  <c r="F13" i="10"/>
  <c r="E13" i="10"/>
  <c r="D13" i="10"/>
  <c r="B13" i="10"/>
  <c r="I12" i="10"/>
  <c r="H12" i="10"/>
  <c r="G12" i="10"/>
  <c r="F12" i="10"/>
  <c r="E12" i="10"/>
  <c r="D12" i="10"/>
  <c r="B12" i="10"/>
  <c r="I11" i="10"/>
  <c r="H11" i="10"/>
  <c r="G11" i="10"/>
  <c r="F11" i="10"/>
  <c r="E11" i="10"/>
  <c r="D11" i="10"/>
  <c r="B11" i="10"/>
  <c r="I10" i="10"/>
  <c r="H10" i="10"/>
  <c r="G10" i="10"/>
  <c r="F10" i="10"/>
  <c r="E10" i="10"/>
  <c r="D10" i="10"/>
  <c r="B10" i="10"/>
  <c r="I9" i="10"/>
  <c r="H9" i="10"/>
  <c r="G9" i="10"/>
  <c r="F9" i="10"/>
  <c r="E9" i="10"/>
  <c r="D9" i="10"/>
  <c r="B9" i="10"/>
  <c r="I8" i="10"/>
  <c r="H8" i="10"/>
  <c r="G8" i="10"/>
  <c r="F8" i="10"/>
  <c r="E8" i="10"/>
  <c r="D8" i="10"/>
  <c r="B8" i="10"/>
  <c r="I7" i="10"/>
  <c r="H7" i="10"/>
  <c r="G7" i="10"/>
  <c r="F7" i="10"/>
  <c r="E7" i="10"/>
  <c r="D7" i="10"/>
  <c r="B7" i="10"/>
  <c r="I6" i="10"/>
  <c r="H6" i="10"/>
  <c r="G6" i="10"/>
  <c r="F6" i="10"/>
  <c r="E6" i="10"/>
  <c r="D6" i="10"/>
  <c r="B6" i="10"/>
  <c r="I5" i="10"/>
  <c r="H5" i="10"/>
  <c r="G5" i="10"/>
  <c r="F5" i="10"/>
  <c r="E5" i="10"/>
  <c r="D5" i="10"/>
  <c r="B5" i="10"/>
  <c r="I4" i="10"/>
  <c r="H4" i="10"/>
  <c r="G4" i="10"/>
  <c r="F4" i="10"/>
  <c r="E4" i="10"/>
  <c r="D4" i="10"/>
  <c r="B4" i="10"/>
  <c r="I3" i="10"/>
  <c r="H3" i="10"/>
  <c r="G3" i="10"/>
  <c r="F3" i="10"/>
  <c r="E3" i="10"/>
  <c r="D3" i="10"/>
  <c r="B3" i="10"/>
  <c r="I2" i="10"/>
  <c r="H2" i="10"/>
  <c r="G2" i="10"/>
  <c r="F2" i="10"/>
  <c r="E2" i="10"/>
  <c r="D2" i="10"/>
  <c r="B2" i="10"/>
  <c r="I26" i="9"/>
  <c r="H26" i="9"/>
  <c r="G26" i="9"/>
  <c r="F26" i="9"/>
  <c r="E26" i="9"/>
  <c r="D26" i="9"/>
  <c r="B26" i="9"/>
  <c r="I25" i="9"/>
  <c r="H25" i="9"/>
  <c r="G25" i="9"/>
  <c r="F25" i="9"/>
  <c r="E25" i="9"/>
  <c r="D25" i="9"/>
  <c r="B25" i="9"/>
  <c r="I24" i="9"/>
  <c r="H24" i="9"/>
  <c r="G24" i="9"/>
  <c r="F24" i="9"/>
  <c r="E24" i="9"/>
  <c r="D24" i="9"/>
  <c r="B24" i="9"/>
  <c r="I23" i="9"/>
  <c r="H23" i="9"/>
  <c r="G23" i="9"/>
  <c r="F23" i="9"/>
  <c r="E23" i="9"/>
  <c r="D23" i="9"/>
  <c r="B23" i="9"/>
  <c r="I22" i="9"/>
  <c r="H22" i="9"/>
  <c r="G22" i="9"/>
  <c r="F22" i="9"/>
  <c r="E22" i="9"/>
  <c r="D22" i="9"/>
  <c r="B22" i="9"/>
  <c r="I21" i="9"/>
  <c r="H21" i="9"/>
  <c r="G21" i="9"/>
  <c r="F21" i="9"/>
  <c r="E21" i="9"/>
  <c r="D21" i="9"/>
  <c r="B21" i="9"/>
  <c r="I20" i="9"/>
  <c r="H20" i="9"/>
  <c r="G20" i="9"/>
  <c r="F20" i="9"/>
  <c r="E20" i="9"/>
  <c r="D20" i="9"/>
  <c r="B20" i="9"/>
  <c r="I19" i="9"/>
  <c r="H19" i="9"/>
  <c r="G19" i="9"/>
  <c r="F19" i="9"/>
  <c r="E19" i="9"/>
  <c r="D19" i="9"/>
  <c r="B19" i="9"/>
  <c r="I18" i="9"/>
  <c r="H18" i="9"/>
  <c r="G18" i="9"/>
  <c r="F18" i="9"/>
  <c r="E18" i="9"/>
  <c r="D18" i="9"/>
  <c r="B18" i="9"/>
  <c r="I17" i="9"/>
  <c r="H17" i="9"/>
  <c r="G17" i="9"/>
  <c r="F17" i="9"/>
  <c r="E17" i="9"/>
  <c r="D17" i="9"/>
  <c r="B17" i="9"/>
  <c r="I16" i="9"/>
  <c r="H16" i="9"/>
  <c r="G16" i="9"/>
  <c r="F16" i="9"/>
  <c r="E16" i="9"/>
  <c r="D16" i="9"/>
  <c r="B16" i="9"/>
  <c r="I15" i="9"/>
  <c r="H15" i="9"/>
  <c r="G15" i="9"/>
  <c r="F15" i="9"/>
  <c r="E15" i="9"/>
  <c r="D15" i="9"/>
  <c r="B15" i="9"/>
  <c r="I14" i="9"/>
  <c r="H14" i="9"/>
  <c r="G14" i="9"/>
  <c r="F14" i="9"/>
  <c r="E14" i="9"/>
  <c r="D14" i="9"/>
  <c r="B14" i="9"/>
  <c r="I13" i="9"/>
  <c r="H13" i="9"/>
  <c r="G13" i="9"/>
  <c r="F13" i="9"/>
  <c r="E13" i="9"/>
  <c r="D13" i="9"/>
  <c r="B13" i="9"/>
  <c r="I12" i="9"/>
  <c r="H12" i="9"/>
  <c r="G12" i="9"/>
  <c r="F12" i="9"/>
  <c r="E12" i="9"/>
  <c r="D12" i="9"/>
  <c r="B12" i="9"/>
  <c r="I11" i="9"/>
  <c r="H11" i="9"/>
  <c r="G11" i="9"/>
  <c r="F11" i="9"/>
  <c r="E11" i="9"/>
  <c r="D11" i="9"/>
  <c r="B11" i="9"/>
  <c r="I10" i="9"/>
  <c r="H10" i="9"/>
  <c r="G10" i="9"/>
  <c r="F10" i="9"/>
  <c r="E10" i="9"/>
  <c r="D10" i="9"/>
  <c r="B10" i="9"/>
  <c r="I9" i="9"/>
  <c r="H9" i="9"/>
  <c r="G9" i="9"/>
  <c r="F9" i="9"/>
  <c r="E9" i="9"/>
  <c r="D9" i="9"/>
  <c r="B9" i="9"/>
  <c r="I8" i="9"/>
  <c r="H8" i="9"/>
  <c r="G8" i="9"/>
  <c r="F8" i="9"/>
  <c r="E8" i="9"/>
  <c r="D8" i="9"/>
  <c r="B8" i="9"/>
  <c r="I7" i="9"/>
  <c r="H7" i="9"/>
  <c r="G7" i="9"/>
  <c r="F7" i="9"/>
  <c r="E7" i="9"/>
  <c r="D7" i="9"/>
  <c r="B7" i="9"/>
  <c r="I6" i="9"/>
  <c r="H6" i="9"/>
  <c r="G6" i="9"/>
  <c r="F6" i="9"/>
  <c r="E6" i="9"/>
  <c r="D6" i="9"/>
  <c r="B6" i="9"/>
  <c r="I5" i="9"/>
  <c r="H5" i="9"/>
  <c r="G5" i="9"/>
  <c r="F5" i="9"/>
  <c r="E5" i="9"/>
  <c r="D5" i="9"/>
  <c r="B5" i="9"/>
  <c r="I4" i="9"/>
  <c r="H4" i="9"/>
  <c r="G4" i="9"/>
  <c r="F4" i="9"/>
  <c r="E4" i="9"/>
  <c r="D4" i="9"/>
  <c r="B4" i="9"/>
  <c r="I3" i="9"/>
  <c r="H3" i="9"/>
  <c r="G3" i="9"/>
  <c r="F3" i="9"/>
  <c r="E3" i="9"/>
  <c r="D3" i="9"/>
  <c r="B3" i="9"/>
  <c r="I2" i="9"/>
  <c r="H2" i="9"/>
  <c r="G2" i="9"/>
  <c r="F2" i="9"/>
  <c r="E2" i="9"/>
  <c r="D2" i="9"/>
  <c r="B2" i="9"/>
  <c r="I26" i="8"/>
  <c r="H26" i="8"/>
  <c r="G26" i="8"/>
  <c r="F26" i="8"/>
  <c r="E26" i="8"/>
  <c r="D26" i="8"/>
  <c r="B26" i="8"/>
  <c r="I25" i="8"/>
  <c r="H25" i="8"/>
  <c r="G25" i="8"/>
  <c r="F25" i="8"/>
  <c r="E25" i="8"/>
  <c r="D25" i="8"/>
  <c r="B25" i="8"/>
  <c r="I24" i="8"/>
  <c r="H24" i="8"/>
  <c r="G24" i="8"/>
  <c r="F24" i="8"/>
  <c r="E24" i="8"/>
  <c r="D24" i="8"/>
  <c r="B24" i="8"/>
  <c r="I23" i="8"/>
  <c r="H23" i="8"/>
  <c r="G23" i="8"/>
  <c r="F23" i="8"/>
  <c r="E23" i="8"/>
  <c r="D23" i="8"/>
  <c r="B23" i="8"/>
  <c r="I22" i="8"/>
  <c r="H22" i="8"/>
  <c r="G22" i="8"/>
  <c r="F22" i="8"/>
  <c r="E22" i="8"/>
  <c r="D22" i="8"/>
  <c r="B22" i="8"/>
  <c r="I21" i="8"/>
  <c r="H21" i="8"/>
  <c r="G21" i="8"/>
  <c r="F21" i="8"/>
  <c r="E21" i="8"/>
  <c r="D21" i="8"/>
  <c r="B21" i="8"/>
  <c r="I20" i="8"/>
  <c r="H20" i="8"/>
  <c r="G20" i="8"/>
  <c r="F20" i="8"/>
  <c r="E20" i="8"/>
  <c r="D20" i="8"/>
  <c r="B20" i="8"/>
  <c r="I19" i="8"/>
  <c r="H19" i="8"/>
  <c r="G19" i="8"/>
  <c r="F19" i="8"/>
  <c r="E19" i="8"/>
  <c r="D19" i="8"/>
  <c r="B19" i="8"/>
  <c r="I18" i="8"/>
  <c r="H18" i="8"/>
  <c r="G18" i="8"/>
  <c r="F18" i="8"/>
  <c r="E18" i="8"/>
  <c r="D18" i="8"/>
  <c r="B18" i="8"/>
  <c r="I17" i="8"/>
  <c r="H17" i="8"/>
  <c r="G17" i="8"/>
  <c r="F17" i="8"/>
  <c r="E17" i="8"/>
  <c r="D17" i="8"/>
  <c r="B17" i="8"/>
  <c r="I16" i="8"/>
  <c r="H16" i="8"/>
  <c r="G16" i="8"/>
  <c r="F16" i="8"/>
  <c r="E16" i="8"/>
  <c r="D16" i="8"/>
  <c r="B16" i="8"/>
  <c r="I15" i="8"/>
  <c r="H15" i="8"/>
  <c r="G15" i="8"/>
  <c r="F15" i="8"/>
  <c r="E15" i="8"/>
  <c r="D15" i="8"/>
  <c r="B15" i="8"/>
  <c r="I14" i="8"/>
  <c r="H14" i="8"/>
  <c r="G14" i="8"/>
  <c r="F14" i="8"/>
  <c r="E14" i="8"/>
  <c r="D14" i="8"/>
  <c r="B14" i="8"/>
  <c r="I13" i="8"/>
  <c r="H13" i="8"/>
  <c r="G13" i="8"/>
  <c r="F13" i="8"/>
  <c r="E13" i="8"/>
  <c r="D13" i="8"/>
  <c r="B13" i="8"/>
  <c r="I12" i="8"/>
  <c r="H12" i="8"/>
  <c r="G12" i="8"/>
  <c r="F12" i="8"/>
  <c r="E12" i="8"/>
  <c r="D12" i="8"/>
  <c r="B12" i="8"/>
  <c r="I11" i="8"/>
  <c r="H11" i="8"/>
  <c r="G11" i="8"/>
  <c r="F11" i="8"/>
  <c r="E11" i="8"/>
  <c r="D11" i="8"/>
  <c r="B11" i="8"/>
  <c r="I10" i="8"/>
  <c r="H10" i="8"/>
  <c r="G10" i="8"/>
  <c r="F10" i="8"/>
  <c r="E10" i="8"/>
  <c r="D10" i="8"/>
  <c r="B10" i="8"/>
  <c r="I9" i="8"/>
  <c r="H9" i="8"/>
  <c r="G9" i="8"/>
  <c r="F9" i="8"/>
  <c r="E9" i="8"/>
  <c r="D9" i="8"/>
  <c r="B9" i="8"/>
  <c r="I8" i="8"/>
  <c r="H8" i="8"/>
  <c r="G8" i="8"/>
  <c r="F8" i="8"/>
  <c r="E8" i="8"/>
  <c r="D8" i="8"/>
  <c r="B8" i="8"/>
  <c r="I7" i="8"/>
  <c r="H7" i="8"/>
  <c r="G7" i="8"/>
  <c r="F7" i="8"/>
  <c r="E7" i="8"/>
  <c r="D7" i="8"/>
  <c r="B7" i="8"/>
  <c r="I6" i="8"/>
  <c r="H6" i="8"/>
  <c r="G6" i="8"/>
  <c r="F6" i="8"/>
  <c r="E6" i="8"/>
  <c r="D6" i="8"/>
  <c r="B6" i="8"/>
  <c r="I5" i="8"/>
  <c r="H5" i="8"/>
  <c r="G5" i="8"/>
  <c r="F5" i="8"/>
  <c r="E5" i="8"/>
  <c r="D5" i="8"/>
  <c r="B5" i="8"/>
  <c r="I4" i="8"/>
  <c r="H4" i="8"/>
  <c r="G4" i="8"/>
  <c r="F4" i="8"/>
  <c r="E4" i="8"/>
  <c r="D4" i="8"/>
  <c r="B4" i="8"/>
  <c r="I3" i="8"/>
  <c r="H3" i="8"/>
  <c r="G3" i="8"/>
  <c r="F3" i="8"/>
  <c r="E3" i="8"/>
  <c r="D3" i="8"/>
  <c r="B3" i="8"/>
  <c r="I2" i="8"/>
  <c r="H2" i="8"/>
  <c r="G2" i="8"/>
  <c r="F2" i="8"/>
  <c r="E2" i="8"/>
  <c r="D2" i="8"/>
  <c r="B2" i="8"/>
  <c r="I26" i="7"/>
  <c r="H26" i="7"/>
  <c r="G26" i="7"/>
  <c r="F26" i="7"/>
  <c r="E26" i="7"/>
  <c r="D26" i="7"/>
  <c r="B26" i="7"/>
  <c r="I25" i="7"/>
  <c r="H25" i="7"/>
  <c r="G25" i="7"/>
  <c r="F25" i="7"/>
  <c r="E25" i="7"/>
  <c r="D25" i="7"/>
  <c r="B25" i="7"/>
  <c r="I24" i="7"/>
  <c r="H24" i="7"/>
  <c r="G24" i="7"/>
  <c r="F24" i="7"/>
  <c r="E24" i="7"/>
  <c r="D24" i="7"/>
  <c r="B24" i="7"/>
  <c r="I23" i="7"/>
  <c r="H23" i="7"/>
  <c r="G23" i="7"/>
  <c r="F23" i="7"/>
  <c r="E23" i="7"/>
  <c r="D23" i="7"/>
  <c r="B23" i="7"/>
  <c r="I22" i="7"/>
  <c r="H22" i="7"/>
  <c r="G22" i="7"/>
  <c r="F22" i="7"/>
  <c r="E22" i="7"/>
  <c r="D22" i="7"/>
  <c r="B22" i="7"/>
  <c r="I21" i="7"/>
  <c r="H21" i="7"/>
  <c r="G21" i="7"/>
  <c r="F21" i="7"/>
  <c r="E21" i="7"/>
  <c r="D21" i="7"/>
  <c r="B21" i="7"/>
  <c r="I20" i="7"/>
  <c r="H20" i="7"/>
  <c r="G20" i="7"/>
  <c r="F20" i="7"/>
  <c r="E20" i="7"/>
  <c r="D20" i="7"/>
  <c r="B20" i="7"/>
  <c r="I19" i="7"/>
  <c r="H19" i="7"/>
  <c r="G19" i="7"/>
  <c r="F19" i="7"/>
  <c r="E19" i="7"/>
  <c r="D19" i="7"/>
  <c r="B19" i="7"/>
  <c r="I18" i="7"/>
  <c r="H18" i="7"/>
  <c r="G18" i="7"/>
  <c r="F18" i="7"/>
  <c r="E18" i="7"/>
  <c r="D18" i="7"/>
  <c r="B18" i="7"/>
  <c r="I17" i="7"/>
  <c r="H17" i="7"/>
  <c r="G17" i="7"/>
  <c r="F17" i="7"/>
  <c r="E17" i="7"/>
  <c r="D17" i="7"/>
  <c r="B17" i="7"/>
  <c r="I16" i="7"/>
  <c r="H16" i="7"/>
  <c r="G16" i="7"/>
  <c r="F16" i="7"/>
  <c r="E16" i="7"/>
  <c r="D16" i="7"/>
  <c r="B16" i="7"/>
  <c r="I15" i="7"/>
  <c r="H15" i="7"/>
  <c r="G15" i="7"/>
  <c r="F15" i="7"/>
  <c r="E15" i="7"/>
  <c r="D15" i="7"/>
  <c r="B15" i="7"/>
  <c r="I14" i="7"/>
  <c r="H14" i="7"/>
  <c r="G14" i="7"/>
  <c r="F14" i="7"/>
  <c r="E14" i="7"/>
  <c r="D14" i="7"/>
  <c r="B14" i="7"/>
  <c r="I13" i="7"/>
  <c r="H13" i="7"/>
  <c r="G13" i="7"/>
  <c r="F13" i="7"/>
  <c r="E13" i="7"/>
  <c r="D13" i="7"/>
  <c r="B13" i="7"/>
  <c r="I12" i="7"/>
  <c r="H12" i="7"/>
  <c r="G12" i="7"/>
  <c r="F12" i="7"/>
  <c r="E12" i="7"/>
  <c r="D12" i="7"/>
  <c r="B12" i="7"/>
  <c r="I11" i="7"/>
  <c r="H11" i="7"/>
  <c r="G11" i="7"/>
  <c r="F11" i="7"/>
  <c r="E11" i="7"/>
  <c r="D11" i="7"/>
  <c r="B11" i="7"/>
  <c r="I10" i="7"/>
  <c r="H10" i="7"/>
  <c r="G10" i="7"/>
  <c r="F10" i="7"/>
  <c r="E10" i="7"/>
  <c r="D10" i="7"/>
  <c r="B10" i="7"/>
  <c r="I9" i="7"/>
  <c r="H9" i="7"/>
  <c r="G9" i="7"/>
  <c r="F9" i="7"/>
  <c r="E9" i="7"/>
  <c r="D9" i="7"/>
  <c r="B9" i="7"/>
  <c r="I8" i="7"/>
  <c r="H8" i="7"/>
  <c r="G8" i="7"/>
  <c r="F8" i="7"/>
  <c r="E8" i="7"/>
  <c r="D8" i="7"/>
  <c r="B8" i="7"/>
  <c r="I7" i="7"/>
  <c r="H7" i="7"/>
  <c r="G7" i="7"/>
  <c r="F7" i="7"/>
  <c r="E7" i="7"/>
  <c r="D7" i="7"/>
  <c r="B7" i="7"/>
  <c r="I6" i="7"/>
  <c r="H6" i="7"/>
  <c r="G6" i="7"/>
  <c r="F6" i="7"/>
  <c r="E6" i="7"/>
  <c r="D6" i="7"/>
  <c r="B6" i="7"/>
  <c r="I5" i="7"/>
  <c r="H5" i="7"/>
  <c r="G5" i="7"/>
  <c r="F5" i="7"/>
  <c r="E5" i="7"/>
  <c r="D5" i="7"/>
  <c r="B5" i="7"/>
  <c r="I4" i="7"/>
  <c r="H4" i="7"/>
  <c r="G4" i="7"/>
  <c r="F4" i="7"/>
  <c r="E4" i="7"/>
  <c r="D4" i="7"/>
  <c r="B4" i="7"/>
  <c r="I3" i="7"/>
  <c r="H3" i="7"/>
  <c r="G3" i="7"/>
  <c r="F3" i="7"/>
  <c r="E3" i="7"/>
  <c r="D3" i="7"/>
  <c r="B3" i="7"/>
  <c r="I2" i="7"/>
  <c r="H2" i="7"/>
  <c r="G2" i="7"/>
  <c r="F2" i="7"/>
  <c r="E2" i="7"/>
  <c r="D2" i="7"/>
  <c r="B2" i="7"/>
  <c r="I26" i="6"/>
  <c r="H26" i="6"/>
  <c r="G26" i="6"/>
  <c r="F26" i="6"/>
  <c r="E26" i="6"/>
  <c r="D26" i="6"/>
  <c r="B26" i="6"/>
  <c r="I25" i="6"/>
  <c r="H25" i="6"/>
  <c r="G25" i="6"/>
  <c r="F25" i="6"/>
  <c r="E25" i="6"/>
  <c r="D25" i="6"/>
  <c r="B25" i="6"/>
  <c r="I24" i="6"/>
  <c r="H24" i="6"/>
  <c r="G24" i="6"/>
  <c r="F24" i="6"/>
  <c r="E24" i="6"/>
  <c r="D24" i="6"/>
  <c r="B24" i="6"/>
  <c r="I23" i="6"/>
  <c r="H23" i="6"/>
  <c r="G23" i="6"/>
  <c r="F23" i="6"/>
  <c r="E23" i="6"/>
  <c r="D23" i="6"/>
  <c r="B23" i="6"/>
  <c r="I22" i="6"/>
  <c r="H22" i="6"/>
  <c r="G22" i="6"/>
  <c r="F22" i="6"/>
  <c r="E22" i="6"/>
  <c r="D22" i="6"/>
  <c r="B22" i="6"/>
  <c r="I21" i="6"/>
  <c r="H21" i="6"/>
  <c r="G21" i="6"/>
  <c r="F21" i="6"/>
  <c r="E21" i="6"/>
  <c r="D21" i="6"/>
  <c r="B21" i="6"/>
  <c r="I20" i="6"/>
  <c r="H20" i="6"/>
  <c r="G20" i="6"/>
  <c r="F20" i="6"/>
  <c r="E20" i="6"/>
  <c r="D20" i="6"/>
  <c r="B20" i="6"/>
  <c r="I19" i="6"/>
  <c r="H19" i="6"/>
  <c r="G19" i="6"/>
  <c r="F19" i="6"/>
  <c r="E19" i="6"/>
  <c r="D19" i="6"/>
  <c r="B19" i="6"/>
  <c r="I18" i="6"/>
  <c r="H18" i="6"/>
  <c r="G18" i="6"/>
  <c r="F18" i="6"/>
  <c r="E18" i="6"/>
  <c r="D18" i="6"/>
  <c r="B18" i="6"/>
  <c r="I17" i="6"/>
  <c r="H17" i="6"/>
  <c r="G17" i="6"/>
  <c r="F17" i="6"/>
  <c r="E17" i="6"/>
  <c r="D17" i="6"/>
  <c r="B17" i="6"/>
  <c r="I16" i="6"/>
  <c r="H16" i="6"/>
  <c r="G16" i="6"/>
  <c r="F16" i="6"/>
  <c r="E16" i="6"/>
  <c r="D16" i="6"/>
  <c r="B16" i="6"/>
  <c r="I15" i="6"/>
  <c r="H15" i="6"/>
  <c r="G15" i="6"/>
  <c r="F15" i="6"/>
  <c r="E15" i="6"/>
  <c r="D15" i="6"/>
  <c r="B15" i="6"/>
  <c r="I14" i="6"/>
  <c r="H14" i="6"/>
  <c r="G14" i="6"/>
  <c r="F14" i="6"/>
  <c r="E14" i="6"/>
  <c r="D14" i="6"/>
  <c r="B14" i="6"/>
  <c r="I13" i="6"/>
  <c r="H13" i="6"/>
  <c r="G13" i="6"/>
  <c r="F13" i="6"/>
  <c r="E13" i="6"/>
  <c r="D13" i="6"/>
  <c r="B13" i="6"/>
  <c r="I12" i="6"/>
  <c r="H12" i="6"/>
  <c r="G12" i="6"/>
  <c r="F12" i="6"/>
  <c r="E12" i="6"/>
  <c r="D12" i="6"/>
  <c r="B12" i="6"/>
  <c r="I11" i="6"/>
  <c r="H11" i="6"/>
  <c r="G11" i="6"/>
  <c r="F11" i="6"/>
  <c r="E11" i="6"/>
  <c r="D11" i="6"/>
  <c r="B11" i="6"/>
  <c r="I10" i="6"/>
  <c r="H10" i="6"/>
  <c r="G10" i="6"/>
  <c r="F10" i="6"/>
  <c r="E10" i="6"/>
  <c r="D10" i="6"/>
  <c r="B10" i="6"/>
  <c r="I9" i="6"/>
  <c r="H9" i="6"/>
  <c r="G9" i="6"/>
  <c r="F9" i="6"/>
  <c r="E9" i="6"/>
  <c r="D9" i="6"/>
  <c r="B9" i="6"/>
  <c r="I8" i="6"/>
  <c r="H8" i="6"/>
  <c r="G8" i="6"/>
  <c r="F8" i="6"/>
  <c r="E8" i="6"/>
  <c r="D8" i="6"/>
  <c r="B8" i="6"/>
  <c r="I7" i="6"/>
  <c r="H7" i="6"/>
  <c r="G7" i="6"/>
  <c r="F7" i="6"/>
  <c r="E7" i="6"/>
  <c r="D7" i="6"/>
  <c r="B7" i="6"/>
  <c r="I6" i="6"/>
  <c r="H6" i="6"/>
  <c r="G6" i="6"/>
  <c r="F6" i="6"/>
  <c r="E6" i="6"/>
  <c r="D6" i="6"/>
  <c r="B6" i="6"/>
  <c r="I5" i="6"/>
  <c r="H5" i="6"/>
  <c r="G5" i="6"/>
  <c r="F5" i="6"/>
  <c r="E5" i="6"/>
  <c r="D5" i="6"/>
  <c r="B5" i="6"/>
  <c r="I4" i="6"/>
  <c r="H4" i="6"/>
  <c r="G4" i="6"/>
  <c r="F4" i="6"/>
  <c r="E4" i="6"/>
  <c r="D4" i="6"/>
  <c r="B4" i="6"/>
  <c r="I3" i="6"/>
  <c r="H3" i="6"/>
  <c r="G3" i="6"/>
  <c r="F3" i="6"/>
  <c r="E3" i="6"/>
  <c r="D3" i="6"/>
  <c r="B3" i="6"/>
  <c r="I2" i="6"/>
  <c r="H2" i="6"/>
  <c r="G2" i="6"/>
  <c r="F2" i="6"/>
  <c r="E2" i="6"/>
  <c r="D2" i="6"/>
  <c r="B2" i="6"/>
  <c r="I26" i="5"/>
  <c r="H26" i="5"/>
  <c r="G26" i="5"/>
  <c r="F26" i="5"/>
  <c r="E26" i="5"/>
  <c r="D26" i="5"/>
  <c r="B26" i="5"/>
  <c r="I25" i="5"/>
  <c r="H25" i="5"/>
  <c r="G25" i="5"/>
  <c r="F25" i="5"/>
  <c r="E25" i="5"/>
  <c r="D25" i="5"/>
  <c r="B25" i="5"/>
  <c r="I24" i="5"/>
  <c r="H24" i="5"/>
  <c r="G24" i="5"/>
  <c r="F24" i="5"/>
  <c r="E24" i="5"/>
  <c r="D24" i="5"/>
  <c r="B24" i="5"/>
  <c r="I23" i="5"/>
  <c r="H23" i="5"/>
  <c r="G23" i="5"/>
  <c r="F23" i="5"/>
  <c r="E23" i="5"/>
  <c r="D23" i="5"/>
  <c r="B23" i="5"/>
  <c r="I22" i="5"/>
  <c r="H22" i="5"/>
  <c r="G22" i="5"/>
  <c r="F22" i="5"/>
  <c r="E22" i="5"/>
  <c r="D22" i="5"/>
  <c r="B22" i="5"/>
  <c r="I21" i="5"/>
  <c r="H21" i="5"/>
  <c r="G21" i="5"/>
  <c r="F21" i="5"/>
  <c r="E21" i="5"/>
  <c r="D21" i="5"/>
  <c r="B21" i="5"/>
  <c r="I20" i="5"/>
  <c r="H20" i="5"/>
  <c r="G20" i="5"/>
  <c r="F20" i="5"/>
  <c r="E20" i="5"/>
  <c r="D20" i="5"/>
  <c r="B20" i="5"/>
  <c r="I19" i="5"/>
  <c r="H19" i="5"/>
  <c r="G19" i="5"/>
  <c r="F19" i="5"/>
  <c r="E19" i="5"/>
  <c r="D19" i="5"/>
  <c r="B19" i="5"/>
  <c r="I18" i="5"/>
  <c r="H18" i="5"/>
  <c r="G18" i="5"/>
  <c r="F18" i="5"/>
  <c r="E18" i="5"/>
  <c r="D18" i="5"/>
  <c r="B18" i="5"/>
  <c r="I17" i="5"/>
  <c r="H17" i="5"/>
  <c r="G17" i="5"/>
  <c r="F17" i="5"/>
  <c r="E17" i="5"/>
  <c r="D17" i="5"/>
  <c r="B17" i="5"/>
  <c r="I16" i="5"/>
  <c r="H16" i="5"/>
  <c r="G16" i="5"/>
  <c r="F16" i="5"/>
  <c r="E16" i="5"/>
  <c r="D16" i="5"/>
  <c r="B16" i="5"/>
  <c r="I15" i="5"/>
  <c r="H15" i="5"/>
  <c r="G15" i="5"/>
  <c r="F15" i="5"/>
  <c r="E15" i="5"/>
  <c r="D15" i="5"/>
  <c r="B15" i="5"/>
  <c r="I14" i="5"/>
  <c r="H14" i="5"/>
  <c r="G14" i="5"/>
  <c r="F14" i="5"/>
  <c r="E14" i="5"/>
  <c r="D14" i="5"/>
  <c r="B14" i="5"/>
  <c r="I13" i="5"/>
  <c r="H13" i="5"/>
  <c r="G13" i="5"/>
  <c r="F13" i="5"/>
  <c r="E13" i="5"/>
  <c r="D13" i="5"/>
  <c r="B13" i="5"/>
  <c r="I12" i="5"/>
  <c r="H12" i="5"/>
  <c r="G12" i="5"/>
  <c r="F12" i="5"/>
  <c r="E12" i="5"/>
  <c r="D12" i="5"/>
  <c r="B12" i="5"/>
  <c r="I11" i="5"/>
  <c r="H11" i="5"/>
  <c r="G11" i="5"/>
  <c r="F11" i="5"/>
  <c r="E11" i="5"/>
  <c r="D11" i="5"/>
  <c r="B11" i="5"/>
  <c r="I10" i="5"/>
  <c r="H10" i="5"/>
  <c r="G10" i="5"/>
  <c r="F10" i="5"/>
  <c r="E10" i="5"/>
  <c r="D10" i="5"/>
  <c r="B10" i="5"/>
  <c r="I9" i="5"/>
  <c r="H9" i="5"/>
  <c r="G9" i="5"/>
  <c r="F9" i="5"/>
  <c r="E9" i="5"/>
  <c r="D9" i="5"/>
  <c r="B9" i="5"/>
  <c r="I8" i="5"/>
  <c r="H8" i="5"/>
  <c r="G8" i="5"/>
  <c r="F8" i="5"/>
  <c r="E8" i="5"/>
  <c r="D8" i="5"/>
  <c r="B8" i="5"/>
  <c r="I7" i="5"/>
  <c r="H7" i="5"/>
  <c r="G7" i="5"/>
  <c r="F7" i="5"/>
  <c r="E7" i="5"/>
  <c r="D7" i="5"/>
  <c r="B7" i="5"/>
  <c r="I6" i="5"/>
  <c r="H6" i="5"/>
  <c r="G6" i="5"/>
  <c r="F6" i="5"/>
  <c r="E6" i="5"/>
  <c r="D6" i="5"/>
  <c r="B6" i="5"/>
  <c r="I5" i="5"/>
  <c r="H5" i="5"/>
  <c r="G5" i="5"/>
  <c r="F5" i="5"/>
  <c r="E5" i="5"/>
  <c r="D5" i="5"/>
  <c r="B5" i="5"/>
  <c r="I4" i="5"/>
  <c r="H4" i="5"/>
  <c r="G4" i="5"/>
  <c r="F4" i="5"/>
  <c r="E4" i="5"/>
  <c r="D4" i="5"/>
  <c r="B4" i="5"/>
  <c r="I3" i="5"/>
  <c r="H3" i="5"/>
  <c r="G3" i="5"/>
  <c r="F3" i="5"/>
  <c r="E3" i="5"/>
  <c r="D3" i="5"/>
  <c r="B3" i="5"/>
  <c r="I2" i="5"/>
  <c r="H2" i="5"/>
  <c r="G2" i="5"/>
  <c r="F2" i="5"/>
  <c r="E2" i="5"/>
  <c r="D2" i="5"/>
  <c r="B2" i="5"/>
  <c r="I26" i="1"/>
  <c r="H26" i="1"/>
  <c r="G26" i="1"/>
  <c r="F26" i="1"/>
  <c r="E26" i="1"/>
  <c r="D26" i="1"/>
  <c r="B26" i="1"/>
  <c r="I25" i="1"/>
  <c r="H25" i="1"/>
  <c r="G25" i="1"/>
  <c r="F25" i="1"/>
  <c r="E25" i="1"/>
  <c r="D25" i="1"/>
  <c r="B25" i="1"/>
  <c r="I24" i="1"/>
  <c r="H24" i="1"/>
  <c r="G24" i="1"/>
  <c r="F24" i="1"/>
  <c r="E24" i="1"/>
  <c r="D24" i="1"/>
  <c r="B24" i="1"/>
  <c r="I23" i="1"/>
  <c r="H23" i="1"/>
  <c r="G23" i="1"/>
  <c r="F23" i="1"/>
  <c r="E23" i="1"/>
  <c r="D23" i="1"/>
  <c r="B23" i="1"/>
  <c r="I22" i="1"/>
  <c r="H22" i="1"/>
  <c r="G22" i="1"/>
  <c r="F22" i="1"/>
  <c r="E22" i="1"/>
  <c r="D22" i="1"/>
  <c r="B22" i="1"/>
  <c r="I21" i="1"/>
  <c r="H21" i="1"/>
  <c r="G21" i="1"/>
  <c r="F21" i="1"/>
  <c r="E21" i="1"/>
  <c r="D21" i="1"/>
  <c r="B21" i="1"/>
  <c r="I20" i="1"/>
  <c r="H20" i="1"/>
  <c r="G20" i="1"/>
  <c r="F20" i="1"/>
  <c r="E20" i="1"/>
  <c r="D20" i="1"/>
  <c r="B20" i="1"/>
  <c r="I19" i="1"/>
  <c r="H19" i="1"/>
  <c r="G19" i="1"/>
  <c r="F19" i="1"/>
  <c r="E19" i="1"/>
  <c r="D19" i="1"/>
  <c r="B19" i="1"/>
  <c r="I18" i="1"/>
  <c r="H18" i="1"/>
  <c r="G18" i="1"/>
  <c r="F18" i="1"/>
  <c r="E18" i="1"/>
  <c r="D18" i="1"/>
  <c r="B18" i="1"/>
  <c r="I17" i="1"/>
  <c r="H17" i="1"/>
  <c r="G17" i="1"/>
  <c r="F17" i="1"/>
  <c r="E17" i="1"/>
  <c r="D17" i="1"/>
  <c r="B17" i="1"/>
  <c r="I16" i="1"/>
  <c r="H16" i="1"/>
  <c r="G16" i="1"/>
  <c r="F16" i="1"/>
  <c r="E16" i="1"/>
  <c r="D16" i="1"/>
  <c r="B16" i="1"/>
  <c r="I15" i="1"/>
  <c r="H15" i="1"/>
  <c r="G15" i="1"/>
  <c r="F15" i="1"/>
  <c r="E15" i="1"/>
  <c r="D15" i="1"/>
  <c r="B15" i="1"/>
  <c r="I14" i="1"/>
  <c r="H14" i="1"/>
  <c r="G14" i="1"/>
  <c r="F14" i="1"/>
  <c r="E14" i="1"/>
  <c r="D14" i="1"/>
  <c r="B14" i="1"/>
  <c r="I13" i="1"/>
  <c r="H13" i="1"/>
  <c r="G13" i="1"/>
  <c r="F13" i="1"/>
  <c r="E13" i="1"/>
  <c r="D13" i="1"/>
  <c r="B13" i="1"/>
  <c r="I12" i="1"/>
  <c r="H12" i="1"/>
  <c r="G12" i="1"/>
  <c r="F12" i="1"/>
  <c r="E12" i="1"/>
  <c r="D12" i="1"/>
  <c r="B12" i="1"/>
  <c r="I11" i="1"/>
  <c r="H11" i="1"/>
  <c r="G11" i="1"/>
  <c r="F11" i="1"/>
  <c r="E11" i="1"/>
  <c r="D11" i="1"/>
  <c r="B11" i="1"/>
  <c r="I10" i="1"/>
  <c r="H10" i="1"/>
  <c r="G10" i="1"/>
  <c r="F10" i="1"/>
  <c r="E10" i="1"/>
  <c r="D10" i="1"/>
  <c r="B10" i="1"/>
  <c r="I9" i="1"/>
  <c r="H9" i="1"/>
  <c r="G9" i="1"/>
  <c r="F9" i="1"/>
  <c r="E9" i="1"/>
  <c r="D9" i="1"/>
  <c r="B9" i="1"/>
  <c r="I8" i="1"/>
  <c r="H8" i="1"/>
  <c r="G8" i="1"/>
  <c r="F8" i="1"/>
  <c r="E8" i="1"/>
  <c r="D8" i="1"/>
  <c r="B8" i="1"/>
  <c r="I7" i="1"/>
  <c r="H7" i="1"/>
  <c r="G7" i="1"/>
  <c r="F7" i="1"/>
  <c r="E7" i="1"/>
  <c r="D7" i="1"/>
  <c r="B7" i="1"/>
  <c r="I6" i="1"/>
  <c r="H6" i="1"/>
  <c r="G6" i="1"/>
  <c r="F6" i="1"/>
  <c r="E6" i="1"/>
  <c r="D6" i="1"/>
  <c r="B6" i="1"/>
  <c r="I5" i="1"/>
  <c r="H5" i="1"/>
  <c r="G5" i="1"/>
  <c r="F5" i="1"/>
  <c r="E5" i="1"/>
  <c r="D5" i="1"/>
  <c r="B5" i="1"/>
  <c r="I4" i="1"/>
  <c r="H4" i="1"/>
  <c r="G4" i="1"/>
  <c r="F4" i="1"/>
  <c r="E4" i="1"/>
  <c r="D4" i="1"/>
  <c r="B4" i="1"/>
  <c r="I3" i="1"/>
  <c r="H3" i="1"/>
  <c r="G3" i="1"/>
  <c r="F3" i="1"/>
  <c r="E3" i="1"/>
  <c r="D3" i="1"/>
  <c r="B3" i="1"/>
  <c r="I2" i="1"/>
  <c r="H2" i="1"/>
  <c r="G2" i="1"/>
  <c r="F2" i="1"/>
  <c r="E2" i="1"/>
  <c r="D2" i="1"/>
  <c r="B2" i="1"/>
  <c r="C23" i="25" l="1"/>
  <c r="C26" i="28"/>
  <c r="C24" i="20"/>
  <c r="C23" i="11"/>
  <c r="C23" i="6"/>
  <c r="C26" i="23"/>
  <c r="C25" i="23"/>
  <c r="C24" i="23"/>
  <c r="C23" i="23"/>
  <c r="C26" i="24"/>
  <c r="C25" i="24"/>
  <c r="C24" i="24"/>
  <c r="C23" i="24"/>
  <c r="C26" i="25"/>
  <c r="C25" i="25"/>
  <c r="C24" i="25"/>
  <c r="C26" i="26"/>
  <c r="C25" i="26"/>
  <c r="C24" i="26"/>
  <c r="C23" i="26"/>
  <c r="C26" i="27"/>
  <c r="C24" i="27"/>
  <c r="C23" i="27"/>
  <c r="C25" i="28"/>
  <c r="C24" i="28"/>
  <c r="C23" i="28"/>
  <c r="C26" i="21"/>
  <c r="C25" i="21"/>
  <c r="C24" i="21"/>
  <c r="C26" i="20"/>
  <c r="C25" i="20"/>
  <c r="C23" i="20"/>
  <c r="C26" i="19"/>
  <c r="C25" i="19"/>
  <c r="C24" i="19"/>
  <c r="C23" i="19"/>
  <c r="C25" i="18"/>
  <c r="C24" i="18"/>
  <c r="C23" i="18"/>
  <c r="C25" i="17"/>
  <c r="C24" i="17"/>
  <c r="C23" i="17"/>
  <c r="C26" i="16"/>
  <c r="C25" i="16"/>
  <c r="C24" i="16"/>
  <c r="C23" i="16"/>
  <c r="C26" i="15"/>
  <c r="C25" i="15"/>
  <c r="C24" i="15"/>
  <c r="C23" i="15"/>
  <c r="C26" i="14"/>
  <c r="C25" i="14"/>
  <c r="C24" i="14"/>
  <c r="C23" i="14"/>
  <c r="C25" i="13"/>
  <c r="C24" i="13"/>
  <c r="C23" i="13"/>
  <c r="C25" i="12"/>
  <c r="C24" i="12"/>
  <c r="C23" i="12"/>
  <c r="C26" i="11"/>
  <c r="C25" i="11"/>
  <c r="C24" i="11"/>
  <c r="C26" i="10"/>
  <c r="C25" i="10"/>
  <c r="C24" i="10"/>
  <c r="C23" i="10"/>
  <c r="C26" i="9"/>
  <c r="C24" i="9"/>
  <c r="C23" i="9"/>
  <c r="C26" i="8"/>
  <c r="C25" i="8"/>
  <c r="C24" i="8"/>
  <c r="C23" i="8"/>
  <c r="C25" i="7"/>
  <c r="C26" i="7"/>
  <c r="C24" i="7"/>
  <c r="C26" i="6"/>
  <c r="C25" i="6"/>
  <c r="C24" i="6"/>
  <c r="C26" i="5"/>
  <c r="C25" i="5"/>
  <c r="C24" i="5"/>
  <c r="C23" i="5"/>
  <c r="C22" i="1"/>
  <c r="C23" i="1"/>
  <c r="C25" i="1"/>
  <c r="C26" i="1"/>
  <c r="C23" i="7" l="1"/>
  <c r="C26" i="17"/>
  <c r="C26" i="12"/>
  <c r="C24" i="1"/>
  <c r="C26" i="18"/>
  <c r="C25" i="27"/>
  <c r="C25" i="9"/>
  <c r="C26" i="13"/>
  <c r="C23" i="21"/>
  <c r="C22" i="19" l="1"/>
  <c r="C22" i="7"/>
  <c r="C22" i="23" l="1"/>
  <c r="C19" i="23"/>
  <c r="C17" i="23"/>
  <c r="C16" i="23"/>
  <c r="C12" i="23"/>
  <c r="C9" i="23"/>
  <c r="C7" i="23"/>
  <c r="C4" i="23"/>
  <c r="C21" i="23"/>
  <c r="C20" i="23"/>
  <c r="C15" i="23"/>
  <c r="C13" i="23"/>
  <c r="C8" i="23"/>
  <c r="C5" i="23"/>
  <c r="C2" i="23"/>
  <c r="C22" i="24"/>
  <c r="C20" i="24"/>
  <c r="C19" i="24"/>
  <c r="C11" i="24"/>
  <c r="C8" i="24"/>
  <c r="C2" i="24"/>
  <c r="C21" i="24"/>
  <c r="C15" i="24"/>
  <c r="C13" i="24"/>
  <c r="C5" i="24"/>
  <c r="C4" i="24"/>
  <c r="C22" i="25"/>
  <c r="C2" i="25"/>
  <c r="C20" i="26"/>
  <c r="C9" i="26"/>
  <c r="C4" i="26"/>
  <c r="C2" i="26"/>
  <c r="C19" i="27"/>
  <c r="C17" i="27"/>
  <c r="C16" i="27"/>
  <c r="C13" i="27"/>
  <c r="C12" i="27"/>
  <c r="C9" i="27"/>
  <c r="C7" i="27"/>
  <c r="C5" i="27"/>
  <c r="C3" i="27"/>
  <c r="C2" i="27"/>
  <c r="C22" i="28"/>
  <c r="C20" i="28"/>
  <c r="C18" i="28"/>
  <c r="C16" i="28"/>
  <c r="C11" i="28"/>
  <c r="C10" i="28"/>
  <c r="C7" i="28"/>
  <c r="C6" i="28"/>
  <c r="C4" i="28"/>
  <c r="C14" i="28"/>
  <c r="C2" i="28"/>
  <c r="C20" i="21"/>
  <c r="C13" i="21"/>
  <c r="C2" i="21"/>
  <c r="C22" i="20"/>
  <c r="C21" i="20"/>
  <c r="C16" i="20"/>
  <c r="C13" i="20"/>
  <c r="C2" i="20"/>
  <c r="C15" i="20"/>
  <c r="C9" i="19"/>
  <c r="C2" i="19"/>
  <c r="C21" i="19"/>
  <c r="C20" i="19"/>
  <c r="C19" i="19"/>
  <c r="C17" i="19"/>
  <c r="C16" i="19"/>
  <c r="C15" i="19"/>
  <c r="C13" i="19"/>
  <c r="C12" i="19"/>
  <c r="C11" i="19"/>
  <c r="C8" i="19"/>
  <c r="C7" i="19"/>
  <c r="C5" i="19"/>
  <c r="C22" i="18"/>
  <c r="C20" i="18"/>
  <c r="C2" i="18"/>
  <c r="C9" i="18"/>
  <c r="C22" i="17"/>
  <c r="C2" i="17"/>
  <c r="C17" i="16"/>
  <c r="C12" i="16"/>
  <c r="C2" i="16"/>
  <c r="C7" i="16"/>
  <c r="C12" i="15"/>
  <c r="C8" i="15"/>
  <c r="C2" i="15"/>
  <c r="C19" i="15"/>
  <c r="C22" i="14"/>
  <c r="C2" i="14"/>
  <c r="C22" i="13"/>
  <c r="C2" i="13"/>
  <c r="C22" i="12"/>
  <c r="C16" i="12"/>
  <c r="C2" i="12"/>
  <c r="C7" i="12"/>
  <c r="C22" i="11"/>
  <c r="C20" i="11"/>
  <c r="C19" i="11"/>
  <c r="C15" i="11"/>
  <c r="C8" i="11"/>
  <c r="C2" i="11"/>
  <c r="C9" i="11"/>
  <c r="C22" i="10"/>
  <c r="C8" i="10"/>
  <c r="C2" i="10"/>
  <c r="C13" i="9"/>
  <c r="C2" i="9"/>
  <c r="C3" i="9"/>
  <c r="C22" i="8"/>
  <c r="C20" i="8"/>
  <c r="C19" i="8"/>
  <c r="C15" i="8"/>
  <c r="C5" i="8"/>
  <c r="C2" i="8"/>
  <c r="C11" i="8"/>
  <c r="C20" i="7"/>
  <c r="C16" i="7"/>
  <c r="C13" i="7"/>
  <c r="C5" i="7"/>
  <c r="C3" i="7"/>
  <c r="C2" i="7"/>
  <c r="C21" i="7"/>
  <c r="C9" i="7"/>
  <c r="C22" i="6"/>
  <c r="C17" i="6"/>
  <c r="C2" i="6"/>
  <c r="C15" i="5"/>
  <c r="C5" i="5"/>
  <c r="C2" i="5"/>
  <c r="C16" i="5"/>
  <c r="C7" i="5"/>
  <c r="C2" i="1"/>
  <c r="C5" i="6" l="1"/>
  <c r="C11" i="6"/>
  <c r="C15" i="6"/>
  <c r="C19" i="6"/>
  <c r="C9" i="10"/>
  <c r="C3" i="8"/>
  <c r="C8" i="8"/>
  <c r="C9" i="8"/>
  <c r="C12" i="8"/>
  <c r="C13" i="8"/>
  <c r="C16" i="8"/>
  <c r="C4" i="9"/>
  <c r="C9" i="9"/>
  <c r="C15" i="9"/>
  <c r="C19" i="9"/>
  <c r="C20" i="9"/>
  <c r="C4" i="11"/>
  <c r="C6" i="11"/>
  <c r="C7" i="11"/>
  <c r="C11" i="11"/>
  <c r="C13" i="11"/>
  <c r="C16" i="11"/>
  <c r="C21" i="12"/>
  <c r="C21" i="13"/>
  <c r="C4" i="13"/>
  <c r="C7" i="13"/>
  <c r="C8" i="13"/>
  <c r="C12" i="13"/>
  <c r="C15" i="13"/>
  <c r="C16" i="13"/>
  <c r="C20" i="20"/>
  <c r="C11" i="20"/>
  <c r="C19" i="20"/>
  <c r="C16" i="21"/>
  <c r="C15" i="27"/>
  <c r="C3" i="23"/>
  <c r="C9" i="14"/>
  <c r="C16" i="14"/>
  <c r="C9" i="16"/>
  <c r="C13" i="16"/>
  <c r="C15" i="16"/>
  <c r="C8" i="17"/>
  <c r="C13" i="17"/>
  <c r="C15" i="17"/>
  <c r="C19" i="17"/>
  <c r="C20" i="17"/>
  <c r="C8" i="28"/>
  <c r="C20" i="27"/>
  <c r="C15" i="26"/>
  <c r="C17" i="25"/>
  <c r="C3" i="24"/>
  <c r="C9" i="24"/>
  <c r="C12" i="24"/>
  <c r="C16" i="24"/>
  <c r="C17" i="24"/>
  <c r="C11" i="23"/>
  <c r="C3" i="6"/>
  <c r="C7" i="6"/>
  <c r="C9" i="6"/>
  <c r="C19" i="28"/>
  <c r="C12" i="5"/>
  <c r="C17" i="5"/>
  <c r="C20" i="5"/>
  <c r="C20" i="6"/>
  <c r="C21" i="8"/>
  <c r="C8" i="9"/>
  <c r="C5" i="9"/>
  <c r="C7" i="9"/>
  <c r="C11" i="9"/>
  <c r="C16" i="9"/>
  <c r="C17" i="9"/>
  <c r="C21" i="9"/>
  <c r="C22" i="9"/>
  <c r="C4" i="10"/>
  <c r="C7" i="10"/>
  <c r="C11" i="10"/>
  <c r="C20" i="10"/>
  <c r="C3" i="11"/>
  <c r="C21" i="11"/>
  <c r="C7" i="15"/>
  <c r="C9" i="15"/>
  <c r="C13" i="15"/>
  <c r="C16" i="15"/>
  <c r="C17" i="15"/>
  <c r="C20" i="15"/>
  <c r="C21" i="15"/>
  <c r="C22" i="15"/>
  <c r="C3" i="28"/>
  <c r="C3" i="26"/>
  <c r="C5" i="26"/>
  <c r="C7" i="26"/>
  <c r="C12" i="26"/>
  <c r="C13" i="26"/>
  <c r="C16" i="26"/>
  <c r="C18" i="26"/>
  <c r="C19" i="26"/>
  <c r="C21" i="26"/>
  <c r="C22" i="26"/>
  <c r="C21" i="5"/>
  <c r="C22" i="5"/>
  <c r="C4" i="8"/>
  <c r="C5" i="10"/>
  <c r="C13" i="10"/>
  <c r="C17" i="10"/>
  <c r="C21" i="10"/>
  <c r="C20" i="13"/>
  <c r="C4" i="15"/>
  <c r="C16" i="16"/>
  <c r="C19" i="16"/>
  <c r="C20" i="16"/>
  <c r="C15" i="18"/>
  <c r="C3" i="20"/>
  <c r="C5" i="20"/>
  <c r="C7" i="20"/>
  <c r="C9" i="20"/>
  <c r="C12" i="20"/>
  <c r="C3" i="21"/>
  <c r="C5" i="21"/>
  <c r="C7" i="21"/>
  <c r="C9" i="21"/>
  <c r="C12" i="21"/>
  <c r="C15" i="21"/>
  <c r="C17" i="21"/>
  <c r="C19" i="21"/>
  <c r="C21" i="21"/>
  <c r="C22" i="21"/>
  <c r="C4" i="27"/>
  <c r="C7" i="25"/>
  <c r="C12" i="25"/>
  <c r="C20" i="25"/>
  <c r="C4" i="5"/>
  <c r="C11" i="5"/>
  <c r="C17" i="11"/>
  <c r="C11" i="12"/>
  <c r="C12" i="12"/>
  <c r="C15" i="12"/>
  <c r="C17" i="12"/>
  <c r="C19" i="12"/>
  <c r="C20" i="12"/>
  <c r="C5" i="16"/>
  <c r="C11" i="16"/>
  <c r="C21" i="16"/>
  <c r="C22" i="16"/>
  <c r="C21" i="27"/>
  <c r="C22" i="27"/>
  <c r="C12" i="6"/>
  <c r="C12" i="9"/>
  <c r="C19" i="10"/>
  <c r="C12" i="11"/>
  <c r="C9" i="13"/>
  <c r="C4" i="18"/>
  <c r="C12" i="28"/>
  <c r="C8" i="27"/>
  <c r="C8" i="26"/>
  <c r="C8" i="16"/>
  <c r="C15" i="28"/>
  <c r="C11" i="27"/>
  <c r="C11" i="26"/>
  <c r="C9" i="5"/>
  <c r="C19" i="5"/>
  <c r="C3" i="12"/>
  <c r="C5" i="12"/>
  <c r="C9" i="12"/>
  <c r="C13" i="12"/>
  <c r="C17" i="13"/>
  <c r="C5" i="14"/>
  <c r="C8" i="14"/>
  <c r="C11" i="14"/>
  <c r="C13" i="14"/>
  <c r="C15" i="14"/>
  <c r="C19" i="14"/>
  <c r="C20" i="14"/>
  <c r="C15" i="15"/>
  <c r="C4" i="25"/>
  <c r="C9" i="25"/>
  <c r="C11" i="25"/>
  <c r="C13" i="25"/>
  <c r="C15" i="25"/>
  <c r="C19" i="25"/>
  <c r="C21" i="25"/>
  <c r="C16" i="25"/>
  <c r="C4" i="16"/>
  <c r="C3" i="15"/>
  <c r="C21" i="14"/>
  <c r="C4" i="14"/>
  <c r="C4" i="12"/>
  <c r="C12" i="10"/>
  <c r="C3" i="10"/>
  <c r="C15" i="10"/>
  <c r="C16" i="10"/>
  <c r="C7" i="8"/>
  <c r="C6" i="1"/>
  <c r="C19" i="1"/>
  <c r="C15" i="1"/>
  <c r="C11" i="1"/>
  <c r="C8" i="5"/>
  <c r="C3" i="13"/>
  <c r="C5" i="13"/>
  <c r="C11" i="13"/>
  <c r="C13" i="13"/>
  <c r="C19" i="13"/>
  <c r="C3" i="14"/>
  <c r="C7" i="14"/>
  <c r="C12" i="14"/>
  <c r="C3" i="17"/>
  <c r="C5" i="17"/>
  <c r="C7" i="17"/>
  <c r="C9" i="17"/>
  <c r="C11" i="17"/>
  <c r="C16" i="17"/>
  <c r="C3" i="19"/>
  <c r="C4" i="21"/>
  <c r="C8" i="21"/>
  <c r="C4" i="6"/>
  <c r="C8" i="12"/>
  <c r="C17" i="20"/>
  <c r="C5" i="25"/>
  <c r="C13" i="1"/>
  <c r="C11" i="15"/>
  <c r="C21" i="1"/>
  <c r="C14" i="1"/>
  <c r="C4" i="7"/>
  <c r="C7" i="7"/>
  <c r="C17" i="7"/>
  <c r="C18" i="1"/>
  <c r="C10" i="1"/>
  <c r="C5" i="1"/>
  <c r="C8" i="18"/>
  <c r="C8" i="20"/>
  <c r="C8" i="25"/>
  <c r="C17" i="1"/>
  <c r="C9" i="1"/>
  <c r="C8" i="6"/>
  <c r="C16" i="6"/>
  <c r="C8" i="7"/>
  <c r="C12" i="7"/>
  <c r="C17" i="8"/>
  <c r="C4" i="17"/>
  <c r="C4" i="19"/>
  <c r="C3" i="25"/>
  <c r="C4" i="20"/>
  <c r="C11" i="21"/>
  <c r="C8" i="1"/>
  <c r="C4" i="1"/>
  <c r="C3" i="5"/>
  <c r="C13" i="5"/>
  <c r="C13" i="6"/>
  <c r="C21" i="6"/>
  <c r="C11" i="7"/>
  <c r="C15" i="7"/>
  <c r="C19" i="7"/>
  <c r="C5" i="15"/>
  <c r="C3" i="18"/>
  <c r="C5" i="18"/>
  <c r="C11" i="18"/>
  <c r="C13" i="18"/>
  <c r="C16" i="18"/>
  <c r="C17" i="18"/>
  <c r="C19" i="18"/>
  <c r="C21" i="18"/>
  <c r="C7" i="24"/>
  <c r="C17" i="14"/>
  <c r="C17" i="17"/>
  <c r="C21" i="17"/>
  <c r="C6" i="23"/>
  <c r="C10" i="23"/>
  <c r="C14" i="23"/>
  <c r="C18" i="23"/>
  <c r="C6" i="24"/>
  <c r="C10" i="24"/>
  <c r="C14" i="24"/>
  <c r="C18" i="24"/>
  <c r="C6" i="25"/>
  <c r="C10" i="25"/>
  <c r="C14" i="25"/>
  <c r="C18" i="25"/>
  <c r="C6" i="26"/>
  <c r="C10" i="26"/>
  <c r="C14" i="26"/>
  <c r="C17" i="26"/>
  <c r="C6" i="27"/>
  <c r="C10" i="27"/>
  <c r="C14" i="27"/>
  <c r="C18" i="27"/>
  <c r="C5" i="28"/>
  <c r="C9" i="28"/>
  <c r="C13" i="28"/>
  <c r="C17" i="28"/>
  <c r="C21" i="28"/>
  <c r="C6" i="21"/>
  <c r="C10" i="21"/>
  <c r="C14" i="21"/>
  <c r="C18" i="21"/>
  <c r="C6" i="20"/>
  <c r="C10" i="20"/>
  <c r="C14" i="20"/>
  <c r="C18" i="20"/>
  <c r="C6" i="19"/>
  <c r="C10" i="19"/>
  <c r="C14" i="19"/>
  <c r="C18" i="19"/>
  <c r="C7" i="18"/>
  <c r="C12" i="18"/>
  <c r="C6" i="18"/>
  <c r="C10" i="18"/>
  <c r="C14" i="18"/>
  <c r="C18" i="18"/>
  <c r="C12" i="17"/>
  <c r="C6" i="17"/>
  <c r="C10" i="17"/>
  <c r="C14" i="17"/>
  <c r="C18" i="17"/>
  <c r="C3" i="16"/>
  <c r="C6" i="16"/>
  <c r="C10" i="16"/>
  <c r="C14" i="16"/>
  <c r="C18" i="16"/>
  <c r="C6" i="15"/>
  <c r="C10" i="15"/>
  <c r="C14" i="15"/>
  <c r="C18" i="15"/>
  <c r="C6" i="14"/>
  <c r="C10" i="14"/>
  <c r="C14" i="14"/>
  <c r="C18" i="14"/>
  <c r="C6" i="13"/>
  <c r="C10" i="13"/>
  <c r="C14" i="13"/>
  <c r="C18" i="13"/>
  <c r="C6" i="12"/>
  <c r="C10" i="12"/>
  <c r="C14" i="12"/>
  <c r="C18" i="12"/>
  <c r="C10" i="11"/>
  <c r="C14" i="11"/>
  <c r="C18" i="11"/>
  <c r="C5" i="11"/>
  <c r="C6" i="10"/>
  <c r="C10" i="10"/>
  <c r="C14" i="10"/>
  <c r="C18" i="10"/>
  <c r="C6" i="9"/>
  <c r="C10" i="9"/>
  <c r="C14" i="9"/>
  <c r="C18" i="9"/>
  <c r="C6" i="8"/>
  <c r="C10" i="8"/>
  <c r="C14" i="8"/>
  <c r="C18" i="8"/>
  <c r="C6" i="7"/>
  <c r="C10" i="7"/>
  <c r="C14" i="7"/>
  <c r="C18" i="7"/>
  <c r="C6" i="6"/>
  <c r="C10" i="6"/>
  <c r="C14" i="6"/>
  <c r="C18" i="6"/>
  <c r="C6" i="5"/>
  <c r="C10" i="5"/>
  <c r="C14" i="5"/>
  <c r="C18" i="5"/>
  <c r="C3" i="1"/>
  <c r="C16" i="1"/>
  <c r="C12" i="1"/>
  <c r="C7" i="1"/>
  <c r="C20" i="1"/>
  <c r="D5" i="31" l="1"/>
  <c r="D4" i="31"/>
  <c r="E3" i="31"/>
  <c r="D2" i="31"/>
</calcChain>
</file>

<file path=xl/sharedStrings.xml><?xml version="1.0" encoding="utf-8"?>
<sst xmlns="http://schemas.openxmlformats.org/spreadsheetml/2006/main" count="809" uniqueCount="374">
  <si>
    <t>Level</t>
    <phoneticPr fontId="1" type="noConversion"/>
  </si>
  <si>
    <t>Exp</t>
    <phoneticPr fontId="1" type="noConversion"/>
  </si>
  <si>
    <t>LvExp</t>
    <phoneticPr fontId="1" type="noConversion"/>
  </si>
  <si>
    <t>Hp</t>
    <phoneticPr fontId="1" type="noConversion"/>
  </si>
  <si>
    <t>Attack</t>
    <phoneticPr fontId="1" type="noConversion"/>
  </si>
  <si>
    <t>CriticAtt</t>
    <phoneticPr fontId="1" type="noConversion"/>
  </si>
  <si>
    <t>Defense</t>
    <phoneticPr fontId="1" type="noConversion"/>
  </si>
  <si>
    <t>Juqi</t>
    <phoneticPr fontId="1" type="noConversion"/>
  </si>
  <si>
    <t>ID</t>
    <phoneticPr fontId="1" type="noConversion"/>
  </si>
  <si>
    <t>ZoneID</t>
    <phoneticPr fontId="1" type="noConversion"/>
  </si>
  <si>
    <t>LevelID</t>
    <phoneticPr fontId="1" type="noConversion"/>
  </si>
  <si>
    <t>MaxHunli</t>
    <phoneticPr fontId="1" type="noConversion"/>
  </si>
  <si>
    <t>DropItem1</t>
    <phoneticPr fontId="1" type="noConversion"/>
  </si>
  <si>
    <t>DropItem2</t>
  </si>
  <si>
    <t>DropItem3</t>
  </si>
  <si>
    <t>JuQing</t>
    <phoneticPr fontId="1" type="noConversion"/>
  </si>
  <si>
    <t>BranchLeft</t>
    <phoneticPr fontId="1" type="noConversion"/>
  </si>
  <si>
    <t>BranchRight</t>
    <phoneticPr fontId="1" type="noConversion"/>
  </si>
  <si>
    <t>BranchTop</t>
    <phoneticPr fontId="1" type="noConversion"/>
  </si>
  <si>
    <t>BranchBottom</t>
    <phoneticPr fontId="1" type="noConversion"/>
  </si>
  <si>
    <t>Type</t>
    <phoneticPr fontId="1" type="noConversion"/>
  </si>
  <si>
    <t>normal</t>
  </si>
  <si>
    <t>normal</t>
    <phoneticPr fontId="1" type="noConversion"/>
  </si>
  <si>
    <t>孙悟空</t>
  </si>
  <si>
    <t>沙和尚</t>
  </si>
  <si>
    <t>龟丞相</t>
  </si>
  <si>
    <t>凌虚子</t>
  </si>
  <si>
    <t>黑熊精</t>
  </si>
  <si>
    <t>虎先锋</t>
  </si>
  <si>
    <t>黄风怪</t>
  </si>
  <si>
    <t>FightMon1</t>
    <phoneticPr fontId="1" type="noConversion"/>
  </si>
  <si>
    <t>FightMon2</t>
  </si>
  <si>
    <t>FightMon3</t>
  </si>
  <si>
    <t>guide</t>
    <phoneticPr fontId="1" type="noConversion"/>
  </si>
  <si>
    <t>guide</t>
    <phoneticPr fontId="1" type="noConversion"/>
  </si>
  <si>
    <t>NA</t>
  </si>
  <si>
    <t>NA</t>
    <phoneticPr fontId="1" type="noConversion"/>
  </si>
  <si>
    <t>locked</t>
  </si>
  <si>
    <t>locked</t>
    <phoneticPr fontId="1" type="noConversion"/>
  </si>
  <si>
    <t>normal</t>
    <phoneticPr fontId="1" type="noConversion"/>
  </si>
  <si>
    <t>normal</t>
    <phoneticPr fontId="1" type="noConversion"/>
  </si>
  <si>
    <t>LevelDesc</t>
    <phoneticPr fontId="1" type="noConversion"/>
  </si>
  <si>
    <t>巨灵神</t>
  </si>
  <si>
    <t>四大天王</t>
  </si>
  <si>
    <t>李靖</t>
  </si>
  <si>
    <t>二郎神</t>
  </si>
  <si>
    <t>玉帝</t>
  </si>
  <si>
    <t>太上老君</t>
  </si>
  <si>
    <t>如来</t>
  </si>
  <si>
    <t>辩经人</t>
  </si>
  <si>
    <t>禅师</t>
  </si>
  <si>
    <t>方丈</t>
  </si>
  <si>
    <t>试炼官</t>
  </si>
  <si>
    <t>李世民</t>
  </si>
  <si>
    <t>小偷</t>
  </si>
  <si>
    <t>观音化身</t>
  </si>
  <si>
    <t>豺狼</t>
  </si>
  <si>
    <t>兔精</t>
  </si>
  <si>
    <t>蓝兔精</t>
  </si>
  <si>
    <t>玉兔精</t>
  </si>
  <si>
    <t>菩萨化身</t>
  </si>
  <si>
    <t>猛虎</t>
  </si>
  <si>
    <t>观音试炼</t>
  </si>
  <si>
    <t>六意</t>
  </si>
  <si>
    <t>猎户试炼</t>
  </si>
  <si>
    <t>小青蛇</t>
  </si>
  <si>
    <t>青蛇</t>
  </si>
  <si>
    <t>白蛇</t>
  </si>
  <si>
    <t>小白龙</t>
  </si>
  <si>
    <t>白龙现身</t>
    <phoneticPr fontId="1" type="noConversion"/>
  </si>
  <si>
    <t>青蛇</t>
    <phoneticPr fontId="1" type="noConversion"/>
  </si>
  <si>
    <t>黑熊</t>
  </si>
  <si>
    <t>巨型黑熊</t>
  </si>
  <si>
    <t>黑熊侍卫</t>
    <phoneticPr fontId="1" type="noConversion"/>
  </si>
  <si>
    <t>猪刚鬣</t>
  </si>
  <si>
    <t>天蓬元帅</t>
  </si>
  <si>
    <t>乌巢禅师</t>
  </si>
  <si>
    <t>饿虎</t>
  </si>
  <si>
    <t>虎怪</t>
  </si>
  <si>
    <t>黑虎怪</t>
  </si>
  <si>
    <t>黄风守卫</t>
  </si>
  <si>
    <t>黄风将领</t>
  </si>
  <si>
    <t>黄风怪</t>
    <phoneticPr fontId="1" type="noConversion"/>
  </si>
  <si>
    <t>红鱼怪</t>
  </si>
  <si>
    <t>黄鱼怪</t>
  </si>
  <si>
    <t>沙怪</t>
  </si>
  <si>
    <t>红沙怪</t>
  </si>
  <si>
    <t>normal</t>
    <phoneticPr fontId="1" type="noConversion"/>
  </si>
  <si>
    <t>locked</t>
    <phoneticPr fontId="1" type="noConversion"/>
  </si>
  <si>
    <t>NA</t>
    <phoneticPr fontId="1" type="noConversion"/>
  </si>
  <si>
    <t>guide</t>
    <phoneticPr fontId="1" type="noConversion"/>
  </si>
  <si>
    <t>NA</t>
    <phoneticPr fontId="1" type="noConversion"/>
  </si>
  <si>
    <t>NA</t>
    <phoneticPr fontId="1" type="noConversion"/>
  </si>
  <si>
    <t>Fanshi</t>
    <phoneticPr fontId="1" type="noConversion"/>
  </si>
  <si>
    <t>CD</t>
    <phoneticPr fontId="1" type="noConversion"/>
  </si>
  <si>
    <t>Score1Reward</t>
    <phoneticPr fontId="1" type="noConversion"/>
  </si>
  <si>
    <t>Score2Reward</t>
  </si>
  <si>
    <t>Score3Reward</t>
  </si>
  <si>
    <t>Score4Reward</t>
  </si>
  <si>
    <t>AbsorbCardCD</t>
    <phoneticPr fontId="1" type="noConversion"/>
  </si>
  <si>
    <t>FabaoType1</t>
    <phoneticPr fontId="1" type="noConversion"/>
  </si>
  <si>
    <t>FabaoType2</t>
    <phoneticPr fontId="1" type="noConversion"/>
  </si>
  <si>
    <t>FabaoType3</t>
  </si>
  <si>
    <t>Star0_1CardNum</t>
    <phoneticPr fontId="1" type="noConversion"/>
  </si>
  <si>
    <t>Star1_2CardNum</t>
    <phoneticPr fontId="1" type="noConversion"/>
  </si>
  <si>
    <t>Star2_3CardNum</t>
    <phoneticPr fontId="1" type="noConversion"/>
  </si>
  <si>
    <t>Star3_4CardNum</t>
    <phoneticPr fontId="1" type="noConversion"/>
  </si>
  <si>
    <t>Star4_5CardNum</t>
    <phoneticPr fontId="1" type="noConversion"/>
  </si>
  <si>
    <t>CardID</t>
    <phoneticPr fontId="1" type="noConversion"/>
  </si>
  <si>
    <t>CardName</t>
    <phoneticPr fontId="1" type="noConversion"/>
  </si>
  <si>
    <t>MonsterID</t>
    <phoneticPr fontId="1" type="noConversion"/>
  </si>
  <si>
    <t>Name</t>
    <phoneticPr fontId="1" type="noConversion"/>
  </si>
  <si>
    <t>M_JuLingshen_20</t>
  </si>
  <si>
    <t>M_DuoLuozha_19|M_PiLiuli_19|M_PiShamen_19|M_LiuBocha_19</t>
  </si>
  <si>
    <t>M_JingZha_21|M_MuZha_21|M_NeZha_21|M_LiJing_22</t>
  </si>
  <si>
    <t>M_Xiaotianquan_23|M_Erlangshen_24</t>
  </si>
  <si>
    <t>M_Yudi_24|M_Wangmu_23</t>
  </si>
  <si>
    <t>M_LingbaoFashi_25|M_TaishangLaojun_25</t>
  </si>
  <si>
    <t>M_Rulai_60</t>
  </si>
  <si>
    <t>M_BianjingRen_1</t>
  </si>
  <si>
    <t>M_BianjingRen_2|M_BianjingRen_3|M_Chanshi_2|M_Chanshi_3</t>
  </si>
  <si>
    <t>M_Chanshi_1</t>
  </si>
  <si>
    <t>M_Chanshi_2|M_BianjingRen_2|M_BianjingRen_2|M_Chanshi_2|M_Fangzhang_3</t>
  </si>
  <si>
    <t>M_Fangzhang_2</t>
  </si>
  <si>
    <t>M_Fangzhang_2|M_Chanshi_3|M_BianjingRen_3|M_Fangzhang_3</t>
  </si>
  <si>
    <t>M_BianjingRen_4|M_BianjingRen_4|M_BianjingRen_5|M_Fangzhang_4|M_Fangzhang_5|M_Chanshi_4|M_Chanshi_4|M_ShilianGuan_4</t>
  </si>
  <si>
    <t>M_Chanshi_2|M_BianjingRen_2|M_BianjingRen_2|M_Fangzhang_2|M_Fangzhang_3|M_Fangzhang_4|M_ShilianGuan_4|M_ShilianGuan_4</t>
  </si>
  <si>
    <t>M_Fangzhang_2|M_BianjingRen_3|M_BianjingRen_3|M_Fangzhang_3|M_Chanshi_4|M_Fangzhang_4|M_ShilianGuan_4|M_ShilianGuan_5</t>
  </si>
  <si>
    <t>M_ShilianGuan_2</t>
  </si>
  <si>
    <t>M_ShilianGuan_2|M_BianjingRen_2|1_3|4_3|1_3</t>
  </si>
  <si>
    <t>M_ShilianGuan_2|M_BianjingRen_2|M_Fangzhang_3|M_Fangzhang_3|M_Chanshi_3|M_Chanshi_5|M_ShilianGuan_4|M_ShilianGuan_5</t>
  </si>
  <si>
    <t>M_Xiaotou_1|M_Xiaotou_1</t>
  </si>
  <si>
    <t>M_Xiaotou_3|M_BianjingRen_3|M_Chanshi_4|M_Fangzhang_4|M_ShilianGuan_3</t>
  </si>
  <si>
    <t>M_Xiaotou_3|M_Fangzhang_3|M_BianjingRen_4|M_Chanshi_4|M_ShilianGuan_3|M_ShilianGuan_4|M_ShilianGuan_5|M_ShilianGuan_5</t>
  </si>
  <si>
    <t>M_GuanyinHuashen1_1</t>
  </si>
  <si>
    <t>M_GuanyinHuashen1_3|M_Fangzhang_3|M_Fangzhang_4|M_Chanshi_4|M_Chanshi_4|M_ShilianGuan_5</t>
  </si>
  <si>
    <t>M_GuanyinHuashen1_3|M_Fangzhang_3|M_Chanshi_4|M_Chanshi_4|M_ShilianGuan_4|M_GuanyinHuashen1_4|M_ShilianGuan_5|M_GuanyinHuashen1_5</t>
  </si>
  <si>
    <t>M_GuanyinHuashen1_3</t>
  </si>
  <si>
    <t>M_GuanyinHuashen1_3|M_Fangzhang_4|M_Fangzhang_5|M_Chanshi_5|M_ShilianGuan_4</t>
  </si>
  <si>
    <t>M_GuanyinHuashen1_4|M_Fangzhang_5|M_Fangzhang_6|M_Fangzhang_6|M_Chanshi_5|M_ShilianGuan_8|M_ShilianGuan_8|M_ShilianGuan_8</t>
  </si>
  <si>
    <t>M_GuanyinHuashen1_3|M_GuanyinHuashen1_1|M_ShilianGuan_1</t>
  </si>
  <si>
    <t>M_GuanyinHuashen2_8|M_GuanyinHuashen1_8|M_ShilianGuan_9</t>
  </si>
  <si>
    <t>M_GuanyinHuashen2_8|M_GuanyinHuashen1_8|M_ShilianGuan_9|M_ShilianGuan_10|M_GuanyinHuashen2_10</t>
  </si>
  <si>
    <t>M_GuanyinHuashen2_9|M_GuanyinHuashen1_9|M_ShilianGuan_10</t>
  </si>
  <si>
    <t>M_GuanyinHuashen2_3|M_Fangzhang_4|M_ShilianGuan_6|M_Chanshi_4|M_Chanshi_5|M_ShilianGuan_4|M_ShilianGuan_5</t>
  </si>
  <si>
    <t>M_GuanyinHuashen1_12|M_GuanyinHuashen2_12</t>
  </si>
  <si>
    <t>M_GuanyinHuashen1_12|M_GuanyinHuashen1_12|M_GuanyinHuashen2_12|M_GuanyinHuashen2_12</t>
  </si>
  <si>
    <t>M_GuanyinHuashen1_13|M_GuanyinHuashen1_13|M_GuanyinHuashen1_13|M_GuanyinHuashen2_13|M_GuanyinHuashen2_13|M_ShilianGuan_13</t>
  </si>
  <si>
    <t>M_GuanyinHuashen1_13|M_GuanyinHuashen1_13|M_GuanyinHuashen2_12</t>
  </si>
  <si>
    <t>M_GuanyinHuashen1_14|M_GuanyinHuashen1_14|M_GuanyinHuashen2_14|M_GuanyinHuashen2_13</t>
  </si>
  <si>
    <t>M_GuanyinHuashen1_13|M_GuanyinHuashen1_13|M_GuanyinHuashen2_13|M_GuanyinHuashen2_13</t>
  </si>
  <si>
    <t>M_GuanyinHuashen2_9|M_GuanyinHuashen1_9|M_ShilianGuan_9|M_ShilianGuan_9|M_ShilianGuan_9</t>
  </si>
  <si>
    <t>M_GuanyinHuashen2_9|M_GuanyinHuashen2_9|M_GuanyinHuashen2_9|M_GuanyinHuashen1_9|M_ShilianGuan_9|M_ShilianGuan_9|M_ShilianGuan_9|M_ShilianGuan_9</t>
  </si>
  <si>
    <t>M_GuanyinHuashen2_16|M_GuanyinHuashen1_16|M_ShilianGuan_16</t>
  </si>
  <si>
    <t>M_GuanyinHuashen2_16|M_GuanyinHuashen2_16|M_GuanyinHuashen1_16|M_ShilianGuan_16|M_ShilianGuan_16</t>
  </si>
  <si>
    <t>M_GuanyinHuashen2_17|M_GuanyinHuashen2_17|M_GuanyinHuashen2_17|M_GuanyinHuashen1_16|M_GuanyinHuashen1_16|M_ShilianGuan_16|M_ShilianGuan_16|M_ShilianGuan_16</t>
  </si>
  <si>
    <t>M_GuanyinHuashen2_17|M_GuanyinHuashen2_16|M_GuanyinHuashen1_17|M_ShilianGuan_16</t>
  </si>
  <si>
    <t>M_GuanyinHuashen2_17|M_GuanyinHuashen2_17|M_GuanyinHuashen1_17|M_ShilianGuan_17|M_ShilianGuan_17|M_ShilianGuan_17</t>
  </si>
  <si>
    <t>M_GuanyinHuashen2_18|M_GuanyinHuashen2_18|M_GuanyinHuashen2_18|M_GuanyinHuashen1_18|M_GuanyinHuashen1_17|M_ShilianGuan_18|M_ShilianGuan_17|M_ShilianGuan_18</t>
  </si>
  <si>
    <t>M_Chailang_3</t>
  </si>
  <si>
    <t>M_Chailang_1|M_Chailang_2</t>
  </si>
  <si>
    <t>M_Chailang_11|M_Chailang_11|M_Chailang_11</t>
  </si>
  <si>
    <t>M_Chailang_12|M_Chailang_12|M_Chailang_12|M_Chailang_11|M_Chailang_11</t>
  </si>
  <si>
    <t>M_Chailang_13|M_Chailang_13|M_Chailang_13|M_Chailang_13|M_Chailang_13|M_Chailang_13|M_Chailang_13|M_Chailang_13</t>
  </si>
  <si>
    <t>M_Chailang_3|M_Chailang_4|M_Tujing_4|M_LanTujing_5</t>
  </si>
  <si>
    <t>M_Chailang_3|M_Chailang_3|M_Chailang_4|M_Tujing_4|M_Tujing_4|M_LanTujing_4</t>
  </si>
  <si>
    <t>M_Chailang_4|M_Chailang_5|M_Chailang_5|M_Tujing_6|M_Tujing_5|M_YuTujing_5|M_YuTujing_6|M_YuTujing_6</t>
  </si>
  <si>
    <t>M_GuanyinHuashen2_5|M_Fangzhang_6|M_Fangzhang_7|M_Chanshi_10|M_Chanshi_10|M_ShilianGuan_10|M_Pusa1_10|M_ShilianGuan_11</t>
  </si>
  <si>
    <t>M_Sunwukong_5</t>
  </si>
  <si>
    <t>M_Sunwukong_5|M_YuTujing_4|M_YuTujing_5|M_Housun_5|M_Housun_5</t>
  </si>
  <si>
    <t>M_Sunwukong_6|M_LanTujing_5|M_LanTujing_6|M_Housun_6|M_Housun_6|M_YuTujing_8|M_YuTujing_8|M_YuTujing_9</t>
  </si>
  <si>
    <t>M_Liehu_10|M_Menghu_10|M_Menghu_11</t>
  </si>
  <si>
    <t>M_Liehu_8|M_Liehu_8|M_Menghu_9|M_Menghu_10|M_Menghu_10</t>
  </si>
  <si>
    <t>M_Liehu_10|M_Liehu_10|M_Liehu_10|M_Liehu_12|M_Menghu_12|M_Menghu_12|M_Menghu_12|M_Menghu_12</t>
  </si>
  <si>
    <t>M_Liehu_11|M_Liehu_12|M_Liehu_12</t>
  </si>
  <si>
    <t>M_Liehu_11|M_Liehu_12|M_Liehu_12|M_Menghu_10|M_Menghu_10|M_Menghu_10|M_Menghu_10|M_Menghu_11</t>
  </si>
  <si>
    <t>M_Liehu_11|M_Liehu_11|M_Liehu_12|M_Liehu_12|M_Liehu_12|M_Menghu_12|M_Menghu_12|M_Menghu_13</t>
  </si>
  <si>
    <t>M_Liehu_12|M_Liehu_13|M_Liehu_13|M_Liehu_13</t>
  </si>
  <si>
    <t>M_Liehu_12|M_Liehu_13|M_Liehu_13|M_Liehu_10|M_Liehu_10|M_Liehu_10|M_Liehu_10</t>
  </si>
  <si>
    <t>M_Liehu_13|M_Liehu_13|M_Liehu_13|M_Liehu_13|M_Liehu_13|M_Liehu_13|M_Liehu_13|M_Liehu_13</t>
  </si>
  <si>
    <t>M_Liuyi_6</t>
  </si>
  <si>
    <t>M_Liuyi_5|M_Liuyi_5</t>
  </si>
  <si>
    <t>M_Liuyi_5|M_Liuyi_5|M_Liuyi_6|M_Liuyi_6</t>
  </si>
  <si>
    <t>M_XiaoQingshe_6|M_XiaoQingshe_6|M_XiaoQingshe_4</t>
  </si>
  <si>
    <t>Qingshe_8|M_Qingshe_7|M_XiaoQingshe_8</t>
  </si>
  <si>
    <t>M_XiaoQingshe_6|M_XiaoQingshe_6|M_Qingshe_6|M_Baishe_6|M_Baishe_6</t>
  </si>
  <si>
    <t>M_XiaoQingshe_7|M_XiaoQingshe_7|M_Qingshe_6|M_Qingshe_7|M_Baishe_6|M_Baishe_7</t>
  </si>
  <si>
    <t>M_Baishe_6|M_Qingshe_6|M_Baishe_5</t>
  </si>
  <si>
    <t>M_Baishe_7|M_Qingshe_6|M_Baishe_6|M_XiaoQingshe_6|M_XiaoQingshe_6</t>
  </si>
  <si>
    <t>M_Baishe_8|M_Baishe_8|M_Baishe_8|M_Qingshe_7|M_Baishe_6|M_XiaoQingshe_6|M_XiaoQingshe_7</t>
  </si>
  <si>
    <t>Qingshe_8|M_Baishe_7|M_Qingshe_8|M_XiaoQingshe_7</t>
  </si>
  <si>
    <t>M_Baishe_8|M_Qingshe_8|M_Baishe_7|M_XiaoQingshe_8|M_XiaoQingshe_8</t>
  </si>
  <si>
    <t>M_Baishe_9|M_Qingshe_8|M_Qingshe_8|M_Baishe_9|M_XiaoQingshe_8|M_Baishe_9|M_Baishe_9</t>
  </si>
  <si>
    <t>M_Baishe_9|M_Baishe_9|M_Qingshe_9|M_Qingshe_9|M_Baishe_9|M_XiaoQingshe_9|M_Baishe_9|M_Baishe_9</t>
  </si>
  <si>
    <t>M_Baishe_11|M_Baishe_10|M_Qingshe_10</t>
  </si>
  <si>
    <t>M_Baishe_12|M_Baishe_12|M_Baishe_12|M_Qingshe_12|M_Chailang_13</t>
  </si>
  <si>
    <t>M_Baishe_12|M_Baishe_12|M_Baishe_12|M_Baishe_12|M_Qingshe_12|M_Qingshe_12|M_Qingshe_12|M_Chailang_13</t>
  </si>
  <si>
    <t>M_Baishe_11|M_Baishe_11|M_Baishe_11</t>
  </si>
  <si>
    <t>M_Baishe_12|M_Baishe_12|M_Baishe_12|M_Baishe_12|M_Baishe_12|M_Baishe_12</t>
  </si>
  <si>
    <t>M_Baishe_13|M_Baishe_13|M_Baishe_13|M_Baishe_12|M_Baishe_12|M_Baishe_12|M_Baishe_12|M_Baishe_12</t>
  </si>
  <si>
    <t>YuTujing_12|M_YuTujing_11|M_Baishe_11|M_Baishe_11</t>
  </si>
  <si>
    <t>M_Guichengxiang_7|M_Baishe_6|M_Qingshe_6</t>
  </si>
  <si>
    <t>M_Guichengxiang_7|M_Baishe_7|M_Baishe_7|M_Baishe_7|M_Qingshe_7</t>
  </si>
  <si>
    <t>M_Guichengxiang_8|M_Baishe_8|M_Baishe_8|M_Baishe_8|M_Qingshe_8|M_Qingshe_8|M_Qingshe_8|M_Qingshe_8</t>
  </si>
  <si>
    <t>M_Guichengxiang_13|M_Baishe_14|M_Qingshe_14</t>
  </si>
  <si>
    <t>M_Guichengxiang_14|M_Baishe_15|M_Baishe_15|M_Qingshe_15|M_Qingshe_15</t>
  </si>
  <si>
    <t>M_Guichengxiang_15|M_Guichengxiang_15|M_Baishe_15|M_Baishe_15||M_Baishe_15|M_Qingshe_15|M_Qingshe_15</t>
  </si>
  <si>
    <t>M_Guichengxiang_14|M_Baishe_15|M_Baishe_15|M_Qingshe_15</t>
  </si>
  <si>
    <t>M_Guichengxiang_15|M_Baishe_16|M_Baishe_16|M_Qingshe_16|M_Qingshe_16|M_Qingshe_16</t>
  </si>
  <si>
    <t>M_Guichengxiang_16|M_Guichengxiang_15||M_Guichengxiang_15|M_Baishe_16|M_Baishe_16|M_Baishe_16|M_Qingshe_16|M_Qingshe_16</t>
  </si>
  <si>
    <t>M_XiaoM_Bailong_8|M_Baishe_6|M_Baishe_7</t>
  </si>
  <si>
    <t>M_XiaoM_Bailong_8|M_XiaoM_Bailong_7|M_Baishe_8|M_Baishe_8</t>
  </si>
  <si>
    <t>M_XiaoM_Bailong_8|M_XiaoM_Bailong_7|M_Baishe_8|M_Baishe_8|M_Baishe_8|M_Baishe_8|M_Baishe_8</t>
  </si>
  <si>
    <t>M_Bailong_8|M_Baishe_7|M_Baishe_7</t>
  </si>
  <si>
    <t>M_Bailong_8|M_XiaoM_Bailong_8|M_XiaoM_Bailong_8|M_Baishe_8|M_Baishe_8</t>
  </si>
  <si>
    <t>M_Bailong_9|M_XiaoM_Bailong_9|M_XiaoM_Bailong_9|M_Baishe_8|M_Baishe_8|M_Baishe_8|M_Baishe_8|M_Baishe_8</t>
  </si>
  <si>
    <t>M_Heixiong_9|M_Baishe_8|M_Qingshe_8|M_Baishe_7</t>
  </si>
  <si>
    <t>M_Heixiong_9|M_Heixiong_9|M_Heixiong_9|M_Baishe_8|M_Qingshe_8|M_Baishe_9</t>
  </si>
  <si>
    <t>M_Heixiong_10|M_Heixiong_10|M_Heixiong_10|M_Baishe_9|M_Baishe_9|M_Baishe_9|M_Qingshe_9|M_Baishe_10</t>
  </si>
  <si>
    <t>M_JuxingHeixiong_9|M_Heixiong_9|M_Heixiong_9|M_Heixiong_9</t>
  </si>
  <si>
    <t>M_JuxingHeixiong_9|M_JuxingHeixiong_9|M_Heixiong_9|M_Heixiong_9|M_Heixiong_9|M_Heixiong_9</t>
  </si>
  <si>
    <t>M_JuxingHeixiong_10|M_JuxingHeixiong_10|M_JuxingHeixiong_10|M_Heixiong_10|M_Heixiong_10|M_Heixiong_9|M_Heixiong_9|M_Baishe_9</t>
  </si>
  <si>
    <t>M_HeixiongShiwei_10|M_HeixiongShiwei_9|M_JuxingHeixiong_9</t>
  </si>
  <si>
    <t>M_HeixiongShiwei_10|M_HeixiongShiwei_10|M_JuxingHeixiong_10|M_Heixiong_10|M_Heixiong_10</t>
  </si>
  <si>
    <t>M_HeixiongShiwei_10|M_HeixiongShiwei_10|M_JuxingHeixiong_10|M_JuxingHeixiong_9</t>
  </si>
  <si>
    <t>M_HeixiongShiwei_11|M_HeixiongShiwei_11|M_JuxingHeixiong_11|M_JuxingHeixiong_11|M_Heixiong_11</t>
  </si>
  <si>
    <t>M_Heixiongjing_10|M_HeixiongShiwei_10|M_HeixiongShiwei_10|M_JuxingHeixiong_10</t>
  </si>
  <si>
    <t>M_Heixiongjing_11|M_Heixiongjing_11|M_HeixiongShiwei_11|M_HeixiongShiwei_11|M_JuxingHeixiong_11</t>
  </si>
  <si>
    <t>M_Lingxuzi_9|M_JuxingHeixiong_9|M_Heixiong_9|M_Heixiong_9</t>
  </si>
  <si>
    <t>M_Lingxuzi_9|M_Lingxuzi_9|M_Lingxuzi_10|M_JuxingHeixiong_9|M_Heixiong_9|M_Heixiong_9</t>
  </si>
  <si>
    <t>M_Lingxuzi_10|M_Lingxuzi_10|M_Lingxuzi_10|M_JuxingHeixiong_10|M_JuxingHeixiong_10|M_Heixiong_9|M_Heixiong_9|M_Heixiong_10</t>
  </si>
  <si>
    <t>M_Lingxuzi_10|M_JuxingHeixiong_9|M_JuxingHeixiong_10|M_Heixiong_9</t>
  </si>
  <si>
    <t>M_Lingxuzi_10|M_Lingxuzi_10|M_JuxingHeixiong_10|M_JuxingHeixiong_10|M_JuxingHeixiong_10|M_Heixiong_9</t>
  </si>
  <si>
    <t>M_Lingxuzi_11|M_Lingxuzi_11|M_JuxingHeixiong_11|M_JuxingHeixiong_10|M_JuxingHeixiong_10|M_JuxingHeixiong_10|M_Heixiong_10|M_Heixiong_10</t>
  </si>
  <si>
    <t>M_Lingxuzi_11|M_Lingxuzi_11|M_Lingxuzi_11|M_HeixiongShiwei_10|M_HeixiongShiwei_10|M_JuxingHeixiong_10|M_Heixiong_10|M_Heixiong_10</t>
  </si>
  <si>
    <t>M_Lingxuzi_12|M_Lingxuzi_12|M_Lingxuzi_12|M_HeixiongShiwei_11|M_HeixiongShiwei_11|M_JuxingHeixiong_12|M_JuxingHeixiong_11|M_Heixiong_12</t>
  </si>
  <si>
    <t>M_Heixiongjing_12|M_Heixiongjing_12|M_Lingxuzi_12|M_Lingxuzi_12|M_Lingxuzi_12|M_HeixiongShiwei_12|M_HeixiongShiwei_11|M_JuxingHeixiong_11</t>
  </si>
  <si>
    <t>M_ZhuGanglie_12|M_Baishe_12|M_Baishe_11|M_Baishe_11</t>
  </si>
  <si>
    <t>M_ZhuGanglie_13|M_ZhuGanglie_12|M_ZhuGanglie_12|M_Baishe_12|M_Baishe_12|M_Baishe_12</t>
  </si>
  <si>
    <t>M_ZhuGanglie_14|M_ZhuGanglie_13|M_ZhuGanglie_13|M_Baishe_13|M_Baishe_13|M_Baishe_13|M_Baishe_13|M_Baishe_13</t>
  </si>
  <si>
    <t>M_ZhuGanglie_17|M_Baishe_17|M_Baishe_17|M_Baishe_17</t>
  </si>
  <si>
    <t>M_ZhuGanglie_18|M_ZhuGanglie_18|M_ZhuGanglie_18|M_Baishe_18|M_Baishe_18|M_Baishe_18|M_Baishe_18</t>
  </si>
  <si>
    <t>M_ZhuGanglie_19|M_ZhuGanglie_19|M_ZhuGanglie_19|M_ZhuGanglie_19|M_Baishe_19|M_Baishe_19|M_Baishe_19|M_Baishe_19</t>
  </si>
  <si>
    <t>M_ZhuGanglie_18|M_ZhuGanglie_18|M_Baishe_18|M_Baishe_17|M_Baishe_18</t>
  </si>
  <si>
    <t>M_ZhuGanglie_19|M_ZhuGanglie_19|M_Baishe_19|M_Baishe_19|M_Baishe_19|M_Baishe_19</t>
  </si>
  <si>
    <t>M_ZhuGanglie_20|M_ZhuGanglie_20|M_ZhuGanglie_20|M_ZhuGanglie_20|M_Baishe_20|M_Baishe_20|M_Baishe_20|M_Baishe_20</t>
  </si>
  <si>
    <t>M_ZhuGanglie_18|M_ZhuGanglie_18|M_ZhuGanglie_18|M_Baishe_18|M_Baishe_17</t>
  </si>
  <si>
    <t>M_ZhuGanglie_19|M_ZhuGanglie_19|M_ZhuGanglie_19|M_ZhuGanglie_19|M_ZhuGanglie_19|M_Baishe_19|M_Baishe_19|M_Baishe_19</t>
  </si>
  <si>
    <t>M_TianpengYuanshuai_13|M_YuTujing_13|M_YuTujing_13</t>
  </si>
  <si>
    <t>M_TianpengYuanshuai_14|M_TianpengYuanshuai_13|M_TianpengYuanshuai_13|M_YuTujing_13|M_YuTujing_13|M_YuTujing_13</t>
  </si>
  <si>
    <t>M_TianpengYuanshuai_14|M_TianpengYuanshuai_14|M_TianpengYuanshuai_14|M_TianpengYuanshuai_14|M_YuTujing_14|M_YuTujing_14|M_YuTujing_14|M_YuTujing_14</t>
  </si>
  <si>
    <t>M_TianpengYuanshuai_20|M_TianpengYuanshuai_20|M_TianpengYuanshuai_20|M_ZhuGanglie_20|M_ZhuGanglie_20|M_ZhuGanglie_20|M_ZhuGanglie_20|M_ZhuGanglie_20</t>
  </si>
  <si>
    <t>M_TianpengYuanshuai_18|M_ZhuGanglie_18|M_ZhuGanglie_18|M_Baishe_18</t>
  </si>
  <si>
    <t>M_TianpengYuanshuai_19|M_TianpengYuanshuai_19|M_ZhuGanglie_19|M_ZhuGanglie_19|M_Baishe_20</t>
  </si>
  <si>
    <t>M_TianpengYuanshuai_20|M_TianpengYuanshuai_20|M_TianpengYuanshuai_20|M_ZhuGanglie_20|M_ZhuGanglie_20|M_ZhuGanglie_20|M_ZhuGanglie_20|M_Baishe_20</t>
  </si>
  <si>
    <t>M_TianpengYuanshuai_19|M_TianpengYuanshuai_18|M_TianpengYuanshuai_18|M_TianpengYuanshuai_18</t>
  </si>
  <si>
    <t>M_TianpengYuanshuai_20|M_TianpengYuanshuai_20|M_TianpengYuanshuai_20|M_TianpengYuanshuai_20|M_TianpengYuanshuai_20|M_TianpengYuanshuai_20|M_TianpengYuanshuai_20|M_TianpengYuanshuai_20</t>
  </si>
  <si>
    <t>M_WuchaoChanshi_13|M_ShilianGuan_14|M_ShilianGuan_14</t>
  </si>
  <si>
    <t>M_WuchaoChanshi_14|M_WuchaoChanshi_14|M_GuanyinHuashen2_14|M_GuanyinHuashen2_14|M_WuchaoChanshi_14|M_ShilianGuan_14</t>
  </si>
  <si>
    <t>M_WuchaoChanshi_15|M_WuchaoChanshi_15|M_WuchaoChanshi_15|M_GuanyinHuashen2_15|M_GuanyinHuashen2_15|M_GuanyinHuashen1_15|M_ShilianGuan_15|M_ShilianGuan_15</t>
  </si>
  <si>
    <t>M_WuchaoChanshi_13|M_ShilianGuan_15|M_ShilianGuan_15|M_ShilianGuan_14</t>
  </si>
  <si>
    <t>M_WuchaoChanshi_16|M_WuchaoChanshi_16|M_WuchaoChanshi_16|M_GuanyinHuashen2_16|M_GuanyinHuashen2_16|M_ShilianGuan_16|M_ShilianGuan_16|M_ShilianGuan_16</t>
  </si>
  <si>
    <t>M_Huguai_13|M_Huguai_13|M_Menghu_13|M_Menghu_13|M_Chailang_13</t>
  </si>
  <si>
    <t>M_Huguai_14|M_Huguai_13|M_Menghu_13|M_Menghu_14|M_Menghu_14|M_Chailang_13</t>
  </si>
  <si>
    <t>M_Huguai_14|M_Huguai_14|M_Huguai_14|M_Menghu_14|M_Menghu_14|M_Menghu_14|M_Chailang_14|M_Chailang_14</t>
  </si>
  <si>
    <t>M_Heihuguai_13|M_Heihuguai_13|M_Huguai_13|M_Huguai_13|M_Menghu_13</t>
  </si>
  <si>
    <t>M_Heihuguai_14|M_Heihuguai_13|M_Heihuguai_13|M_Huguai_14|M_Huguai_14|M_Menghu_14</t>
  </si>
  <si>
    <t>M_Heihuguai_14|M_Heihuguai_14|M_Heihuguai_14|M_Heihuguai_14|M_Heihuguai_14|M_Huguai_14|M_Huguai_14|M_Menghu_14</t>
  </si>
  <si>
    <t>M_Huxianfeng_13|M_Heihuguai_14|M_Heihuguai_13|M_Heihuguai_13|M_Huguai_13</t>
  </si>
  <si>
    <t>M_Huxianfeng_15|M_Huxianfeng_14|M_Huxianfeng_14|M_Heihuguai_14|M_Heihuguai_14|M_Heihuguai_14|M_Heihuguai_14|M_Huguai_14</t>
  </si>
  <si>
    <t>M_HuangfengShouwei_14|M_HuangfengShouwei_13|M_Heihuguai_14|M_Heihuguai_13|M_Heihuguai_13</t>
  </si>
  <si>
    <t>M_HuangfengShouwei_14|M_HuangfengShouwei_14|M_HuangfengShouwei_14|M_Heihuguai_14|M_Heihuguai_14|M_Heihuguai_14</t>
  </si>
  <si>
    <t>M_HuangfengShouwei_14|M_HuangfengShouwei_14|M_HuangfengJiangling_14|M_HuangfengShouwei_14|M_HuangfengJiangling_14|M_Heihuguai_14|M_Heihuguai_14|M_Heihuguai_14</t>
  </si>
  <si>
    <t>M_HuangfengJiangling_14|M_HuangfengJiangling_14|M_HuangfengShouwei_14|M_HuangfengShouwei_14|M_Heihuguai_14</t>
  </si>
  <si>
    <t>M_HuangfengJiangling_15|M_HuangfengJiangling_15|M_HuangfengJiangling_15|M_HuangfengShouwei_15|M_HuangfengShouwei_15|M_HuangfengShouwei_15|M_Heihuguai_15|M_Heihuguai_15</t>
  </si>
  <si>
    <t>M_HuangfengGuai_14|M_HuangfengJiangling_14|M_HuangfengJiangling_14|M_HuangfengShouwei_14|M_HuangfengShouwei_14</t>
  </si>
  <si>
    <t>M_HuangfengGuai_16|M_HuangfengGuai_16|M_HuangfengGuai_15|M_HuangfengGuai_15|M_HuangfengJiangling_15|M_HuangfengJiangling_15|M_HuangfengShouwei_15|M_HuangfengShouwei_15</t>
  </si>
  <si>
    <t>M_HuangfengGuai_15|M_HuangfengJiangling_15|M_HuangfengJiangling_15|M_HuangfengShouwei_15|M_HuangfengShouwei_15</t>
  </si>
  <si>
    <t>M_HuangfengGuai_19|M_Huxianfeng_19|M_HuangfengJiangling_19|M_HuangfengJiangling_19</t>
  </si>
  <si>
    <t>M_HuangfengGuai_20|M_HuangfengGuai_20|M_Huxianfeng_19|M_Huxianfeng_19|M_HuangfengJiangling_20|M_HuangfengJiangling_19</t>
  </si>
  <si>
    <t>M_HuangfengGuai_20|M_HuangfengGuai_20|M_HuangfengGuai_20|M_Huxianfeng_20|M_Huxianfeng_20|M_HuangfengJiangling_20|M_HuangfengJiangling_20|M_HuangfengJiangling_20</t>
  </si>
  <si>
    <t>M_HuangfengGuai_19|M_HuangfengGuai_19|M_HuangfengGuai_19|M_Huxianfeng_19|M_Huxianfeng_19</t>
  </si>
  <si>
    <t>M_HuangfengGuai_20|M_HuangfengGuai_20|M_HuangfengGuai_19|M_HuangfengGuai_19|M_Huxianfeng_19|M_Huxianfeng_20</t>
  </si>
  <si>
    <t>M_HuangfengGuai_20|M_HuangfengGuai_20|M_HuangfengGuai_20|M_HuangfengGuai_20|M_Huxianfeng_20|M_Huxianfeng_20|M_Huxianfeng_20|M_Huxianfeng_20</t>
  </si>
  <si>
    <t>M_HuangfengGuai_20|M_HuangfengGuai_20|M_HuangfengGuai_19|M_Huxianfeng_20|M_Huxianfeng_19</t>
  </si>
  <si>
    <t>M_HuangfengGuai_21|M_HuangfengGuai_20|M_HuangfengGuai_20|M_Huxianfeng_20|M_Huxianfeng_19|M_Huxianfeng_20</t>
  </si>
  <si>
    <t>M_HuangfengGuai_21|M_HuangfengGuai_21|M_HuangfengGuai_21|M_HuangfengGuai_21|M_Huxianfeng_21|M_Huxianfeng_21|M_Huxianfeng_21|M_Huxianfeng_21</t>
  </si>
  <si>
    <t>M_HongyuGuai_15|M_HongyuGuai_15|M_HongyuGuai_15|M_HongyuGuai_15|M_HongyuGuai_15</t>
  </si>
  <si>
    <t>M_HongyuGuai_16|M_HongyuGuai_16|M_HongyuGuai_16|M_HongyuGuai_16|M_HuangyuGuai_15|M_HuangyuGuai_15|M_HongyuGuai_15</t>
  </si>
  <si>
    <t>M_HongyuGuai_16|M_HongyuGuai_16|M_HongyuGuai_16|M_HongyuGuai_16|M_HuangyuGuai_16|M_HuangyuGuai_16|M_HuangyuGuai_16|M_HuangyuGuai_16</t>
  </si>
  <si>
    <t>M_HuangyuGuai_15|M_HuangyuGuai_15|M_HuangyuGuai_15|M_HongyuGuai_15|M_HongyuGuai_15|M_HongyuGuai_15</t>
  </si>
  <si>
    <t>M_HuangyuGuai_16|M_HuangyuGuai_16|M_HuangyuGuai_16|M_HongyuGuai_16|M_HongyuGuai_16|M_Shaguai_16</t>
  </si>
  <si>
    <t>M_HuangyuGuai_17|M_HuangyuGuai_17|M_HuangyuGuai_17|M_HongyuGuai_17|M_HongyuGuai_17|M_Shaguai_17|M_Shaguai_17|M_Shaguai_17</t>
  </si>
  <si>
    <t>M_Shaguai_16|M_Shaguai_16|M_HuangyuGuai_15|M_HuangyuGuai_15|M_HongyuGuai_15</t>
  </si>
  <si>
    <t>M_Shaguai_16|M_Shaguai_16|M_Shaguai_16|M_Shaguai_16|M_HuangyuGuai_16|M_HuangyuGuai_16|M_HongyuGuai_16</t>
  </si>
  <si>
    <t>M_Shaguai_18|M_Shaguai_17|M_HongshaGuai_17|M_HongshaGuai_17|M_HongshaGuai_17|M_HuangyuGuai_17|M_HongyuGuai_17|M_HongyuGuai_17</t>
  </si>
  <si>
    <t>M_HongshaGuai_16|M_HongshaGuai_16|M_HongshaGuai_16|M_Shaguai_16|M_Shaguai_16</t>
  </si>
  <si>
    <t>M_HongshaGuai_17|M_HongshaGuai_17|M_HongshaGuai_16|M_HongshaGuai_16|M_HongshaGuai_16|M_Shaguai_17|M_Shaguai_17</t>
  </si>
  <si>
    <t>M_HongshaGuai_18|M_HongshaGuai_18|M_HongshaGuai_17|M_HongshaGuai_17|M_HongshaGuai_17|M_HongshaGuai_17|M_Shaguai_17|M_Shaguai_17</t>
  </si>
  <si>
    <t>M_ShaHeshang_16|M_HongshaGuai_16|M_HongshaGuai_16|M_HongshaGuai_16|M_Shaguai_16</t>
  </si>
  <si>
    <t>M_ShaHeshang_17|M_ShaHeshang_17|M_HongshaGuai_18|M_HongshaGuai_18|M_HongshaGuai_18|M_Shaguai_18|M_Shaguai_18</t>
  </si>
  <si>
    <t>M_ShaHeshang_18|M_ShaHeshang_18|M_HongshaGuai_18|M_HongshaGuai_18|M_HongshaGuai_18|M_Shaguai_18|M_Shaguai_18|M_Shaguai_18</t>
  </si>
  <si>
    <t>M_ShaHeshang_17|M_HongshaGuai_17|M_HongshaGuai_17|M_HongshaGuai_17|M_Shaguai_17</t>
  </si>
  <si>
    <t>M_ShaHeshang_18|M_ShaHeshang_18|M_HongshaGuai_19|M_HongshaGuai_19|M_HongshaGuai_18|M_Shaguai_19</t>
  </si>
  <si>
    <t>M_ShaHeshang_19|M_ShaHeshang_19|M_ShaHeshang_19|M_ShaHeshang_19|M_HongshaGuai_19|M_HongshaGuai_19|M_HongshaGuai_19|M_Shaguai_19</t>
  </si>
  <si>
    <t>M_Tujing_3|M_Tujing_1</t>
    <phoneticPr fontId="1" type="noConversion"/>
  </si>
  <si>
    <t>M_LanTujing_4</t>
    <phoneticPr fontId="1" type="noConversion"/>
  </si>
  <si>
    <t>M_YuTujing_3</t>
    <phoneticPr fontId="1" type="noConversion"/>
  </si>
  <si>
    <t>M_Pusa1_3</t>
    <phoneticPr fontId="1" type="noConversion"/>
  </si>
  <si>
    <t>M_Menghu_3|M_Chailang_3</t>
    <phoneticPr fontId="1" type="noConversion"/>
  </si>
  <si>
    <t>M_Menghu_3|M_Menghu_3|M_Chailang_3</t>
    <phoneticPr fontId="1" type="noConversion"/>
  </si>
  <si>
    <t>M_Menghu_3|M_Menghu_3|M_Chailang_4</t>
    <phoneticPr fontId="1" type="noConversion"/>
  </si>
  <si>
    <t>M_Tujing_5|M_Tujing_5</t>
    <phoneticPr fontId="1" type="noConversion"/>
  </si>
  <si>
    <t>M_LanTujing_5|M_LanTujing_5|M_Tujing_4</t>
    <phoneticPr fontId="1" type="noConversion"/>
  </si>
  <si>
    <t>M_YuTujing_5|M_YuTujing_6</t>
    <phoneticPr fontId="1" type="noConversion"/>
  </si>
  <si>
    <t>M_Qingshe_6|M_Qingshe_5|M_YuTujing_6</t>
    <phoneticPr fontId="1" type="noConversion"/>
  </si>
  <si>
    <t>M_Menghu_12|M_Menghu_12|M_Menghu_12|M_Chailang_13|M_Chailang_11</t>
    <phoneticPr fontId="1" type="noConversion"/>
  </si>
  <si>
    <t>M_GuanyinHuashen2_9|M_GuanyinHuashen1_9|M_GuanyinHuashen1_10|M_ShilianGuan_10|M_ShilianGuan_10|M_GuanyinHuashen2_10|M_ShilianGuan_10|M_GuanyinHuashen2_11</t>
    <phoneticPr fontId="1" type="noConversion"/>
  </si>
  <si>
    <t>M_Tujing_3|M_Tujing_3|M_Chailang_4|M_Chailang_4|M_LanTujing_4|M_LanTujing_5</t>
    <phoneticPr fontId="1" type="noConversion"/>
  </si>
  <si>
    <t>M_LanTujing_4|M_LanTujing_3|M_Tujing_4|M_Chailang_4|M_Chailang_5|M_Tujing_5</t>
    <phoneticPr fontId="1" type="noConversion"/>
  </si>
  <si>
    <t>M_YuTujing_3|M_LanTujing_3|M_Chailang_4|M_LanTujing_5</t>
    <phoneticPr fontId="1" type="noConversion"/>
  </si>
  <si>
    <t>M_Pusa1_3|M_Fangzhang_3|M_Fangzhang_4|M_Chanshi_5|M_ShilianGuan_5</t>
    <phoneticPr fontId="1" type="noConversion"/>
  </si>
  <si>
    <t>M_Menghu_3|M_Chailang_3|M_Tujing_4|M_Tujing_4|M_LanTujing_5|M_YuTujing_5</t>
    <phoneticPr fontId="1" type="noConversion"/>
  </si>
  <si>
    <t>M_Menghu_3|M_Menghu_3|M_Chailang_4|M_Tujing_5|M_Tujing_5|M_YuTujing_6</t>
    <phoneticPr fontId="1" type="noConversion"/>
  </si>
  <si>
    <t>M_Menghu_3|M_Menghu_4|M_Chailang_5|M_Tujing_5|M_LanTujing_6|M_YuTujing_6</t>
    <phoneticPr fontId="1" type="noConversion"/>
  </si>
  <si>
    <t>M_GuanyinHuashen1_15|M_GuanyinHuashen1_14|M_GuanyinHuashen1_14|M_GuanyinHuashen2_14|M_GuanyinHuashen2_14|M_GuanyinHuashen2_14|M_ShilianGuan_14|M_ShilianGuan_15</t>
    <phoneticPr fontId="1" type="noConversion"/>
  </si>
  <si>
    <t>M_Tujing_5|M_Tujing_5|M_Tujing_5|M_Tujing_5</t>
    <phoneticPr fontId="1" type="noConversion"/>
  </si>
  <si>
    <t>M_LanTujing_5|M_LanTujing_5|M_LanTujing_5|M_LanTujing_5|M_Tujing_4</t>
    <phoneticPr fontId="1" type="noConversion"/>
  </si>
  <si>
    <t>M_YuTujing_6|M_YuTujing_6|M_LanTujing_5|M_LanTujing_6|M_LanTujing_6</t>
    <phoneticPr fontId="1" type="noConversion"/>
  </si>
  <si>
    <t>M_Qingshe_7|M_Qingshe_7|M_YuTujing_7|M_XiaoQingshe_6|M_Qingshe_6</t>
    <phoneticPr fontId="1" type="noConversion"/>
  </si>
  <si>
    <t>M_Qingshe_8|M_Qingshe_8|M_XiaoQingshe_8|M_Baishe_8|M_Baishe_8</t>
    <phoneticPr fontId="1" type="noConversion"/>
  </si>
  <si>
    <t>M_Qingshe_9|M_Baishe_9|M_Baishe_9|M_Qingshe_9|M_XiaoQingshe_9</t>
    <phoneticPr fontId="1" type="noConversion"/>
  </si>
  <si>
    <t>M_YuTujing_13|M_YuTujing_12|M_YuTujing_13|M_Baishe_12|M_Baishe_12|M_Baishe_12</t>
    <phoneticPr fontId="1" type="noConversion"/>
  </si>
  <si>
    <t>M_WuchaoChanshi_15|M_WuchaoChanshi_15|M_GuanyinHuashen2_15|M_GuanyinHuashen2_15|M_ShilianGuan_15|M_ShilianGuan_15|M_ShilianGuan_15</t>
    <phoneticPr fontId="1" type="noConversion"/>
  </si>
  <si>
    <t>M_TianpengYuanshuai_19|M_TianpengYuanshuai_19|M_TianpengYuanshuai_19|M_TianpengYuanshuai_19|M_TianpengYuanshuai_19|M_TianpengYuanshuai_19</t>
    <phoneticPr fontId="1" type="noConversion"/>
  </si>
  <si>
    <t>M_Menghu_12|M_Menghu_13|M_Menghu_13|M_Menghu_12|M_Chailang_13|M_Chailang_13</t>
    <phoneticPr fontId="1" type="noConversion"/>
  </si>
  <si>
    <t>M_HuangfengJiangling_15|M_HuangfengJiangling_15|M_HuangfengShouwei_14|M_HuangfengShouwei_14|M_HuangfengShouwei_14|M_Heihuguai_15|M_Heihuguai_15</t>
    <phoneticPr fontId="1" type="noConversion"/>
  </si>
  <si>
    <t>M_HuangfengGuai_15|M_HuangfengGuai_15|M_HuangfengJiangling_15|M_HuangfengJiangling_15|M_HuangfengShouwei_15|M_HuangfengShouwei_15</t>
    <phoneticPr fontId="1" type="noConversion"/>
  </si>
  <si>
    <t>M_HuangfengGuai_16|M_HuangfengGuai_16|M_HuangfengGuai_16|M_HuangfengJiangling_16|M_HuangfengJiangling_16|M_HuangfengShouwei_16|M_HuangfengShouwei_16</t>
    <phoneticPr fontId="1" type="noConversion"/>
  </si>
  <si>
    <t>M_Huxianfeng_14|M_Huxianfeng_14|M_Heihuguai_14|M_Heihuguai_14|M_Heihuguai_14|M_Huguai_14</t>
    <phoneticPr fontId="1" type="noConversion"/>
  </si>
  <si>
    <t>M_HuangfengGuai_17|M_HuangfengGuai_16|M_Huxianfeng_17|M_Huxianfeng_16|M_HuangfengJiangling_17|M_HuangfengJiangling_17|M_HuangfengShouwei_16|M_HuangfengShouwei_16</t>
    <phoneticPr fontId="1" type="noConversion"/>
  </si>
  <si>
    <t>M_GuanyinHuashen2_10|M_GuanyinHuashen2_10|M_GuanyinHuashen1_10|M_GuanyinHuashen1_12|M_Fangzhang_12|M_ShilianGuan_12|M_Fangzhang_12|M_ShilianGuan_12</t>
    <phoneticPr fontId="1" type="noConversion"/>
  </si>
  <si>
    <t>M_GuanyinHuashen2_11|M_GuanyinHuashen2_11|M_GuanyinHuashen1_12|M_GuanyinHuashen1_12|M_ShilianGuan_12|M_ShilianGuan_12|M_ShilianGuan_12|M_ShilianGuan_13</t>
    <phoneticPr fontId="1" type="noConversion"/>
  </si>
  <si>
    <t>M_Chailang_4|M_Chailang_4|M_Tujing_5|M_Tujing_5|M_LanTujing_5|M_LanTujing_5|M_YuTujing_7|M_YuTujing_7</t>
    <phoneticPr fontId="1" type="noConversion"/>
  </si>
  <si>
    <t>M_Tujing_4|M_Tujing_4|M_Tujing_5|M_LanTujing_5|M_Chailang_5|M_Chailang_6|M_YuTujing_7|M_YuTujing_7</t>
    <phoneticPr fontId="1" type="noConversion"/>
  </si>
  <si>
    <t>M_LanTujing_5|M_LanTujing_4|M_Tujing_5|M_Chailang_5|M_Chailang_6|M_Tujing_6|M_YuTujing_7|M_YuTujing_7</t>
    <phoneticPr fontId="1" type="noConversion"/>
  </si>
  <si>
    <t>M_YuTujing_4|M_LanTujing_4|M_Chailang_5|M_Chailang_6|M_Menghu_5|M_YuTujing_5|M_Menghu_7|M_Menghu_7</t>
    <phoneticPr fontId="1" type="noConversion"/>
  </si>
  <si>
    <t>M_Pusa1_6|M_Fangzhang_6|M_Fangzhang_7|M_Chanshi_8|M_Chanshi_8|M_ShilianGuan_9|M_ShilianGuan_10|M_Pusa1_10</t>
    <phoneticPr fontId="1" type="noConversion"/>
  </si>
  <si>
    <t>M_Menghu_4|M_Menghu_4|M_Chailang_5|M_Chailang_5|M_LanTujing_6|M_LanTujing_6|M_YuTujing_8|M_YuTujing_8</t>
    <phoneticPr fontId="1" type="noConversion"/>
  </si>
  <si>
    <t>M_Menghu_4|M_Menghu_4|M_Menghu_5|M_Chailang_6|M_Chailang_6|M_LanTujing_7|M_YuTujing_8|M_YuTujing_8</t>
    <phoneticPr fontId="1" type="noConversion"/>
  </si>
  <si>
    <t>M_Menghu_4|M_Menghu_4|M_Menghu_6|M_Chailang_6|M_Chailang_7|M_LanTujing_7|M_YuTujing_8|M_YuTujing_8</t>
    <phoneticPr fontId="1" type="noConversion"/>
  </si>
  <si>
    <t>M_GuanyinHuashen1_14|M_GuanyinHuashen1_14|M_GuanyinHuashen1_14|M_GuanyinHuashen2_14|M_GuanyinHuashen2_14|M_GuanyinHuashen2_13|M_ShilianGuan_14|M_ShilianGuan_14</t>
    <phoneticPr fontId="1" type="noConversion"/>
  </si>
  <si>
    <t>M_GuanyinHuashen1_16|M_GuanyinHuashen1_16|M_GuanyinHuashen1_15|M_GuanyinHuashen2_16|M_GuanyinHuashen2_16|M_GuanyinHuashen2_14|M_ShilianGuan_15|M_ShilianGuan_16</t>
    <phoneticPr fontId="1" type="noConversion"/>
  </si>
  <si>
    <t>M_Tujing_5|M_Tujing_5|M_Tujing_5|M_Tujing_5|M_Tujing_5|M_Tujing_6|M_Tujing_6|M_Tujing_6</t>
    <phoneticPr fontId="1" type="noConversion"/>
  </si>
  <si>
    <t>M_LanTujing_6|M_LanTujing_6|M_LanTujing_5|M_LanTujing_5|M_Tujing_5|M_Tujing_5</t>
    <phoneticPr fontId="1" type="noConversion"/>
  </si>
  <si>
    <t>M_YuTujing_7|M_YuTujing_6|M_LanTujing_6|M_LanTujing_7|M_LanTujing_6|M_Tujing_5</t>
    <phoneticPr fontId="1" type="noConversion"/>
  </si>
  <si>
    <t>M_Qingshe_8|M_Qingshe_8|M_Baishe_8|M_XiaoQingshe_6|M_Qingshe_6|M_Baishe_8|M_Baishe_8</t>
    <phoneticPr fontId="1" type="noConversion"/>
  </si>
  <si>
    <t>M_Qingshe_9|M_Qingshe_9|M_XiaoQingshe_9|M_Baishe_9|M_Baishe_9|M_Baishe_9|M_Baishe_9|M_Baishe_9</t>
    <phoneticPr fontId="1" type="noConversion"/>
  </si>
  <si>
    <t>M_Qingshe_10|M_Qingshe_9|M_Baishe_9|M_Baishe_10|M_Baishe_9|M_Qingshe_9|M_XiaoQingshe_9|M_XiaoQingshe_9</t>
    <phoneticPr fontId="1" type="noConversion"/>
  </si>
  <si>
    <t>M_YuTujing_13|M_YuTujing_13|M_YuTujing_13|M_YuTujing_13|M_YuTujing_13|M_Baishe_13|M_Baishe_12|M_Baishe_13</t>
    <phoneticPr fontId="1" type="noConversion"/>
  </si>
  <si>
    <t>M_Menghu_13|M_Menghu_13|M_Menghu_13|M_Menghu_13|M_Chailang_13|M_Chailang_13|M_Chailang_13|M_Chailang_13</t>
    <phoneticPr fontId="1" type="noConversion"/>
  </si>
  <si>
    <t>RecoverHPSpeed</t>
    <phoneticPr fontId="1" type="noConversion"/>
  </si>
  <si>
    <t>ReviveTime</t>
    <phoneticPr fontId="1" type="noConversion"/>
  </si>
  <si>
    <t>JuqiExp</t>
    <phoneticPr fontId="1" type="noConversion"/>
  </si>
  <si>
    <t>FightCardNum1</t>
    <phoneticPr fontId="1" type="noConversion"/>
  </si>
  <si>
    <t>FightCardNum2</t>
    <phoneticPr fontId="1" type="noConversion"/>
  </si>
  <si>
    <t>FightCardNum3</t>
    <phoneticPr fontId="1" type="noConversion"/>
  </si>
  <si>
    <t>FabaoTaken1</t>
    <phoneticPr fontId="1" type="noConversion"/>
  </si>
  <si>
    <t>FabaoTaken2</t>
  </si>
  <si>
    <t>FabaoTaken3</t>
  </si>
  <si>
    <t>白衣观音</t>
  </si>
  <si>
    <t>杨柳观音</t>
  </si>
  <si>
    <t>灵吉菩萨</t>
    <phoneticPr fontId="1" type="noConversion"/>
  </si>
  <si>
    <t>悟空六意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</si>
</sst>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333333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58" fontId="0" fillId="0" borderId="0" xfId="0" applyNumberFormat="1"/>
    <xf numFmtId="0" fontId="0" fillId="0" borderId="0" xfId="0" applyFill="1"/>
    <xf numFmtId="0" fontId="0" fillId="3" borderId="0" xfId="0" applyFill="1"/>
    <xf numFmtId="0" fontId="0" fillId="4" borderId="0" xfId="0" applyFill="1"/>
    <xf numFmtId="0" fontId="2" fillId="2" borderId="0" xfId="0" applyFont="1" applyFill="1"/>
    <xf numFmtId="0" fontId="4" fillId="0" borderId="0" xfId="0" applyFon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619125</xdr:colOff>
          <xdr:row>3</xdr:row>
          <xdr:rowOff>28575</xdr:rowOff>
        </xdr:from>
        <xdr:to>
          <xdr:col>9</xdr:col>
          <xdr:colOff>238125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4618;&#29289;&#31561;&#32423;&#37197;&#32622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6631;&#20934;&#25968;&#20540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1345;&#29260;&#31561;&#32423;&#37197;&#3262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怪物卡牌表"/>
      <sheetName val="沙和尚"/>
      <sheetName val="红沙怪"/>
      <sheetName val="沙怪"/>
      <sheetName val="黄鱼怪"/>
      <sheetName val="红鱼怪"/>
      <sheetName val="黄风怪"/>
      <sheetName val="黄风将领"/>
      <sheetName val="黄风守卫"/>
      <sheetName val="虎先锋"/>
      <sheetName val="黑虎怪"/>
      <sheetName val="虎怪"/>
      <sheetName val="乌巢禅师"/>
      <sheetName val="天蓬元帅"/>
      <sheetName val="猪刚鬣"/>
      <sheetName val="黑熊精"/>
      <sheetName val="黑熊侍卫"/>
      <sheetName val="凌虚子"/>
      <sheetName val="巨型黑熊"/>
      <sheetName val="黑熊"/>
      <sheetName val="白龙"/>
      <sheetName val="小白龙"/>
      <sheetName val="龟丞相"/>
      <sheetName val="白蛇"/>
      <sheetName val="青蛇"/>
      <sheetName val="小青蛇"/>
      <sheetName val="六意"/>
      <sheetName val="猎户"/>
      <sheetName val="孙悟空"/>
      <sheetName val="猴孙"/>
      <sheetName val="猛虎"/>
      <sheetName val="菩萨1"/>
      <sheetName val="玉兔精"/>
      <sheetName val="蓝兔精"/>
      <sheetName val="兔精"/>
      <sheetName val="豺狼"/>
      <sheetName val="观音化身2"/>
      <sheetName val="观音化身1"/>
      <sheetName val="小偷"/>
      <sheetName val="试炼官"/>
      <sheetName val="方丈"/>
      <sheetName val="禅师"/>
      <sheetName val="辩经人"/>
      <sheetName val="如来"/>
      <sheetName val="太上老君"/>
      <sheetName val="灵宝法师"/>
      <sheetName val="玉帝"/>
      <sheetName val="王母"/>
      <sheetName val="二郎神"/>
      <sheetName val="哮天犬"/>
      <sheetName val="哪咤"/>
      <sheetName val="木吒"/>
      <sheetName val="金吒"/>
      <sheetName val="李靖"/>
      <sheetName val="毗沙门"/>
      <sheetName val="留博叉"/>
      <sheetName val="毗琉璃"/>
      <sheetName val="多罗吒"/>
      <sheetName val="巨灵神"/>
    </sheetNames>
    <sheetDataSet>
      <sheetData sheetId="0"/>
      <sheetData sheetId="1"/>
      <sheetData sheetId="2"/>
      <sheetData sheetId="3">
        <row r="2">
          <cell r="A2" t="str">
            <v>M_JuLingshen</v>
          </cell>
          <cell r="B2" t="str">
            <v>巨灵神</v>
          </cell>
          <cell r="C2" t="str">
            <v>C_BossAttack</v>
          </cell>
          <cell r="E2" t="str">
            <v>F_Xuanhuabanfu</v>
          </cell>
        </row>
        <row r="3">
          <cell r="A3" t="str">
            <v>M_DuoLuozha</v>
          </cell>
          <cell r="B3" t="str">
            <v>多罗吒</v>
          </cell>
          <cell r="C3" t="str">
            <v>C_BossRecover</v>
          </cell>
          <cell r="E3" t="str">
            <v>F_Xianbingpipa</v>
          </cell>
        </row>
        <row r="4">
          <cell r="A4" t="str">
            <v>M_PiLiuli</v>
          </cell>
          <cell r="B4" t="str">
            <v>毗琉璃</v>
          </cell>
          <cell r="C4" t="str">
            <v>C_BossAttack</v>
          </cell>
          <cell r="E4" t="str">
            <v>F_Tiangwangbaojian</v>
          </cell>
        </row>
        <row r="5">
          <cell r="A5" t="str">
            <v>M_LiuBocha</v>
          </cell>
          <cell r="B5" t="str">
            <v>留博叉</v>
          </cell>
          <cell r="C5" t="str">
            <v>C_BossAgile</v>
          </cell>
          <cell r="E5" t="str">
            <v>F_Chilong</v>
          </cell>
        </row>
        <row r="6">
          <cell r="A6" t="str">
            <v>M_PiShamen</v>
          </cell>
          <cell r="B6" t="str">
            <v>毗沙门</v>
          </cell>
          <cell r="C6" t="str">
            <v>C_BossDefense</v>
          </cell>
          <cell r="E6" t="str">
            <v>F_Baopan</v>
          </cell>
          <cell r="G6" t="str">
            <v>F_Yinshu</v>
          </cell>
        </row>
        <row r="7">
          <cell r="A7" t="str">
            <v>M_LiJing</v>
          </cell>
          <cell r="B7" t="str">
            <v>李靖</v>
          </cell>
          <cell r="C7" t="str">
            <v>C_BossAgile</v>
          </cell>
          <cell r="E7" t="str">
            <v>F_Qiqiaolinglongta</v>
          </cell>
        </row>
        <row r="8">
          <cell r="A8" t="str">
            <v>M_JingZha</v>
          </cell>
          <cell r="B8" t="str">
            <v>金吒</v>
          </cell>
          <cell r="C8" t="str">
            <v>C_BossDefense</v>
          </cell>
          <cell r="E8" t="str">
            <v>F_Dunlongzhu</v>
          </cell>
        </row>
        <row r="9">
          <cell r="A9" t="str">
            <v>M_MuZha</v>
          </cell>
          <cell r="B9" t="str">
            <v>木吒</v>
          </cell>
          <cell r="C9" t="str">
            <v>C_BossRecover</v>
          </cell>
          <cell r="E9" t="str">
            <v>F_Wugoushuangjian</v>
          </cell>
        </row>
        <row r="10">
          <cell r="A10" t="str">
            <v>M_NeZha</v>
          </cell>
          <cell r="B10" t="str">
            <v>哪咤</v>
          </cell>
          <cell r="C10" t="str">
            <v>C_BossAttack</v>
          </cell>
          <cell r="E10" t="str">
            <v>F_Huojianqiang</v>
          </cell>
          <cell r="G10" t="str">
            <v>F_Qiankunquan</v>
          </cell>
          <cell r="I10" t="str">
            <v>F_Huntianling</v>
          </cell>
        </row>
        <row r="11">
          <cell r="A11" t="str">
            <v>M_Erlangshen</v>
          </cell>
          <cell r="B11" t="str">
            <v>二郎神</v>
          </cell>
          <cell r="C11" t="str">
            <v>C_BossAgile</v>
          </cell>
          <cell r="E11" t="str">
            <v>F_Sanjianliangrendao</v>
          </cell>
        </row>
        <row r="12">
          <cell r="A12" t="str">
            <v>M_Xiaotianquan</v>
          </cell>
          <cell r="B12" t="str">
            <v>哮天犬</v>
          </cell>
          <cell r="C12" t="str">
            <v>C_BossAttack</v>
          </cell>
          <cell r="E12" t="str">
            <v>F_Tianquanya</v>
          </cell>
        </row>
        <row r="13">
          <cell r="A13" t="str">
            <v>M_Yudi</v>
          </cell>
          <cell r="B13" t="str">
            <v>玉帝</v>
          </cell>
          <cell r="C13" t="str">
            <v>C_BossDefense</v>
          </cell>
          <cell r="E13" t="str">
            <v>F_Yudilongpao</v>
          </cell>
          <cell r="G13" t="str">
            <v>F_Lingxiaobaodian</v>
          </cell>
        </row>
        <row r="14">
          <cell r="A14" t="str">
            <v>M_Wangmu</v>
          </cell>
          <cell r="B14" t="str">
            <v>王母</v>
          </cell>
          <cell r="C14" t="str">
            <v>C_BossRecover</v>
          </cell>
          <cell r="E14" t="str">
            <v>F_Wangmuhongling</v>
          </cell>
          <cell r="G14" t="str">
            <v>F_Yaochi</v>
          </cell>
        </row>
        <row r="15">
          <cell r="A15" t="str">
            <v>M_TaishangLaojun</v>
          </cell>
          <cell r="B15" t="str">
            <v>太上老君</v>
          </cell>
          <cell r="C15" t="str">
            <v>C_BossAgile</v>
          </cell>
          <cell r="E15" t="str">
            <v>F_Jingangzhuo</v>
          </cell>
        </row>
        <row r="16">
          <cell r="A16" t="str">
            <v>M_LingbaoFashi</v>
          </cell>
          <cell r="B16" t="str">
            <v xml:space="preserve">灵宝法师 </v>
          </cell>
          <cell r="C16" t="str">
            <v>C_BossAgile</v>
          </cell>
          <cell r="E16" t="str">
            <v>F_Luohunzhong</v>
          </cell>
        </row>
        <row r="17">
          <cell r="A17" t="str">
            <v>M_Rulai</v>
          </cell>
          <cell r="B17" t="str">
            <v>如来</v>
          </cell>
          <cell r="C17" t="str">
            <v>C_BossAgile</v>
          </cell>
          <cell r="E17" t="str">
            <v>F_Foguang</v>
          </cell>
          <cell r="G17" t="str">
            <v>F_Rulainianzhu</v>
          </cell>
          <cell r="I17" t="str">
            <v>F_Jinshenwuzhi</v>
          </cell>
        </row>
        <row r="18">
          <cell r="A18" t="str">
            <v>M_BianjingRen</v>
          </cell>
          <cell r="B18" t="str">
            <v>辩经人</v>
          </cell>
          <cell r="C18" t="str">
            <v>C_PutongDefense</v>
          </cell>
        </row>
        <row r="19">
          <cell r="A19" t="str">
            <v>M_Chanshi</v>
          </cell>
          <cell r="B19" t="str">
            <v>禅师</v>
          </cell>
          <cell r="C19" t="str">
            <v>C_PutongRecover</v>
          </cell>
        </row>
        <row r="20">
          <cell r="A20" t="str">
            <v>M_Fangzhang</v>
          </cell>
          <cell r="B20" t="str">
            <v>方丈</v>
          </cell>
          <cell r="C20" t="str">
            <v>C_PutongAgile</v>
          </cell>
        </row>
        <row r="21">
          <cell r="A21" t="str">
            <v>M_ShilianGuan</v>
          </cell>
          <cell r="B21" t="str">
            <v>试炼官</v>
          </cell>
          <cell r="C21" t="str">
            <v>C_JingyingAttack</v>
          </cell>
        </row>
        <row r="22">
          <cell r="A22" t="str">
            <v>M_Xiaotou</v>
          </cell>
          <cell r="B22" t="str">
            <v>小偷</v>
          </cell>
          <cell r="C22" t="str">
            <v>C_PutongAttack</v>
          </cell>
        </row>
        <row r="23">
          <cell r="A23" t="str">
            <v>M_GuanyinHuashen1</v>
          </cell>
          <cell r="B23" t="str">
            <v>观音化身1</v>
          </cell>
          <cell r="C23" t="str">
            <v>C_JingyingAgile</v>
          </cell>
        </row>
        <row r="24">
          <cell r="A24" t="str">
            <v>M_GuanyinHuashen2</v>
          </cell>
          <cell r="B24" t="str">
            <v>观音化身2</v>
          </cell>
          <cell r="C24" t="str">
            <v>C_BossAgile</v>
          </cell>
        </row>
        <row r="25">
          <cell r="A25" t="str">
            <v>M_Chailang</v>
          </cell>
          <cell r="B25" t="str">
            <v>豺狼</v>
          </cell>
          <cell r="C25" t="str">
            <v>C_PutongAttack</v>
          </cell>
        </row>
        <row r="26">
          <cell r="A26" t="str">
            <v>M_Tujing</v>
          </cell>
          <cell r="B26" t="str">
            <v>兔精</v>
          </cell>
          <cell r="C26" t="str">
            <v>C_PutongAgile</v>
          </cell>
        </row>
        <row r="27">
          <cell r="A27" t="str">
            <v>M_LanTujing</v>
          </cell>
          <cell r="B27" t="str">
            <v>蓝兔精</v>
          </cell>
          <cell r="C27" t="str">
            <v>C_PutongAgile</v>
          </cell>
        </row>
        <row r="28">
          <cell r="A28" t="str">
            <v>M_YuTujing</v>
          </cell>
          <cell r="B28" t="str">
            <v>玉兔精</v>
          </cell>
          <cell r="C28" t="str">
            <v>C_JingyingAgile</v>
          </cell>
        </row>
        <row r="29">
          <cell r="A29" t="str">
            <v>M_Pusa1</v>
          </cell>
          <cell r="B29" t="str">
            <v>菩萨1</v>
          </cell>
          <cell r="C29" t="str">
            <v>C_BossAgile</v>
          </cell>
        </row>
        <row r="30">
          <cell r="A30" t="str">
            <v>M_Menghu</v>
          </cell>
          <cell r="B30" t="str">
            <v>猛虎</v>
          </cell>
          <cell r="C30" t="str">
            <v>C_JingyingAttack</v>
          </cell>
        </row>
        <row r="31">
          <cell r="A31" t="str">
            <v>M_Housun</v>
          </cell>
          <cell r="B31" t="str">
            <v>猴孙</v>
          </cell>
          <cell r="C31" t="str">
            <v>C_JingyingAttack</v>
          </cell>
        </row>
        <row r="32">
          <cell r="A32" t="str">
            <v>M_Sunwukong</v>
          </cell>
          <cell r="B32" t="str">
            <v>孙悟空</v>
          </cell>
          <cell r="C32" t="str">
            <v>C_BossAttack</v>
          </cell>
          <cell r="E32" t="str">
            <v>F_Jingubang</v>
          </cell>
        </row>
        <row r="33">
          <cell r="A33" t="str">
            <v>M_Liehu</v>
          </cell>
          <cell r="B33" t="str">
            <v>猎户</v>
          </cell>
          <cell r="C33" t="str">
            <v>C_JingyingAttack</v>
          </cell>
        </row>
        <row r="34">
          <cell r="A34" t="str">
            <v>M_Liuyi</v>
          </cell>
          <cell r="B34" t="str">
            <v>六意</v>
          </cell>
          <cell r="C34" t="str">
            <v>C_BossAttack</v>
          </cell>
          <cell r="E34" t="str">
            <v>F_Jingubang</v>
          </cell>
        </row>
        <row r="35">
          <cell r="A35" t="str">
            <v>M_XiaoQingshe</v>
          </cell>
          <cell r="B35" t="str">
            <v>小青蛇</v>
          </cell>
          <cell r="C35" t="str">
            <v>C_PutongAttack</v>
          </cell>
        </row>
        <row r="36">
          <cell r="A36" t="str">
            <v>M_Qingshe</v>
          </cell>
          <cell r="B36" t="str">
            <v>青蛇</v>
          </cell>
          <cell r="C36" t="str">
            <v>C_PutongAttack</v>
          </cell>
        </row>
        <row r="37">
          <cell r="A37" t="str">
            <v>M_Baishe</v>
          </cell>
          <cell r="B37" t="str">
            <v>白蛇</v>
          </cell>
          <cell r="C37" t="str">
            <v>C_JingyingAttack</v>
          </cell>
        </row>
        <row r="38">
          <cell r="A38" t="str">
            <v>M_Guichengxiang</v>
          </cell>
          <cell r="B38" t="str">
            <v>龟丞相</v>
          </cell>
          <cell r="C38" t="str">
            <v>C_BossDefense</v>
          </cell>
        </row>
        <row r="39">
          <cell r="A39" t="str">
            <v>M_XiaoBailong</v>
          </cell>
          <cell r="B39" t="str">
            <v>小白龙</v>
          </cell>
          <cell r="C39" t="str">
            <v>C_JingyingAgile</v>
          </cell>
          <cell r="E39" t="str">
            <v>F_Yulongyinqiang</v>
          </cell>
        </row>
        <row r="40">
          <cell r="A40" t="str">
            <v>M_Bailong</v>
          </cell>
          <cell r="B40" t="str">
            <v>白龙</v>
          </cell>
          <cell r="C40" t="str">
            <v>C_BossAgile</v>
          </cell>
          <cell r="E40" t="str">
            <v>F_Longling</v>
          </cell>
        </row>
        <row r="41">
          <cell r="A41" t="str">
            <v>M_Heixiong</v>
          </cell>
          <cell r="B41" t="str">
            <v>黑熊</v>
          </cell>
          <cell r="C41" t="str">
            <v>C_PutongAttack</v>
          </cell>
        </row>
        <row r="42">
          <cell r="A42" t="str">
            <v>M_JuxingHeixiong</v>
          </cell>
          <cell r="B42" t="str">
            <v>巨型黑熊</v>
          </cell>
          <cell r="C42" t="str">
            <v>C_JingyingAttack</v>
          </cell>
        </row>
        <row r="43">
          <cell r="A43" t="str">
            <v>M_Lingxuzi</v>
          </cell>
          <cell r="B43" t="str">
            <v>凌虚子</v>
          </cell>
          <cell r="C43" t="str">
            <v>C_BossAgile</v>
          </cell>
        </row>
        <row r="44">
          <cell r="A44" t="str">
            <v>M_HeixiongShiwei</v>
          </cell>
          <cell r="B44" t="str">
            <v>黑熊侍卫</v>
          </cell>
          <cell r="C44" t="str">
            <v>C_JingyingAttack</v>
          </cell>
        </row>
        <row r="45">
          <cell r="A45" t="str">
            <v>M_Heixiongjing</v>
          </cell>
          <cell r="B45" t="str">
            <v>黑熊精</v>
          </cell>
          <cell r="C45" t="str">
            <v>C_BossAttack</v>
          </cell>
        </row>
        <row r="46">
          <cell r="A46" t="str">
            <v>M_ZhuGanglie</v>
          </cell>
          <cell r="B46" t="str">
            <v>猪刚鬣</v>
          </cell>
          <cell r="C46" t="str">
            <v>C_JingyingAttack</v>
          </cell>
          <cell r="E46" t="str">
            <v>F_Jiuchidingpa</v>
          </cell>
        </row>
        <row r="47">
          <cell r="A47" t="str">
            <v>M_TianpengYuanshuai</v>
          </cell>
          <cell r="B47" t="str">
            <v>天蓬元帅</v>
          </cell>
          <cell r="C47" t="str">
            <v>C_BossAttack</v>
          </cell>
          <cell r="E47" t="str">
            <v>F_Yuanshuaizhanpao</v>
          </cell>
        </row>
        <row r="48">
          <cell r="A48" t="str">
            <v>M_WuchaoChanshi</v>
          </cell>
          <cell r="B48" t="str">
            <v>乌巢禅师</v>
          </cell>
          <cell r="C48" t="str">
            <v>C_BossAgile</v>
          </cell>
        </row>
        <row r="49">
          <cell r="A49" t="str">
            <v>M_Huguai</v>
          </cell>
          <cell r="B49" t="str">
            <v>虎怪</v>
          </cell>
          <cell r="C49" t="str">
            <v>C_PutongAttack</v>
          </cell>
        </row>
        <row r="50">
          <cell r="A50" t="str">
            <v>M_Heihuguai</v>
          </cell>
          <cell r="B50" t="str">
            <v>黑虎怪</v>
          </cell>
          <cell r="C50" t="str">
            <v>C_JingyingAttack</v>
          </cell>
        </row>
        <row r="51">
          <cell r="A51" t="str">
            <v>M_Huxianfeng</v>
          </cell>
          <cell r="B51" t="str">
            <v>虎先锋</v>
          </cell>
          <cell r="C51" t="str">
            <v>C_BossAttack</v>
          </cell>
          <cell r="E51" t="str">
            <v>F_Dingfengzhu</v>
          </cell>
        </row>
        <row r="52">
          <cell r="A52" t="str">
            <v>M_HuangfengShouwei</v>
          </cell>
          <cell r="B52" t="str">
            <v>黄风守卫</v>
          </cell>
          <cell r="C52" t="str">
            <v>C_JingyingDefense</v>
          </cell>
        </row>
        <row r="53">
          <cell r="A53" t="str">
            <v>M_HuangfengJiangling</v>
          </cell>
          <cell r="B53" t="str">
            <v>黄风将领</v>
          </cell>
          <cell r="C53" t="str">
            <v>C_JingyingAttack</v>
          </cell>
        </row>
        <row r="54">
          <cell r="A54" t="str">
            <v>M_HuangfengGuai</v>
          </cell>
          <cell r="B54" t="str">
            <v>黄风怪</v>
          </cell>
          <cell r="C54" t="str">
            <v>C_BossAgile</v>
          </cell>
          <cell r="E54" t="str">
            <v>F_Dingfengzhu</v>
          </cell>
        </row>
        <row r="55">
          <cell r="A55" t="str">
            <v>M_HongyuGuai</v>
          </cell>
          <cell r="B55" t="str">
            <v>红鱼怪</v>
          </cell>
          <cell r="C55" t="str">
            <v>C_PutongAttack</v>
          </cell>
        </row>
        <row r="56">
          <cell r="A56" t="str">
            <v>M_HuangyuGuai</v>
          </cell>
          <cell r="B56" t="str">
            <v>黄鱼怪</v>
          </cell>
          <cell r="C56" t="str">
            <v>C_PutongAttack</v>
          </cell>
        </row>
        <row r="57">
          <cell r="A57" t="str">
            <v>M_Shaguai</v>
          </cell>
          <cell r="B57" t="str">
            <v>沙怪</v>
          </cell>
          <cell r="C57" t="str">
            <v>C_PutongAttack</v>
          </cell>
        </row>
        <row r="58">
          <cell r="A58" t="str">
            <v>M_HongshaGuai</v>
          </cell>
          <cell r="B58" t="str">
            <v>红沙怪</v>
          </cell>
          <cell r="C58" t="str">
            <v>C_JingyingAttack</v>
          </cell>
        </row>
        <row r="59">
          <cell r="A59" t="str">
            <v>M_ShaHeshang</v>
          </cell>
          <cell r="B59" t="str">
            <v>沙和尚</v>
          </cell>
          <cell r="C59" t="str">
            <v>C_BossAgile</v>
          </cell>
          <cell r="E59" t="str">
            <v>F_Yueyachan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设计与公式"/>
      <sheetName val="玩家卡牌配置表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</sheetNames>
    <sheetDataSet>
      <sheetData sheetId="0"/>
      <sheetData sheetId="1">
        <row r="2">
          <cell r="B2" t="str">
            <v>C_TangSangzang</v>
          </cell>
          <cell r="C2" t="str">
            <v>唐三藏</v>
          </cell>
        </row>
        <row r="3">
          <cell r="B3" t="str">
            <v>C_SunWukong</v>
          </cell>
          <cell r="C3" t="str">
            <v>孙悟空</v>
          </cell>
        </row>
        <row r="4">
          <cell r="B4" t="str">
            <v>C_ZhuBajie</v>
          </cell>
          <cell r="C4" t="str">
            <v>猪八戒</v>
          </cell>
        </row>
        <row r="5">
          <cell r="B5" t="str">
            <v>C_ShaHeshang</v>
          </cell>
          <cell r="C5" t="str">
            <v>沙和尚</v>
          </cell>
        </row>
        <row r="6">
          <cell r="B6" t="str">
            <v>C_BaiLongma</v>
          </cell>
          <cell r="C6" t="str">
            <v>小白龙</v>
          </cell>
        </row>
        <row r="7">
          <cell r="B7" t="str">
            <v>C_LiuBoxin</v>
          </cell>
          <cell r="C7" t="str">
            <v>猎户刘伯钦</v>
          </cell>
        </row>
        <row r="8">
          <cell r="B8" t="str">
            <v>C_WukongLiuyi</v>
          </cell>
          <cell r="C8" t="str">
            <v>悟空六意</v>
          </cell>
        </row>
        <row r="9">
          <cell r="B9" t="str">
            <v>C_GuiChengxiang</v>
          </cell>
          <cell r="C9" t="str">
            <v>龟丞相</v>
          </cell>
        </row>
        <row r="10">
          <cell r="B10" t="str">
            <v>C_LingXuzi</v>
          </cell>
          <cell r="C10" t="str">
            <v>凌虚子</v>
          </cell>
        </row>
        <row r="11">
          <cell r="B11" t="str">
            <v>C_HeiXiongjing</v>
          </cell>
          <cell r="C11" t="str">
            <v>黑熊精</v>
          </cell>
        </row>
        <row r="12">
          <cell r="B12" t="str">
            <v>C_HuXianfeng</v>
          </cell>
          <cell r="C12" t="str">
            <v>虎先锋</v>
          </cell>
        </row>
        <row r="13">
          <cell r="B13" t="str">
            <v>C_HuangFengguai</v>
          </cell>
          <cell r="C13" t="str">
            <v>黄风怪</v>
          </cell>
        </row>
      </sheetData>
      <sheetData sheetId="2"/>
      <sheetData sheetId="3"/>
      <sheetData sheetId="4"/>
      <sheetData sheetId="5">
        <row r="2">
          <cell r="B2">
            <v>1</v>
          </cell>
          <cell r="D2" t="str">
            <v>F_Zijinboyu</v>
          </cell>
          <cell r="F2" t="str">
            <v>Fo</v>
          </cell>
          <cell r="H2" t="str">
            <v>Fo</v>
          </cell>
          <cell r="I2">
            <v>1</v>
          </cell>
          <cell r="J2">
            <v>4</v>
          </cell>
          <cell r="K2">
            <v>12</v>
          </cell>
          <cell r="L2">
            <v>20</v>
          </cell>
          <cell r="M2">
            <v>40</v>
          </cell>
        </row>
        <row r="3">
          <cell r="B3">
            <v>1</v>
          </cell>
          <cell r="D3" t="str">
            <v>Fo</v>
          </cell>
          <cell r="F3" t="str">
            <v>F_Jingubang</v>
          </cell>
          <cell r="H3" t="str">
            <v>Sha</v>
          </cell>
          <cell r="I3">
            <v>1</v>
          </cell>
          <cell r="J3">
            <v>4</v>
          </cell>
          <cell r="K3">
            <v>12</v>
          </cell>
          <cell r="L3">
            <v>20</v>
          </cell>
          <cell r="M3">
            <v>40</v>
          </cell>
        </row>
        <row r="4">
          <cell r="B4">
            <v>1</v>
          </cell>
          <cell r="D4" t="str">
            <v>F_Jiuchidingpa</v>
          </cell>
          <cell r="F4" t="str">
            <v>Fo</v>
          </cell>
          <cell r="H4" t="str">
            <v>Fo</v>
          </cell>
          <cell r="I4">
            <v>1</v>
          </cell>
          <cell r="J4">
            <v>4</v>
          </cell>
          <cell r="K4">
            <v>12</v>
          </cell>
          <cell r="L4">
            <v>20</v>
          </cell>
          <cell r="M4">
            <v>40</v>
          </cell>
        </row>
        <row r="5">
          <cell r="B5">
            <v>1</v>
          </cell>
          <cell r="D5" t="str">
            <v>F_Yueyachan</v>
          </cell>
          <cell r="F5" t="str">
            <v>Xian</v>
          </cell>
          <cell r="H5" t="str">
            <v>Fo</v>
          </cell>
          <cell r="I5">
            <v>1</v>
          </cell>
          <cell r="J5">
            <v>4</v>
          </cell>
          <cell r="K5">
            <v>12</v>
          </cell>
          <cell r="L5">
            <v>20</v>
          </cell>
          <cell r="M5">
            <v>40</v>
          </cell>
        </row>
        <row r="6">
          <cell r="B6">
            <v>1</v>
          </cell>
          <cell r="D6" t="str">
            <v>Fo</v>
          </cell>
          <cell r="F6" t="str">
            <v>Xian</v>
          </cell>
          <cell r="H6" t="str">
            <v>Sha</v>
          </cell>
          <cell r="I6">
            <v>1</v>
          </cell>
          <cell r="J6">
            <v>4</v>
          </cell>
          <cell r="K6">
            <v>12</v>
          </cell>
          <cell r="L6">
            <v>20</v>
          </cell>
          <cell r="M6">
            <v>40</v>
          </cell>
        </row>
        <row r="7">
          <cell r="B7">
            <v>1</v>
          </cell>
          <cell r="D7" t="str">
            <v>Sha</v>
          </cell>
          <cell r="F7" t="str">
            <v>Xian</v>
          </cell>
          <cell r="H7" t="str">
            <v>Sha</v>
          </cell>
          <cell r="I7">
            <v>1</v>
          </cell>
          <cell r="J7">
            <v>4</v>
          </cell>
          <cell r="K7">
            <v>12</v>
          </cell>
          <cell r="L7">
            <v>20</v>
          </cell>
          <cell r="M7">
            <v>40</v>
          </cell>
        </row>
        <row r="8">
          <cell r="B8">
            <v>1</v>
          </cell>
          <cell r="D8" t="str">
            <v>Fo</v>
          </cell>
          <cell r="F8" t="str">
            <v>Xian</v>
          </cell>
          <cell r="H8" t="str">
            <v>Sha</v>
          </cell>
          <cell r="I8">
            <v>1</v>
          </cell>
          <cell r="J8">
            <v>4</v>
          </cell>
          <cell r="K8">
            <v>12</v>
          </cell>
          <cell r="L8">
            <v>20</v>
          </cell>
          <cell r="M8">
            <v>40</v>
          </cell>
        </row>
        <row r="9">
          <cell r="B9">
            <v>1</v>
          </cell>
          <cell r="D9" t="str">
            <v>Xian</v>
          </cell>
          <cell r="F9" t="str">
            <v>Xian</v>
          </cell>
          <cell r="H9" t="str">
            <v>Sha</v>
          </cell>
          <cell r="I9">
            <v>1</v>
          </cell>
          <cell r="J9">
            <v>4</v>
          </cell>
          <cell r="K9">
            <v>12</v>
          </cell>
          <cell r="L9">
            <v>20</v>
          </cell>
          <cell r="M9">
            <v>40</v>
          </cell>
        </row>
        <row r="10">
          <cell r="B10">
            <v>1</v>
          </cell>
          <cell r="D10" t="str">
            <v>Xian</v>
          </cell>
          <cell r="F10" t="str">
            <v>Xian</v>
          </cell>
          <cell r="H10" t="str">
            <v>Xian</v>
          </cell>
          <cell r="I10">
            <v>1</v>
          </cell>
          <cell r="J10">
            <v>4</v>
          </cell>
          <cell r="K10">
            <v>12</v>
          </cell>
          <cell r="L10">
            <v>20</v>
          </cell>
          <cell r="M10">
            <v>40</v>
          </cell>
        </row>
        <row r="11">
          <cell r="B11">
            <v>1</v>
          </cell>
          <cell r="D11" t="str">
            <v>Mo</v>
          </cell>
          <cell r="F11" t="str">
            <v>Xian</v>
          </cell>
          <cell r="H11" t="str">
            <v>Sha</v>
          </cell>
          <cell r="I11">
            <v>1</v>
          </cell>
          <cell r="J11">
            <v>4</v>
          </cell>
          <cell r="K11">
            <v>12</v>
          </cell>
          <cell r="L11">
            <v>20</v>
          </cell>
          <cell r="M11">
            <v>40</v>
          </cell>
        </row>
        <row r="12">
          <cell r="B12">
            <v>1</v>
          </cell>
          <cell r="D12" t="str">
            <v>Sha</v>
          </cell>
          <cell r="F12" t="str">
            <v>Xian</v>
          </cell>
          <cell r="H12" t="str">
            <v>Sha</v>
          </cell>
          <cell r="I12">
            <v>1</v>
          </cell>
          <cell r="J12">
            <v>4</v>
          </cell>
          <cell r="K12">
            <v>12</v>
          </cell>
          <cell r="L12">
            <v>20</v>
          </cell>
          <cell r="M12">
            <v>40</v>
          </cell>
        </row>
        <row r="13">
          <cell r="B13">
            <v>1</v>
          </cell>
          <cell r="D13" t="str">
            <v>Mo</v>
          </cell>
          <cell r="F13" t="str">
            <v>Fo</v>
          </cell>
          <cell r="H13" t="str">
            <v>Xian</v>
          </cell>
          <cell r="I13">
            <v>1</v>
          </cell>
          <cell r="J13">
            <v>4</v>
          </cell>
          <cell r="K13">
            <v>12</v>
          </cell>
          <cell r="L13">
            <v>20</v>
          </cell>
          <cell r="M13">
            <v>40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唐三藏"/>
      <sheetName val="孙悟空"/>
      <sheetName val="猪八戒"/>
      <sheetName val="沙和尚"/>
      <sheetName val="白龙马"/>
      <sheetName val="猎户刘伯钦"/>
      <sheetName val="悟空六意"/>
      <sheetName val="龟丞相"/>
      <sheetName val="凌虚子"/>
      <sheetName val="黑熊精"/>
      <sheetName val="虎先锋"/>
      <sheetName val="黄风怪"/>
      <sheetName val="普通怪-攻击"/>
      <sheetName val="普通怪-回复"/>
      <sheetName val="普通怪-敏捷"/>
      <sheetName val="普通怪-防御"/>
      <sheetName val="精英怪-攻击"/>
      <sheetName val="精英怪-回复"/>
      <sheetName val="精英怪-敏捷"/>
      <sheetName val="精英怪-防御"/>
      <sheetName val="Boss怪-攻击"/>
      <sheetName val="Boss怪-回复"/>
      <sheetName val="Boss怪-敏捷"/>
      <sheetName val="Boss怪-防御"/>
    </sheetNames>
    <sheetDataSet>
      <sheetData sheetId="0"/>
      <sheetData sheetId="1"/>
      <sheetData sheetId="2"/>
      <sheetData sheetId="3">
        <row r="2">
          <cell r="C2">
            <v>50</v>
          </cell>
          <cell r="D2">
            <v>27</v>
          </cell>
          <cell r="E2">
            <v>9</v>
          </cell>
          <cell r="F2">
            <v>0.1</v>
          </cell>
          <cell r="H2">
            <v>1</v>
          </cell>
          <cell r="I2">
            <v>6</v>
          </cell>
          <cell r="J2">
            <v>14</v>
          </cell>
          <cell r="V2">
            <v>1</v>
          </cell>
          <cell r="Y2">
            <v>1</v>
          </cell>
          <cell r="Z2">
            <v>5</v>
          </cell>
        </row>
        <row r="3">
          <cell r="C3">
            <v>100</v>
          </cell>
          <cell r="D3">
            <v>28</v>
          </cell>
          <cell r="E3">
            <v>16</v>
          </cell>
          <cell r="F3">
            <v>0.10005</v>
          </cell>
          <cell r="H3">
            <v>1</v>
          </cell>
          <cell r="I3">
            <v>11</v>
          </cell>
          <cell r="J3">
            <v>14</v>
          </cell>
          <cell r="V3">
            <v>1</v>
          </cell>
          <cell r="Y3">
            <v>1</v>
          </cell>
          <cell r="Z3">
            <v>5</v>
          </cell>
        </row>
        <row r="4">
          <cell r="C4">
            <v>150</v>
          </cell>
          <cell r="D4">
            <v>35</v>
          </cell>
          <cell r="E4">
            <v>22</v>
          </cell>
          <cell r="F4">
            <v>0.10009999999999999</v>
          </cell>
          <cell r="H4">
            <v>1</v>
          </cell>
          <cell r="I4">
            <v>14</v>
          </cell>
          <cell r="J4">
            <v>18</v>
          </cell>
          <cell r="V4">
            <v>1</v>
          </cell>
          <cell r="Y4">
            <v>1</v>
          </cell>
          <cell r="Z4">
            <v>10</v>
          </cell>
        </row>
        <row r="5">
          <cell r="C5">
            <v>250</v>
          </cell>
          <cell r="D5">
            <v>43</v>
          </cell>
          <cell r="E5">
            <v>33</v>
          </cell>
          <cell r="F5">
            <v>0.10019999999999998</v>
          </cell>
          <cell r="H5">
            <v>1</v>
          </cell>
          <cell r="I5">
            <v>18</v>
          </cell>
          <cell r="J5">
            <v>22</v>
          </cell>
          <cell r="V5">
            <v>1</v>
          </cell>
          <cell r="Y5">
            <v>1.02</v>
          </cell>
          <cell r="Z5">
            <v>10</v>
          </cell>
        </row>
        <row r="6">
          <cell r="C6">
            <v>350</v>
          </cell>
          <cell r="D6">
            <v>47</v>
          </cell>
          <cell r="E6">
            <v>45</v>
          </cell>
          <cell r="F6">
            <v>0.10029999999999997</v>
          </cell>
          <cell r="H6">
            <v>1.2</v>
          </cell>
          <cell r="I6">
            <v>23</v>
          </cell>
          <cell r="J6">
            <v>24</v>
          </cell>
          <cell r="V6">
            <v>1</v>
          </cell>
          <cell r="Y6">
            <v>1.04</v>
          </cell>
          <cell r="Z6">
            <v>15</v>
          </cell>
        </row>
        <row r="7">
          <cell r="C7">
            <v>500</v>
          </cell>
          <cell r="D7">
            <v>59</v>
          </cell>
          <cell r="E7">
            <v>64</v>
          </cell>
          <cell r="F7">
            <v>0.10044999999999996</v>
          </cell>
          <cell r="H7">
            <v>1.2</v>
          </cell>
          <cell r="I7">
            <v>29</v>
          </cell>
          <cell r="J7">
            <v>30</v>
          </cell>
          <cell r="V7">
            <v>1</v>
          </cell>
          <cell r="Y7">
            <v>1.07</v>
          </cell>
          <cell r="Z7">
            <v>15</v>
          </cell>
        </row>
        <row r="8">
          <cell r="C8">
            <v>650</v>
          </cell>
          <cell r="D8">
            <v>77</v>
          </cell>
          <cell r="E8">
            <v>78</v>
          </cell>
          <cell r="F8">
            <v>0.10059999999999994</v>
          </cell>
          <cell r="H8">
            <v>1.2</v>
          </cell>
          <cell r="I8">
            <v>36</v>
          </cell>
          <cell r="J8">
            <v>39</v>
          </cell>
          <cell r="V8">
            <v>1</v>
          </cell>
          <cell r="Y8">
            <v>1.1000000000000001</v>
          </cell>
          <cell r="Z8">
            <v>20</v>
          </cell>
        </row>
        <row r="9">
          <cell r="C9">
            <v>850</v>
          </cell>
          <cell r="D9">
            <v>146</v>
          </cell>
          <cell r="E9">
            <v>94</v>
          </cell>
          <cell r="F9">
            <v>0.10079999999999992</v>
          </cell>
          <cell r="H9">
            <v>1.2</v>
          </cell>
          <cell r="I9">
            <v>44</v>
          </cell>
          <cell r="J9">
            <v>73</v>
          </cell>
          <cell r="V9">
            <v>1</v>
          </cell>
          <cell r="Y9">
            <v>1.1400000000000001</v>
          </cell>
          <cell r="Z9">
            <v>20</v>
          </cell>
        </row>
        <row r="10">
          <cell r="C10">
            <v>1050</v>
          </cell>
          <cell r="D10">
            <v>180</v>
          </cell>
          <cell r="E10">
            <v>112</v>
          </cell>
          <cell r="F10">
            <v>0.1009999999999999</v>
          </cell>
          <cell r="H10">
            <v>1.2</v>
          </cell>
          <cell r="I10">
            <v>53</v>
          </cell>
          <cell r="J10">
            <v>90</v>
          </cell>
          <cell r="V10">
            <v>1</v>
          </cell>
          <cell r="Y10">
            <v>1.1800000000000002</v>
          </cell>
          <cell r="Z10">
            <v>20</v>
          </cell>
        </row>
        <row r="11">
          <cell r="C11">
            <v>1250</v>
          </cell>
          <cell r="D11">
            <v>200</v>
          </cell>
          <cell r="E11">
            <v>132</v>
          </cell>
          <cell r="F11">
            <v>0.10119999999999987</v>
          </cell>
          <cell r="H11">
            <v>1.3</v>
          </cell>
          <cell r="I11">
            <v>63</v>
          </cell>
          <cell r="J11">
            <v>100</v>
          </cell>
          <cell r="V11">
            <v>1</v>
          </cell>
          <cell r="Y11">
            <v>1.2200000000000002</v>
          </cell>
          <cell r="Z11">
            <v>25</v>
          </cell>
        </row>
        <row r="12">
          <cell r="C12">
            <v>1500</v>
          </cell>
          <cell r="D12">
            <v>309</v>
          </cell>
          <cell r="E12">
            <v>154</v>
          </cell>
          <cell r="F12">
            <v>0.10144999999999985</v>
          </cell>
          <cell r="H12">
            <v>1.3</v>
          </cell>
          <cell r="I12">
            <v>74</v>
          </cell>
          <cell r="J12">
            <v>155</v>
          </cell>
          <cell r="V12">
            <v>1</v>
          </cell>
          <cell r="Y12">
            <v>1.2700000000000002</v>
          </cell>
          <cell r="Z12">
            <v>25</v>
          </cell>
        </row>
        <row r="13">
          <cell r="C13">
            <v>1750</v>
          </cell>
          <cell r="D13">
            <v>357</v>
          </cell>
          <cell r="E13">
            <v>178</v>
          </cell>
          <cell r="F13">
            <v>0.10169999999999982</v>
          </cell>
          <cell r="H13">
            <v>1.3</v>
          </cell>
          <cell r="I13">
            <v>86</v>
          </cell>
          <cell r="J13">
            <v>179</v>
          </cell>
          <cell r="V13">
            <v>1</v>
          </cell>
          <cell r="Y13">
            <v>1.3200000000000003</v>
          </cell>
          <cell r="Z13">
            <v>30</v>
          </cell>
        </row>
        <row r="14">
          <cell r="C14">
            <v>2050</v>
          </cell>
          <cell r="D14">
            <v>419</v>
          </cell>
          <cell r="E14">
            <v>205</v>
          </cell>
          <cell r="F14">
            <v>0.10199999999999979</v>
          </cell>
          <cell r="H14">
            <v>1.3</v>
          </cell>
          <cell r="I14">
            <v>99</v>
          </cell>
          <cell r="J14">
            <v>210</v>
          </cell>
          <cell r="V14">
            <v>1</v>
          </cell>
          <cell r="Y14">
            <v>1.3800000000000003</v>
          </cell>
          <cell r="Z14">
            <v>35</v>
          </cell>
        </row>
        <row r="15">
          <cell r="C15">
            <v>2400</v>
          </cell>
          <cell r="D15">
            <v>600</v>
          </cell>
          <cell r="E15">
            <v>235</v>
          </cell>
          <cell r="F15">
            <v>0.10234999999999975</v>
          </cell>
          <cell r="H15">
            <v>1.3</v>
          </cell>
          <cell r="I15">
            <v>114</v>
          </cell>
          <cell r="J15">
            <v>300</v>
          </cell>
          <cell r="V15">
            <v>1</v>
          </cell>
          <cell r="Y15">
            <v>1.4500000000000004</v>
          </cell>
          <cell r="Z15">
            <v>45</v>
          </cell>
        </row>
        <row r="16">
          <cell r="C16">
            <v>2850</v>
          </cell>
          <cell r="D16">
            <v>708</v>
          </cell>
          <cell r="E16">
            <v>268</v>
          </cell>
          <cell r="F16">
            <v>0.1027999999999997</v>
          </cell>
          <cell r="H16">
            <v>1.4</v>
          </cell>
          <cell r="I16">
            <v>131</v>
          </cell>
          <cell r="J16">
            <v>354</v>
          </cell>
          <cell r="V16">
            <v>1</v>
          </cell>
          <cell r="Y16">
            <v>1.5400000000000005</v>
          </cell>
          <cell r="Z16">
            <v>50</v>
          </cell>
        </row>
        <row r="17">
          <cell r="C17">
            <v>3350</v>
          </cell>
          <cell r="D17">
            <v>992</v>
          </cell>
          <cell r="E17">
            <v>305</v>
          </cell>
          <cell r="F17">
            <v>0.10329999999999964</v>
          </cell>
          <cell r="H17">
            <v>1.4</v>
          </cell>
          <cell r="I17">
            <v>150</v>
          </cell>
          <cell r="J17">
            <v>496</v>
          </cell>
          <cell r="V17">
            <v>1</v>
          </cell>
          <cell r="Y17">
            <v>1.6400000000000006</v>
          </cell>
          <cell r="Z17">
            <v>55</v>
          </cell>
        </row>
        <row r="18">
          <cell r="C18">
            <v>3900</v>
          </cell>
          <cell r="D18">
            <v>1165</v>
          </cell>
          <cell r="E18">
            <v>346</v>
          </cell>
          <cell r="F18">
            <v>0.10384999999999958</v>
          </cell>
          <cell r="H18">
            <v>1.4</v>
          </cell>
          <cell r="I18">
            <v>171</v>
          </cell>
          <cell r="J18">
            <v>583</v>
          </cell>
          <cell r="V18">
            <v>1</v>
          </cell>
          <cell r="Y18">
            <v>1.7500000000000007</v>
          </cell>
          <cell r="Z18">
            <v>65</v>
          </cell>
        </row>
        <row r="19">
          <cell r="C19">
            <v>4550</v>
          </cell>
          <cell r="D19">
            <v>1374</v>
          </cell>
          <cell r="E19">
            <v>392</v>
          </cell>
          <cell r="F19">
            <v>0.10449999999999951</v>
          </cell>
          <cell r="H19">
            <v>1.4</v>
          </cell>
          <cell r="I19">
            <v>195</v>
          </cell>
          <cell r="J19">
            <v>687</v>
          </cell>
          <cell r="V19">
            <v>1</v>
          </cell>
          <cell r="Y19">
            <v>1.8800000000000008</v>
          </cell>
          <cell r="Z19">
            <v>95</v>
          </cell>
        </row>
        <row r="20">
          <cell r="C20">
            <v>5500</v>
          </cell>
          <cell r="D20">
            <v>1954</v>
          </cell>
          <cell r="E20">
            <v>443</v>
          </cell>
          <cell r="F20">
            <v>0.10544999999999941</v>
          </cell>
          <cell r="H20">
            <v>1.4</v>
          </cell>
          <cell r="I20">
            <v>221</v>
          </cell>
          <cell r="J20">
            <v>977</v>
          </cell>
          <cell r="V20">
            <v>1</v>
          </cell>
          <cell r="Y20">
            <v>2.0699999999999994</v>
          </cell>
          <cell r="Z20">
            <v>160</v>
          </cell>
        </row>
        <row r="21">
          <cell r="C21">
            <v>7100</v>
          </cell>
          <cell r="D21">
            <v>2547</v>
          </cell>
          <cell r="E21">
            <v>550</v>
          </cell>
          <cell r="F21">
            <v>0.10704999999999923</v>
          </cell>
          <cell r="H21">
            <v>1.5</v>
          </cell>
          <cell r="I21">
            <v>250</v>
          </cell>
          <cell r="J21">
            <v>1274</v>
          </cell>
          <cell r="V21">
            <v>1</v>
          </cell>
          <cell r="Y21">
            <v>2.3899999999999926</v>
          </cell>
          <cell r="Z21">
            <v>235</v>
          </cell>
        </row>
        <row r="22">
          <cell r="C22">
            <v>9450</v>
          </cell>
          <cell r="D22">
            <v>3375</v>
          </cell>
          <cell r="E22">
            <v>764</v>
          </cell>
          <cell r="F22">
            <v>0.10939999999999897</v>
          </cell>
          <cell r="H22">
            <v>1.5</v>
          </cell>
          <cell r="I22">
            <v>288</v>
          </cell>
          <cell r="J22">
            <v>1688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5167</v>
          </cell>
          <cell r="E23">
            <v>1032</v>
          </cell>
          <cell r="F23">
            <v>0.1127499999999986</v>
          </cell>
          <cell r="H23">
            <v>1.5</v>
          </cell>
          <cell r="I23">
            <v>337</v>
          </cell>
          <cell r="J23">
            <v>2584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7078</v>
          </cell>
          <cell r="E24">
            <v>1400</v>
          </cell>
          <cell r="F24">
            <v>0.11734999999999809</v>
          </cell>
          <cell r="H24">
            <v>1.5</v>
          </cell>
          <cell r="I24">
            <v>401</v>
          </cell>
          <cell r="J24">
            <v>3539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9384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484</v>
          </cell>
          <cell r="J25">
            <v>4692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12458</v>
          </cell>
          <cell r="E26">
            <v>2468</v>
          </cell>
          <cell r="F26">
            <v>0.13069999999999662</v>
          </cell>
          <cell r="H26">
            <v>1.6</v>
          </cell>
          <cell r="I26">
            <v>592</v>
          </cell>
          <cell r="J26">
            <v>6229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4">
        <row r="2">
          <cell r="C2">
            <v>50</v>
          </cell>
          <cell r="D2">
            <v>35</v>
          </cell>
          <cell r="E2">
            <v>14</v>
          </cell>
          <cell r="F2">
            <v>0</v>
          </cell>
          <cell r="H2">
            <v>1</v>
          </cell>
          <cell r="I2">
            <v>5</v>
          </cell>
          <cell r="J2">
            <v>7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40</v>
          </cell>
          <cell r="E3">
            <v>23</v>
          </cell>
          <cell r="F3">
            <v>0</v>
          </cell>
          <cell r="H3">
            <v>1</v>
          </cell>
          <cell r="I3">
            <v>7</v>
          </cell>
          <cell r="J3">
            <v>8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47</v>
          </cell>
          <cell r="E4">
            <v>28</v>
          </cell>
          <cell r="F4">
            <v>2.5000000000000001E-3</v>
          </cell>
          <cell r="H4">
            <v>1</v>
          </cell>
          <cell r="I4">
            <v>11</v>
          </cell>
          <cell r="J4">
            <v>9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68</v>
          </cell>
          <cell r="E5">
            <v>37</v>
          </cell>
          <cell r="F5">
            <v>2.5000000000000001E-3</v>
          </cell>
          <cell r="H5">
            <v>1</v>
          </cell>
          <cell r="I5">
            <v>16</v>
          </cell>
          <cell r="J5">
            <v>14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82</v>
          </cell>
          <cell r="E6">
            <v>49</v>
          </cell>
          <cell r="F6">
            <v>5.0000000000000001E-3</v>
          </cell>
          <cell r="H6">
            <v>1</v>
          </cell>
          <cell r="I6">
            <v>23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100</v>
          </cell>
          <cell r="E7">
            <v>68</v>
          </cell>
          <cell r="F7">
            <v>0.01</v>
          </cell>
          <cell r="H7">
            <v>1</v>
          </cell>
          <cell r="I7">
            <v>33</v>
          </cell>
          <cell r="J7">
            <v>20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123</v>
          </cell>
          <cell r="E8">
            <v>90</v>
          </cell>
          <cell r="F8">
            <v>1.4999999999999999E-2</v>
          </cell>
          <cell r="H8">
            <v>1</v>
          </cell>
          <cell r="I8">
            <v>37</v>
          </cell>
          <cell r="J8">
            <v>25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174</v>
          </cell>
          <cell r="E9">
            <v>131</v>
          </cell>
          <cell r="F9">
            <v>2.5000000000000001E-2</v>
          </cell>
          <cell r="H9">
            <v>1</v>
          </cell>
          <cell r="I9">
            <v>54</v>
          </cell>
          <cell r="J9">
            <v>35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201</v>
          </cell>
          <cell r="E10">
            <v>165</v>
          </cell>
          <cell r="F10">
            <v>2.9000000000000001E-2</v>
          </cell>
          <cell r="H10">
            <v>1</v>
          </cell>
          <cell r="I10">
            <v>65</v>
          </cell>
          <cell r="J10">
            <v>40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230</v>
          </cell>
          <cell r="E11">
            <v>195</v>
          </cell>
          <cell r="F11">
            <v>3.6999999999999998E-2</v>
          </cell>
          <cell r="H11">
            <v>1</v>
          </cell>
          <cell r="I11">
            <v>77</v>
          </cell>
          <cell r="J11">
            <v>46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342</v>
          </cell>
          <cell r="E12">
            <v>245</v>
          </cell>
          <cell r="F12">
            <v>4.5999999999999999E-2</v>
          </cell>
          <cell r="H12">
            <v>1</v>
          </cell>
          <cell r="I12">
            <v>90</v>
          </cell>
          <cell r="J12">
            <v>68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389</v>
          </cell>
          <cell r="E13">
            <v>285</v>
          </cell>
          <cell r="F13">
            <v>5.5E-2</v>
          </cell>
          <cell r="H13">
            <v>1</v>
          </cell>
          <cell r="I13">
            <v>104</v>
          </cell>
          <cell r="J13">
            <v>78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450</v>
          </cell>
          <cell r="E14">
            <v>330</v>
          </cell>
          <cell r="F14">
            <v>6.5000000000000002E-2</v>
          </cell>
          <cell r="H14">
            <v>1</v>
          </cell>
          <cell r="I14">
            <v>120</v>
          </cell>
          <cell r="J14">
            <v>90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667</v>
          </cell>
          <cell r="E15">
            <v>380</v>
          </cell>
          <cell r="F15">
            <v>7.5999999999999998E-2</v>
          </cell>
          <cell r="H15">
            <v>1</v>
          </cell>
          <cell r="I15">
            <v>138</v>
          </cell>
          <cell r="J15">
            <v>133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805</v>
          </cell>
          <cell r="E16">
            <v>436</v>
          </cell>
          <cell r="F16">
            <v>8.8999999999999996E-2</v>
          </cell>
          <cell r="H16">
            <v>1</v>
          </cell>
          <cell r="I16">
            <v>158</v>
          </cell>
          <cell r="J16">
            <v>161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1155</v>
          </cell>
          <cell r="E17">
            <v>498</v>
          </cell>
          <cell r="F17">
            <v>0.1</v>
          </cell>
          <cell r="H17">
            <v>1</v>
          </cell>
          <cell r="I17">
            <v>180</v>
          </cell>
          <cell r="J17">
            <v>231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1350</v>
          </cell>
          <cell r="E18">
            <v>567</v>
          </cell>
          <cell r="F18">
            <v>0.111</v>
          </cell>
          <cell r="H18">
            <v>1</v>
          </cell>
          <cell r="I18">
            <v>205</v>
          </cell>
          <cell r="J18">
            <v>270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1590</v>
          </cell>
          <cell r="E19">
            <v>644</v>
          </cell>
          <cell r="F19">
            <v>0.125</v>
          </cell>
          <cell r="H19">
            <v>1</v>
          </cell>
          <cell r="I19">
            <v>233</v>
          </cell>
          <cell r="J19">
            <v>318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2324</v>
          </cell>
          <cell r="E20">
            <v>730</v>
          </cell>
          <cell r="F20">
            <v>0.13</v>
          </cell>
          <cell r="H20">
            <v>1</v>
          </cell>
          <cell r="I20">
            <v>265</v>
          </cell>
          <cell r="J20">
            <v>465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3078</v>
          </cell>
          <cell r="E21">
            <v>880</v>
          </cell>
          <cell r="F21">
            <v>0.18</v>
          </cell>
          <cell r="H21">
            <v>1</v>
          </cell>
          <cell r="I21">
            <v>300</v>
          </cell>
          <cell r="J21">
            <v>616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4293</v>
          </cell>
          <cell r="E22">
            <v>1083</v>
          </cell>
          <cell r="F22">
            <v>0.18</v>
          </cell>
          <cell r="H22">
            <v>1</v>
          </cell>
          <cell r="I22">
            <v>353</v>
          </cell>
          <cell r="J22">
            <v>859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6778</v>
          </cell>
          <cell r="E23">
            <v>1357</v>
          </cell>
          <cell r="F23">
            <v>0.18</v>
          </cell>
          <cell r="H23">
            <v>1</v>
          </cell>
          <cell r="I23">
            <v>433</v>
          </cell>
          <cell r="J23">
            <v>1356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9400</v>
          </cell>
          <cell r="E24">
            <v>1727</v>
          </cell>
          <cell r="F24">
            <v>0.2</v>
          </cell>
          <cell r="H24">
            <v>1</v>
          </cell>
          <cell r="I24">
            <v>553</v>
          </cell>
          <cell r="J24">
            <v>1880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12707</v>
          </cell>
          <cell r="E25">
            <v>2227</v>
          </cell>
          <cell r="F25">
            <v>0.2</v>
          </cell>
          <cell r="H25">
            <v>1</v>
          </cell>
          <cell r="I25">
            <v>733</v>
          </cell>
          <cell r="J25">
            <v>2541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16851</v>
          </cell>
          <cell r="E26">
            <v>2902</v>
          </cell>
          <cell r="F26">
            <v>0.2</v>
          </cell>
          <cell r="H26">
            <v>1</v>
          </cell>
          <cell r="I26">
            <v>1003</v>
          </cell>
          <cell r="J26">
            <v>3370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5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0.7</v>
          </cell>
          <cell r="I2">
            <v>9</v>
          </cell>
          <cell r="J2">
            <v>9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34</v>
          </cell>
          <cell r="E3">
            <v>17</v>
          </cell>
          <cell r="F3">
            <v>0</v>
          </cell>
          <cell r="H3">
            <v>0.7</v>
          </cell>
          <cell r="I3">
            <v>12</v>
          </cell>
          <cell r="J3">
            <v>10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38</v>
          </cell>
          <cell r="E4">
            <v>26</v>
          </cell>
          <cell r="F4">
            <v>0</v>
          </cell>
          <cell r="H4">
            <v>0.7</v>
          </cell>
          <cell r="I4">
            <v>15</v>
          </cell>
          <cell r="J4">
            <v>11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48</v>
          </cell>
          <cell r="E5">
            <v>40</v>
          </cell>
          <cell r="F5">
            <v>0</v>
          </cell>
          <cell r="H5">
            <v>0.7</v>
          </cell>
          <cell r="I5">
            <v>21</v>
          </cell>
          <cell r="J5">
            <v>14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53</v>
          </cell>
          <cell r="E6">
            <v>58</v>
          </cell>
          <cell r="F6">
            <v>0</v>
          </cell>
          <cell r="H6">
            <v>0.7</v>
          </cell>
          <cell r="I6">
            <v>28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65</v>
          </cell>
          <cell r="E7">
            <v>84</v>
          </cell>
          <cell r="F7">
            <v>0</v>
          </cell>
          <cell r="H7">
            <v>0.7</v>
          </cell>
          <cell r="I7">
            <v>36</v>
          </cell>
          <cell r="J7">
            <v>20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81</v>
          </cell>
          <cell r="E8">
            <v>106</v>
          </cell>
          <cell r="F8">
            <v>0</v>
          </cell>
          <cell r="H8">
            <v>0.7</v>
          </cell>
          <cell r="I8">
            <v>45</v>
          </cell>
          <cell r="J8">
            <v>24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155</v>
          </cell>
          <cell r="E9">
            <v>130</v>
          </cell>
          <cell r="F9">
            <v>0</v>
          </cell>
          <cell r="H9">
            <v>0.7</v>
          </cell>
          <cell r="I9">
            <v>55</v>
          </cell>
          <cell r="J9">
            <v>47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189</v>
          </cell>
          <cell r="E10">
            <v>157</v>
          </cell>
          <cell r="F10">
            <v>0</v>
          </cell>
          <cell r="H10">
            <v>0.7</v>
          </cell>
          <cell r="I10">
            <v>66</v>
          </cell>
          <cell r="J10">
            <v>57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218</v>
          </cell>
          <cell r="E11">
            <v>187</v>
          </cell>
          <cell r="F11">
            <v>0</v>
          </cell>
          <cell r="H11">
            <v>0.7</v>
          </cell>
          <cell r="I11">
            <v>78</v>
          </cell>
          <cell r="J11">
            <v>65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339</v>
          </cell>
          <cell r="E12">
            <v>220</v>
          </cell>
          <cell r="F12">
            <v>0</v>
          </cell>
          <cell r="H12">
            <v>0.7</v>
          </cell>
          <cell r="I12">
            <v>91</v>
          </cell>
          <cell r="J12">
            <v>102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389</v>
          </cell>
          <cell r="E13">
            <v>257</v>
          </cell>
          <cell r="F13">
            <v>0</v>
          </cell>
          <cell r="H13">
            <v>0.7</v>
          </cell>
          <cell r="I13">
            <v>105</v>
          </cell>
          <cell r="J13">
            <v>117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454</v>
          </cell>
          <cell r="E14">
            <v>298</v>
          </cell>
          <cell r="F14">
            <v>0</v>
          </cell>
          <cell r="H14">
            <v>0.7</v>
          </cell>
          <cell r="I14">
            <v>121</v>
          </cell>
          <cell r="J14">
            <v>136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653</v>
          </cell>
          <cell r="E15">
            <v>344</v>
          </cell>
          <cell r="F15">
            <v>0</v>
          </cell>
          <cell r="H15">
            <v>0.7</v>
          </cell>
          <cell r="I15">
            <v>139</v>
          </cell>
          <cell r="J15">
            <v>196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790</v>
          </cell>
          <cell r="E16">
            <v>395</v>
          </cell>
          <cell r="F16">
            <v>0</v>
          </cell>
          <cell r="H16">
            <v>0.7</v>
          </cell>
          <cell r="I16">
            <v>159</v>
          </cell>
          <cell r="J16">
            <v>237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1108</v>
          </cell>
          <cell r="E17">
            <v>452</v>
          </cell>
          <cell r="F17">
            <v>0</v>
          </cell>
          <cell r="H17">
            <v>0.7</v>
          </cell>
          <cell r="I17">
            <v>181</v>
          </cell>
          <cell r="J17">
            <v>332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1300</v>
          </cell>
          <cell r="E18">
            <v>515</v>
          </cell>
          <cell r="F18">
            <v>0</v>
          </cell>
          <cell r="H18">
            <v>0.7</v>
          </cell>
          <cell r="I18">
            <v>206</v>
          </cell>
          <cell r="J18">
            <v>390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1535</v>
          </cell>
          <cell r="E19">
            <v>585</v>
          </cell>
          <cell r="F19">
            <v>0</v>
          </cell>
          <cell r="H19">
            <v>0.7</v>
          </cell>
          <cell r="I19">
            <v>234</v>
          </cell>
          <cell r="J19">
            <v>461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2188</v>
          </cell>
          <cell r="E20">
            <v>663</v>
          </cell>
          <cell r="F20">
            <v>0</v>
          </cell>
          <cell r="H20">
            <v>0.7</v>
          </cell>
          <cell r="I20">
            <v>265</v>
          </cell>
          <cell r="J20">
            <v>656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2928</v>
          </cell>
          <cell r="E21">
            <v>800</v>
          </cell>
          <cell r="F21">
            <v>0</v>
          </cell>
          <cell r="H21">
            <v>0.7</v>
          </cell>
          <cell r="I21">
            <v>300</v>
          </cell>
          <cell r="J21">
            <v>878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4053</v>
          </cell>
          <cell r="E22">
            <v>971</v>
          </cell>
          <cell r="F22">
            <v>0</v>
          </cell>
          <cell r="H22">
            <v>0.7</v>
          </cell>
          <cell r="I22">
            <v>349</v>
          </cell>
          <cell r="J22">
            <v>1216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6315</v>
          </cell>
          <cell r="E23">
            <v>1185</v>
          </cell>
          <cell r="F23">
            <v>0</v>
          </cell>
          <cell r="H23">
            <v>0.7</v>
          </cell>
          <cell r="I23">
            <v>418</v>
          </cell>
          <cell r="J23">
            <v>1895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8824</v>
          </cell>
          <cell r="E24">
            <v>1453</v>
          </cell>
          <cell r="F24">
            <v>0</v>
          </cell>
          <cell r="H24">
            <v>0.7</v>
          </cell>
          <cell r="I24">
            <v>515</v>
          </cell>
          <cell r="J24">
            <v>2647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12014</v>
          </cell>
          <cell r="E25">
            <v>1788</v>
          </cell>
          <cell r="F25">
            <v>0</v>
          </cell>
          <cell r="H25">
            <v>0.7</v>
          </cell>
          <cell r="I25">
            <v>651</v>
          </cell>
          <cell r="J25">
            <v>3604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16110</v>
          </cell>
          <cell r="E26">
            <v>2207</v>
          </cell>
          <cell r="F26">
            <v>0</v>
          </cell>
          <cell r="H26">
            <v>0.7</v>
          </cell>
          <cell r="I26">
            <v>841</v>
          </cell>
          <cell r="J26">
            <v>4833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6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33</v>
          </cell>
          <cell r="E3">
            <v>15</v>
          </cell>
          <cell r="F3">
            <v>0</v>
          </cell>
          <cell r="H3">
            <v>1</v>
          </cell>
          <cell r="I3">
            <v>13</v>
          </cell>
          <cell r="J3">
            <v>10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35</v>
          </cell>
          <cell r="E4">
            <v>19</v>
          </cell>
          <cell r="F4">
            <v>0</v>
          </cell>
          <cell r="H4">
            <v>1</v>
          </cell>
          <cell r="I4">
            <v>20</v>
          </cell>
          <cell r="J4">
            <v>11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43</v>
          </cell>
          <cell r="E5">
            <v>31</v>
          </cell>
          <cell r="F5">
            <v>0</v>
          </cell>
          <cell r="H5">
            <v>1</v>
          </cell>
          <cell r="I5">
            <v>28</v>
          </cell>
          <cell r="J5">
            <v>13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52</v>
          </cell>
          <cell r="E6">
            <v>40</v>
          </cell>
          <cell r="F6">
            <v>0</v>
          </cell>
          <cell r="H6">
            <v>1</v>
          </cell>
          <cell r="I6">
            <v>38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62</v>
          </cell>
          <cell r="E7">
            <v>60</v>
          </cell>
          <cell r="F7">
            <v>0</v>
          </cell>
          <cell r="H7">
            <v>1</v>
          </cell>
          <cell r="I7">
            <v>50</v>
          </cell>
          <cell r="J7">
            <v>19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78</v>
          </cell>
          <cell r="E8">
            <v>75</v>
          </cell>
          <cell r="F8">
            <v>0</v>
          </cell>
          <cell r="H8">
            <v>1</v>
          </cell>
          <cell r="I8">
            <v>62</v>
          </cell>
          <cell r="J8">
            <v>23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119</v>
          </cell>
          <cell r="E9">
            <v>117</v>
          </cell>
          <cell r="F9">
            <v>0</v>
          </cell>
          <cell r="H9">
            <v>1</v>
          </cell>
          <cell r="I9">
            <v>75</v>
          </cell>
          <cell r="J9">
            <v>36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142</v>
          </cell>
          <cell r="E10">
            <v>140</v>
          </cell>
          <cell r="F10">
            <v>0</v>
          </cell>
          <cell r="H10">
            <v>1</v>
          </cell>
          <cell r="I10">
            <v>95</v>
          </cell>
          <cell r="J10">
            <v>43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174</v>
          </cell>
          <cell r="E11">
            <v>160</v>
          </cell>
          <cell r="F11">
            <v>0</v>
          </cell>
          <cell r="H11">
            <v>1</v>
          </cell>
          <cell r="I11">
            <v>110</v>
          </cell>
          <cell r="J11">
            <v>52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276</v>
          </cell>
          <cell r="E12">
            <v>195</v>
          </cell>
          <cell r="F12">
            <v>0</v>
          </cell>
          <cell r="H12">
            <v>1</v>
          </cell>
          <cell r="I12">
            <v>130</v>
          </cell>
          <cell r="J12">
            <v>83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311</v>
          </cell>
          <cell r="E13">
            <v>227</v>
          </cell>
          <cell r="F13">
            <v>0</v>
          </cell>
          <cell r="H13">
            <v>1</v>
          </cell>
          <cell r="I13">
            <v>155</v>
          </cell>
          <cell r="J13">
            <v>93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360</v>
          </cell>
          <cell r="E14">
            <v>260</v>
          </cell>
          <cell r="F14">
            <v>0</v>
          </cell>
          <cell r="H14">
            <v>1</v>
          </cell>
          <cell r="I14">
            <v>185</v>
          </cell>
          <cell r="J14">
            <v>108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542</v>
          </cell>
          <cell r="E15">
            <v>303</v>
          </cell>
          <cell r="F15">
            <v>0</v>
          </cell>
          <cell r="H15">
            <v>1</v>
          </cell>
          <cell r="I15">
            <v>212</v>
          </cell>
          <cell r="J15">
            <v>163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674</v>
          </cell>
          <cell r="E16">
            <v>340</v>
          </cell>
          <cell r="F16">
            <v>0</v>
          </cell>
          <cell r="H16">
            <v>1</v>
          </cell>
          <cell r="I16">
            <v>242</v>
          </cell>
          <cell r="J16">
            <v>202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970</v>
          </cell>
          <cell r="E17">
            <v>394</v>
          </cell>
          <cell r="F17">
            <v>0</v>
          </cell>
          <cell r="H17">
            <v>1</v>
          </cell>
          <cell r="I17">
            <v>275</v>
          </cell>
          <cell r="J17">
            <v>291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1160</v>
          </cell>
          <cell r="E18">
            <v>437</v>
          </cell>
          <cell r="F18">
            <v>0</v>
          </cell>
          <cell r="H18">
            <v>1</v>
          </cell>
          <cell r="I18">
            <v>312</v>
          </cell>
          <cell r="J18">
            <v>348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1373</v>
          </cell>
          <cell r="E19">
            <v>500</v>
          </cell>
          <cell r="F19">
            <v>0</v>
          </cell>
          <cell r="H19">
            <v>1</v>
          </cell>
          <cell r="I19">
            <v>353</v>
          </cell>
          <cell r="J19">
            <v>412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2000</v>
          </cell>
          <cell r="E20">
            <v>571</v>
          </cell>
          <cell r="F20">
            <v>0</v>
          </cell>
          <cell r="H20">
            <v>1</v>
          </cell>
          <cell r="I20">
            <v>399</v>
          </cell>
          <cell r="J20">
            <v>600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2688</v>
          </cell>
          <cell r="E21">
            <v>690</v>
          </cell>
          <cell r="F21">
            <v>0</v>
          </cell>
          <cell r="H21">
            <v>1</v>
          </cell>
          <cell r="I21">
            <v>470</v>
          </cell>
          <cell r="J21">
            <v>806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3846</v>
          </cell>
          <cell r="E22">
            <v>764</v>
          </cell>
          <cell r="F22">
            <v>0</v>
          </cell>
          <cell r="H22">
            <v>1</v>
          </cell>
          <cell r="I22">
            <v>566</v>
          </cell>
          <cell r="J22">
            <v>1154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5913</v>
          </cell>
          <cell r="E23">
            <v>1032</v>
          </cell>
          <cell r="F23">
            <v>0</v>
          </cell>
          <cell r="H23">
            <v>1</v>
          </cell>
          <cell r="I23">
            <v>696</v>
          </cell>
          <cell r="J23">
            <v>1774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8130</v>
          </cell>
          <cell r="E24">
            <v>1400</v>
          </cell>
          <cell r="F24">
            <v>0</v>
          </cell>
          <cell r="H24">
            <v>1</v>
          </cell>
          <cell r="I24">
            <v>872</v>
          </cell>
          <cell r="J24">
            <v>2439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10941</v>
          </cell>
          <cell r="E25">
            <v>1868</v>
          </cell>
          <cell r="F25">
            <v>0</v>
          </cell>
          <cell r="H25">
            <v>1</v>
          </cell>
          <cell r="I25">
            <v>1110</v>
          </cell>
          <cell r="J25">
            <v>3282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14540</v>
          </cell>
          <cell r="E26">
            <v>2468</v>
          </cell>
          <cell r="F26">
            <v>0</v>
          </cell>
          <cell r="H26">
            <v>1</v>
          </cell>
          <cell r="I26">
            <v>1431</v>
          </cell>
          <cell r="J26">
            <v>4362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7">
        <row r="2">
          <cell r="C2">
            <v>50</v>
          </cell>
          <cell r="D2">
            <v>32</v>
          </cell>
          <cell r="E2">
            <v>9</v>
          </cell>
          <cell r="F2">
            <v>0</v>
          </cell>
          <cell r="H2">
            <v>1</v>
          </cell>
          <cell r="I2">
            <v>6</v>
          </cell>
          <cell r="J2">
            <v>10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39</v>
          </cell>
          <cell r="E3">
            <v>17</v>
          </cell>
          <cell r="F3">
            <v>0</v>
          </cell>
          <cell r="H3">
            <v>1</v>
          </cell>
          <cell r="I3">
            <v>6</v>
          </cell>
          <cell r="J3">
            <v>12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43</v>
          </cell>
          <cell r="E4">
            <v>25</v>
          </cell>
          <cell r="F4">
            <v>2.5000000000000001E-3</v>
          </cell>
          <cell r="H4">
            <v>1</v>
          </cell>
          <cell r="I4">
            <v>8</v>
          </cell>
          <cell r="J4">
            <v>13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53</v>
          </cell>
          <cell r="E5">
            <v>37</v>
          </cell>
          <cell r="F5">
            <v>2.5000000000000001E-3</v>
          </cell>
          <cell r="H5">
            <v>1</v>
          </cell>
          <cell r="I5">
            <v>14</v>
          </cell>
          <cell r="J5">
            <v>16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58</v>
          </cell>
          <cell r="E6">
            <v>50</v>
          </cell>
          <cell r="F6">
            <v>5.0000000000000001E-3</v>
          </cell>
          <cell r="H6">
            <v>1.2</v>
          </cell>
          <cell r="I6">
            <v>19</v>
          </cell>
          <cell r="J6">
            <v>17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72</v>
          </cell>
          <cell r="E7">
            <v>70</v>
          </cell>
          <cell r="F7">
            <v>0.01</v>
          </cell>
          <cell r="H7">
            <v>1.2</v>
          </cell>
          <cell r="I7">
            <v>24</v>
          </cell>
          <cell r="J7">
            <v>22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78</v>
          </cell>
          <cell r="E8">
            <v>96</v>
          </cell>
          <cell r="F8">
            <v>1.4999999999999999E-2</v>
          </cell>
          <cell r="H8">
            <v>1.2</v>
          </cell>
          <cell r="I8">
            <v>30</v>
          </cell>
          <cell r="J8">
            <v>23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150</v>
          </cell>
          <cell r="E9">
            <v>117</v>
          </cell>
          <cell r="F9">
            <v>2.5000000000000001E-2</v>
          </cell>
          <cell r="H9">
            <v>1.2</v>
          </cell>
          <cell r="I9">
            <v>37</v>
          </cell>
          <cell r="J9">
            <v>45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183</v>
          </cell>
          <cell r="E10">
            <v>140</v>
          </cell>
          <cell r="F10">
            <v>2.9000000000000001E-2</v>
          </cell>
          <cell r="H10">
            <v>1.2</v>
          </cell>
          <cell r="I10">
            <v>45</v>
          </cell>
          <cell r="J10">
            <v>55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198</v>
          </cell>
          <cell r="E11">
            <v>166</v>
          </cell>
          <cell r="F11">
            <v>3.6999999999999998E-2</v>
          </cell>
          <cell r="H11">
            <v>1.3</v>
          </cell>
          <cell r="I11">
            <v>54</v>
          </cell>
          <cell r="J11">
            <v>59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311</v>
          </cell>
          <cell r="E12">
            <v>195</v>
          </cell>
          <cell r="F12">
            <v>4.5999999999999999E-2</v>
          </cell>
          <cell r="H12">
            <v>1.3</v>
          </cell>
          <cell r="I12">
            <v>64</v>
          </cell>
          <cell r="J12">
            <v>93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354</v>
          </cell>
          <cell r="E13">
            <v>227</v>
          </cell>
          <cell r="F13">
            <v>5.5E-2</v>
          </cell>
          <cell r="H13">
            <v>1.3</v>
          </cell>
          <cell r="I13">
            <v>75</v>
          </cell>
          <cell r="J13">
            <v>106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408</v>
          </cell>
          <cell r="E14">
            <v>263</v>
          </cell>
          <cell r="F14">
            <v>6.5000000000000002E-2</v>
          </cell>
          <cell r="H14">
            <v>1.3</v>
          </cell>
          <cell r="I14">
            <v>87</v>
          </cell>
          <cell r="J14">
            <v>122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595</v>
          </cell>
          <cell r="E15">
            <v>303</v>
          </cell>
          <cell r="F15">
            <v>7.5999999999999998E-2</v>
          </cell>
          <cell r="H15">
            <v>1.3</v>
          </cell>
          <cell r="I15">
            <v>100</v>
          </cell>
          <cell r="J15">
            <v>179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693</v>
          </cell>
          <cell r="E16">
            <v>347</v>
          </cell>
          <cell r="F16">
            <v>8.8999999999999996E-2</v>
          </cell>
          <cell r="H16">
            <v>1.4</v>
          </cell>
          <cell r="I16">
            <v>114</v>
          </cell>
          <cell r="J16">
            <v>208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992</v>
          </cell>
          <cell r="E17">
            <v>396</v>
          </cell>
          <cell r="F17">
            <v>0.1</v>
          </cell>
          <cell r="H17">
            <v>1.4</v>
          </cell>
          <cell r="I17">
            <v>130</v>
          </cell>
          <cell r="J17">
            <v>298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1162</v>
          </cell>
          <cell r="E18">
            <v>450</v>
          </cell>
          <cell r="F18">
            <v>0.111</v>
          </cell>
          <cell r="H18">
            <v>1.4</v>
          </cell>
          <cell r="I18">
            <v>148</v>
          </cell>
          <cell r="J18">
            <v>349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1368</v>
          </cell>
          <cell r="E19">
            <v>510</v>
          </cell>
          <cell r="F19">
            <v>0.125</v>
          </cell>
          <cell r="H19">
            <v>1.4</v>
          </cell>
          <cell r="I19">
            <v>168</v>
          </cell>
          <cell r="J19">
            <v>410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1996</v>
          </cell>
          <cell r="E20">
            <v>577</v>
          </cell>
          <cell r="F20">
            <v>0.13</v>
          </cell>
          <cell r="H20">
            <v>1.4</v>
          </cell>
          <cell r="I20">
            <v>190</v>
          </cell>
          <cell r="J20">
            <v>599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2465</v>
          </cell>
          <cell r="E21">
            <v>690</v>
          </cell>
          <cell r="F21">
            <v>0.18</v>
          </cell>
          <cell r="H21">
            <v>1.5</v>
          </cell>
          <cell r="I21">
            <v>250</v>
          </cell>
          <cell r="J21">
            <v>740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3680</v>
          </cell>
          <cell r="E22">
            <v>764</v>
          </cell>
          <cell r="F22">
            <v>0.18</v>
          </cell>
          <cell r="H22">
            <v>1.5</v>
          </cell>
          <cell r="I22">
            <v>328</v>
          </cell>
          <cell r="J22">
            <v>1104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5616</v>
          </cell>
          <cell r="E23">
            <v>1032</v>
          </cell>
          <cell r="F23">
            <v>0.18</v>
          </cell>
          <cell r="H23">
            <v>1.5</v>
          </cell>
          <cell r="I23">
            <v>429</v>
          </cell>
          <cell r="J23">
            <v>1685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7614</v>
          </cell>
          <cell r="E24">
            <v>1400</v>
          </cell>
          <cell r="F24">
            <v>0.2</v>
          </cell>
          <cell r="H24">
            <v>1.5</v>
          </cell>
          <cell r="I24">
            <v>560</v>
          </cell>
          <cell r="J24">
            <v>2284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10055</v>
          </cell>
          <cell r="E25">
            <v>1868</v>
          </cell>
          <cell r="F25">
            <v>0.2</v>
          </cell>
          <cell r="H25">
            <v>1.6</v>
          </cell>
          <cell r="I25">
            <v>730</v>
          </cell>
          <cell r="J25">
            <v>3017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13340</v>
          </cell>
          <cell r="E26">
            <v>2468</v>
          </cell>
          <cell r="F26">
            <v>0.2</v>
          </cell>
          <cell r="H26">
            <v>1.6</v>
          </cell>
          <cell r="I26">
            <v>951</v>
          </cell>
          <cell r="J26">
            <v>4002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8">
        <row r="2">
          <cell r="C2">
            <v>50</v>
          </cell>
          <cell r="D2">
            <v>30</v>
          </cell>
          <cell r="E2">
            <v>7</v>
          </cell>
          <cell r="F2">
            <v>0</v>
          </cell>
          <cell r="H2">
            <v>1</v>
          </cell>
          <cell r="I2">
            <v>6</v>
          </cell>
          <cell r="J2">
            <v>9</v>
          </cell>
          <cell r="V2">
            <v>1.5</v>
          </cell>
          <cell r="Y2">
            <v>1</v>
          </cell>
        </row>
        <row r="3">
          <cell r="C3">
            <v>100</v>
          </cell>
          <cell r="D3">
            <v>32</v>
          </cell>
          <cell r="E3">
            <v>13</v>
          </cell>
          <cell r="F3">
            <v>0</v>
          </cell>
          <cell r="H3">
            <v>1</v>
          </cell>
          <cell r="I3">
            <v>10</v>
          </cell>
          <cell r="J3">
            <v>10</v>
          </cell>
          <cell r="V3">
            <v>1.5</v>
          </cell>
          <cell r="Y3">
            <v>1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</v>
          </cell>
          <cell r="H4">
            <v>1</v>
          </cell>
          <cell r="I4">
            <v>15</v>
          </cell>
          <cell r="J4">
            <v>10</v>
          </cell>
          <cell r="V4">
            <v>1.5</v>
          </cell>
          <cell r="Y4">
            <v>1</v>
          </cell>
        </row>
        <row r="5">
          <cell r="C5">
            <v>250</v>
          </cell>
          <cell r="D5">
            <v>36</v>
          </cell>
          <cell r="E5">
            <v>33</v>
          </cell>
          <cell r="F5">
            <v>0</v>
          </cell>
          <cell r="H5">
            <v>1</v>
          </cell>
          <cell r="I5">
            <v>22</v>
          </cell>
          <cell r="J5">
            <v>11</v>
          </cell>
          <cell r="V5">
            <v>1.5</v>
          </cell>
          <cell r="Y5">
            <v>1.02</v>
          </cell>
        </row>
        <row r="6">
          <cell r="C6">
            <v>350</v>
          </cell>
          <cell r="D6">
            <v>39</v>
          </cell>
          <cell r="E6">
            <v>47</v>
          </cell>
          <cell r="F6">
            <v>0</v>
          </cell>
          <cell r="H6">
            <v>1</v>
          </cell>
          <cell r="I6">
            <v>30</v>
          </cell>
          <cell r="J6">
            <v>12</v>
          </cell>
          <cell r="V6">
            <v>1.5</v>
          </cell>
          <cell r="Y6">
            <v>1.04</v>
          </cell>
        </row>
        <row r="7">
          <cell r="C7">
            <v>500</v>
          </cell>
          <cell r="D7">
            <v>43</v>
          </cell>
          <cell r="E7">
            <v>65</v>
          </cell>
          <cell r="F7">
            <v>0</v>
          </cell>
          <cell r="H7">
            <v>1</v>
          </cell>
          <cell r="I7">
            <v>44</v>
          </cell>
          <cell r="J7">
            <v>13</v>
          </cell>
          <cell r="V7">
            <v>1.5</v>
          </cell>
          <cell r="Y7">
            <v>1.07</v>
          </cell>
        </row>
        <row r="8">
          <cell r="C8">
            <v>650</v>
          </cell>
          <cell r="D8">
            <v>43</v>
          </cell>
          <cell r="E8">
            <v>87</v>
          </cell>
          <cell r="F8">
            <v>0</v>
          </cell>
          <cell r="H8">
            <v>1</v>
          </cell>
          <cell r="I8">
            <v>57</v>
          </cell>
          <cell r="J8">
            <v>13</v>
          </cell>
          <cell r="V8">
            <v>1.5</v>
          </cell>
          <cell r="Y8">
            <v>1.1000000000000001</v>
          </cell>
        </row>
        <row r="9">
          <cell r="C9">
            <v>850</v>
          </cell>
          <cell r="D9">
            <v>95</v>
          </cell>
          <cell r="E9">
            <v>110</v>
          </cell>
          <cell r="F9">
            <v>0</v>
          </cell>
          <cell r="H9">
            <v>1</v>
          </cell>
          <cell r="I9">
            <v>72</v>
          </cell>
          <cell r="J9">
            <v>29</v>
          </cell>
          <cell r="V9">
            <v>1.5</v>
          </cell>
          <cell r="Y9">
            <v>1.1400000000000001</v>
          </cell>
        </row>
        <row r="10">
          <cell r="C10">
            <v>1050</v>
          </cell>
          <cell r="D10">
            <v>111</v>
          </cell>
          <cell r="E10">
            <v>138</v>
          </cell>
          <cell r="F10">
            <v>0</v>
          </cell>
          <cell r="H10">
            <v>1</v>
          </cell>
          <cell r="I10">
            <v>86</v>
          </cell>
          <cell r="J10">
            <v>33</v>
          </cell>
          <cell r="V10">
            <v>1.5</v>
          </cell>
          <cell r="Y10">
            <v>1.1800000000000002</v>
          </cell>
        </row>
        <row r="11">
          <cell r="C11">
            <v>1250</v>
          </cell>
          <cell r="D11">
            <v>126</v>
          </cell>
          <cell r="E11">
            <v>164</v>
          </cell>
          <cell r="F11">
            <v>0</v>
          </cell>
          <cell r="H11">
            <v>1</v>
          </cell>
          <cell r="I11">
            <v>102</v>
          </cell>
          <cell r="J11">
            <v>38</v>
          </cell>
          <cell r="V11">
            <v>1.5</v>
          </cell>
          <cell r="Y11">
            <v>1.2200000000000002</v>
          </cell>
        </row>
        <row r="12">
          <cell r="C12">
            <v>1500</v>
          </cell>
          <cell r="D12">
            <v>221</v>
          </cell>
          <cell r="E12">
            <v>193</v>
          </cell>
          <cell r="F12">
            <v>0</v>
          </cell>
          <cell r="H12">
            <v>1</v>
          </cell>
          <cell r="I12">
            <v>120</v>
          </cell>
          <cell r="J12">
            <v>66</v>
          </cell>
          <cell r="V12">
            <v>1.5</v>
          </cell>
          <cell r="Y12">
            <v>1.2700000000000002</v>
          </cell>
        </row>
        <row r="13">
          <cell r="C13">
            <v>1750</v>
          </cell>
          <cell r="D13">
            <v>252</v>
          </cell>
          <cell r="E13">
            <v>225</v>
          </cell>
          <cell r="F13">
            <v>0</v>
          </cell>
          <cell r="H13">
            <v>1</v>
          </cell>
          <cell r="I13">
            <v>140</v>
          </cell>
          <cell r="J13">
            <v>76</v>
          </cell>
          <cell r="V13">
            <v>1.5</v>
          </cell>
          <cell r="Y13">
            <v>1.3200000000000003</v>
          </cell>
        </row>
        <row r="14">
          <cell r="C14">
            <v>2050</v>
          </cell>
          <cell r="D14">
            <v>294</v>
          </cell>
          <cell r="E14">
            <v>261</v>
          </cell>
          <cell r="F14">
            <v>0</v>
          </cell>
          <cell r="H14">
            <v>1</v>
          </cell>
          <cell r="I14">
            <v>162</v>
          </cell>
          <cell r="J14">
            <v>88</v>
          </cell>
          <cell r="V14">
            <v>1.5</v>
          </cell>
          <cell r="Y14">
            <v>1.3800000000000003</v>
          </cell>
        </row>
        <row r="15">
          <cell r="C15">
            <v>2400</v>
          </cell>
          <cell r="D15">
            <v>457</v>
          </cell>
          <cell r="E15">
            <v>301</v>
          </cell>
          <cell r="F15">
            <v>0</v>
          </cell>
          <cell r="H15">
            <v>1</v>
          </cell>
          <cell r="I15">
            <v>186</v>
          </cell>
          <cell r="J15">
            <v>137</v>
          </cell>
          <cell r="V15">
            <v>1.5</v>
          </cell>
          <cell r="Y15">
            <v>1.4500000000000004</v>
          </cell>
        </row>
        <row r="16">
          <cell r="C16">
            <v>2850</v>
          </cell>
          <cell r="D16">
            <v>561</v>
          </cell>
          <cell r="E16">
            <v>345</v>
          </cell>
          <cell r="F16">
            <v>0</v>
          </cell>
          <cell r="H16">
            <v>1</v>
          </cell>
          <cell r="I16">
            <v>213</v>
          </cell>
          <cell r="J16">
            <v>168</v>
          </cell>
          <cell r="V16">
            <v>1.5</v>
          </cell>
          <cell r="Y16">
            <v>1.5400000000000005</v>
          </cell>
        </row>
        <row r="17">
          <cell r="C17">
            <v>3350</v>
          </cell>
          <cell r="D17">
            <v>826</v>
          </cell>
          <cell r="E17">
            <v>394</v>
          </cell>
          <cell r="F17">
            <v>0</v>
          </cell>
          <cell r="H17">
            <v>1</v>
          </cell>
          <cell r="I17">
            <v>243</v>
          </cell>
          <cell r="J17">
            <v>248</v>
          </cell>
          <cell r="V17">
            <v>1.5</v>
          </cell>
          <cell r="Y17">
            <v>1.6400000000000006</v>
          </cell>
        </row>
        <row r="18">
          <cell r="C18">
            <v>3900</v>
          </cell>
          <cell r="D18">
            <v>978</v>
          </cell>
          <cell r="E18">
            <v>448</v>
          </cell>
          <cell r="F18">
            <v>0</v>
          </cell>
          <cell r="H18">
            <v>1</v>
          </cell>
          <cell r="I18">
            <v>276</v>
          </cell>
          <cell r="J18">
            <v>293</v>
          </cell>
          <cell r="V18">
            <v>1.5</v>
          </cell>
          <cell r="Y18">
            <v>1.7500000000000007</v>
          </cell>
        </row>
        <row r="19">
          <cell r="C19">
            <v>4550</v>
          </cell>
          <cell r="D19">
            <v>1165</v>
          </cell>
          <cell r="E19">
            <v>508</v>
          </cell>
          <cell r="F19">
            <v>0</v>
          </cell>
          <cell r="H19">
            <v>1</v>
          </cell>
          <cell r="I19">
            <v>313</v>
          </cell>
          <cell r="J19">
            <v>350</v>
          </cell>
          <cell r="V19">
            <v>1.5</v>
          </cell>
          <cell r="Y19">
            <v>1.8800000000000008</v>
          </cell>
        </row>
        <row r="20">
          <cell r="C20">
            <v>5500</v>
          </cell>
          <cell r="D20">
            <v>1725</v>
          </cell>
          <cell r="E20">
            <v>575</v>
          </cell>
          <cell r="F20">
            <v>0</v>
          </cell>
          <cell r="H20">
            <v>1</v>
          </cell>
          <cell r="I20">
            <v>354</v>
          </cell>
          <cell r="J20">
            <v>518</v>
          </cell>
          <cell r="V20">
            <v>1.5</v>
          </cell>
          <cell r="Y20">
            <v>2.0699999999999994</v>
          </cell>
        </row>
        <row r="21">
          <cell r="C21">
            <v>6600</v>
          </cell>
          <cell r="D21">
            <v>2107</v>
          </cell>
          <cell r="E21">
            <v>680</v>
          </cell>
          <cell r="F21">
            <v>0</v>
          </cell>
          <cell r="H21">
            <v>1</v>
          </cell>
          <cell r="I21">
            <v>440</v>
          </cell>
          <cell r="J21">
            <v>632</v>
          </cell>
          <cell r="V21">
            <v>1.5</v>
          </cell>
          <cell r="Y21">
            <v>2.5</v>
          </cell>
        </row>
        <row r="22">
          <cell r="C22">
            <v>9450</v>
          </cell>
          <cell r="D22">
            <v>3035</v>
          </cell>
          <cell r="E22">
            <v>764</v>
          </cell>
          <cell r="F22">
            <v>0</v>
          </cell>
          <cell r="H22">
            <v>1</v>
          </cell>
          <cell r="I22">
            <v>543</v>
          </cell>
          <cell r="J22">
            <v>911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4720</v>
          </cell>
          <cell r="E23">
            <v>1032</v>
          </cell>
          <cell r="F23">
            <v>0</v>
          </cell>
          <cell r="H23">
            <v>1</v>
          </cell>
          <cell r="I23">
            <v>667</v>
          </cell>
          <cell r="J23">
            <v>1416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6533</v>
          </cell>
          <cell r="E24">
            <v>1400</v>
          </cell>
          <cell r="F24">
            <v>0</v>
          </cell>
          <cell r="H24">
            <v>1</v>
          </cell>
          <cell r="I24">
            <v>816</v>
          </cell>
          <cell r="J24">
            <v>1960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8859</v>
          </cell>
          <cell r="E25">
            <v>1868</v>
          </cell>
          <cell r="F25">
            <v>0</v>
          </cell>
          <cell r="H25">
            <v>1</v>
          </cell>
          <cell r="I25">
            <v>995</v>
          </cell>
          <cell r="J25">
            <v>2658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11875</v>
          </cell>
          <cell r="E26">
            <v>2468</v>
          </cell>
          <cell r="F26">
            <v>0</v>
          </cell>
          <cell r="H26">
            <v>1</v>
          </cell>
          <cell r="I26">
            <v>1210</v>
          </cell>
          <cell r="J26">
            <v>3563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9">
        <row r="2">
          <cell r="C2">
            <v>50</v>
          </cell>
          <cell r="D2">
            <v>27</v>
          </cell>
          <cell r="E2">
            <v>10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27</v>
          </cell>
          <cell r="E3">
            <v>19</v>
          </cell>
          <cell r="F3">
            <v>0</v>
          </cell>
          <cell r="H3">
            <v>1</v>
          </cell>
          <cell r="I3">
            <v>13</v>
          </cell>
          <cell r="J3">
            <v>8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28</v>
          </cell>
          <cell r="E4">
            <v>29</v>
          </cell>
          <cell r="F4">
            <v>2.5000000000000001E-3</v>
          </cell>
          <cell r="H4">
            <v>1</v>
          </cell>
          <cell r="I4">
            <v>15</v>
          </cell>
          <cell r="J4">
            <v>8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32</v>
          </cell>
          <cell r="E5">
            <v>45</v>
          </cell>
          <cell r="F5">
            <v>2.5000000000000001E-3</v>
          </cell>
          <cell r="H5">
            <v>1</v>
          </cell>
          <cell r="I5">
            <v>22</v>
          </cell>
          <cell r="J5">
            <v>10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34</v>
          </cell>
          <cell r="E6">
            <v>64</v>
          </cell>
          <cell r="F6">
            <v>5.0000000000000001E-3</v>
          </cell>
          <cell r="H6">
            <v>1</v>
          </cell>
          <cell r="I6">
            <v>28</v>
          </cell>
          <cell r="J6">
            <v>10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54</v>
          </cell>
          <cell r="E7">
            <v>80</v>
          </cell>
          <cell r="F7">
            <v>0.01</v>
          </cell>
          <cell r="H7">
            <v>1</v>
          </cell>
          <cell r="I7">
            <v>35</v>
          </cell>
          <cell r="J7">
            <v>16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68</v>
          </cell>
          <cell r="E8">
            <v>100</v>
          </cell>
          <cell r="F8">
            <v>1.4999999999999999E-2</v>
          </cell>
          <cell r="H8">
            <v>1</v>
          </cell>
          <cell r="I8">
            <v>43</v>
          </cell>
          <cell r="J8">
            <v>20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131</v>
          </cell>
          <cell r="E9">
            <v>128</v>
          </cell>
          <cell r="F9">
            <v>2.5000000000000001E-2</v>
          </cell>
          <cell r="H9">
            <v>1</v>
          </cell>
          <cell r="I9">
            <v>52</v>
          </cell>
          <cell r="J9">
            <v>39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153</v>
          </cell>
          <cell r="E10">
            <v>160</v>
          </cell>
          <cell r="F10">
            <v>2.9000000000000001E-2</v>
          </cell>
          <cell r="H10">
            <v>1</v>
          </cell>
          <cell r="I10">
            <v>62</v>
          </cell>
          <cell r="J10">
            <v>46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164</v>
          </cell>
          <cell r="E11">
            <v>197</v>
          </cell>
          <cell r="F11">
            <v>3.6999999999999998E-2</v>
          </cell>
          <cell r="H11">
            <v>1</v>
          </cell>
          <cell r="I11">
            <v>73</v>
          </cell>
          <cell r="J11">
            <v>49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273</v>
          </cell>
          <cell r="E12">
            <v>231</v>
          </cell>
          <cell r="F12">
            <v>4.5999999999999999E-2</v>
          </cell>
          <cell r="H12">
            <v>1</v>
          </cell>
          <cell r="I12">
            <v>85</v>
          </cell>
          <cell r="J12">
            <v>82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311</v>
          </cell>
          <cell r="E13">
            <v>269</v>
          </cell>
          <cell r="F13">
            <v>5.5E-2</v>
          </cell>
          <cell r="H13">
            <v>1</v>
          </cell>
          <cell r="I13">
            <v>98</v>
          </cell>
          <cell r="J13">
            <v>93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361</v>
          </cell>
          <cell r="E14">
            <v>311</v>
          </cell>
          <cell r="F14">
            <v>6.5000000000000002E-2</v>
          </cell>
          <cell r="H14">
            <v>1</v>
          </cell>
          <cell r="I14">
            <v>113</v>
          </cell>
          <cell r="J14">
            <v>108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542</v>
          </cell>
          <cell r="E15">
            <v>358</v>
          </cell>
          <cell r="F15">
            <v>7.5999999999999998E-2</v>
          </cell>
          <cell r="H15">
            <v>1</v>
          </cell>
          <cell r="I15">
            <v>130</v>
          </cell>
          <cell r="J15">
            <v>163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656</v>
          </cell>
          <cell r="E16">
            <v>410</v>
          </cell>
          <cell r="F16">
            <v>8.8999999999999996E-2</v>
          </cell>
          <cell r="H16">
            <v>1</v>
          </cell>
          <cell r="I16">
            <v>149</v>
          </cell>
          <cell r="J16">
            <v>197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949</v>
          </cell>
          <cell r="E17">
            <v>468</v>
          </cell>
          <cell r="F17">
            <v>0.1</v>
          </cell>
          <cell r="H17">
            <v>1</v>
          </cell>
          <cell r="I17">
            <v>170</v>
          </cell>
          <cell r="J17">
            <v>285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1114</v>
          </cell>
          <cell r="E18">
            <v>532</v>
          </cell>
          <cell r="F18">
            <v>0.111</v>
          </cell>
          <cell r="H18">
            <v>1</v>
          </cell>
          <cell r="I18">
            <v>193</v>
          </cell>
          <cell r="J18">
            <v>334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1314</v>
          </cell>
          <cell r="E19">
            <v>603</v>
          </cell>
          <cell r="F19">
            <v>0.125</v>
          </cell>
          <cell r="H19">
            <v>1</v>
          </cell>
          <cell r="I19">
            <v>219</v>
          </cell>
          <cell r="J19">
            <v>394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1935</v>
          </cell>
          <cell r="E20">
            <v>682</v>
          </cell>
          <cell r="F20">
            <v>0.13</v>
          </cell>
          <cell r="H20">
            <v>1</v>
          </cell>
          <cell r="I20">
            <v>248</v>
          </cell>
          <cell r="J20">
            <v>581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2572</v>
          </cell>
          <cell r="E21">
            <v>820</v>
          </cell>
          <cell r="F21">
            <v>0.18</v>
          </cell>
          <cell r="H21">
            <v>1</v>
          </cell>
          <cell r="I21">
            <v>280</v>
          </cell>
          <cell r="J21">
            <v>772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3600</v>
          </cell>
          <cell r="E22">
            <v>1006</v>
          </cell>
          <cell r="F22">
            <v>0.18</v>
          </cell>
          <cell r="H22">
            <v>1</v>
          </cell>
          <cell r="I22">
            <v>328</v>
          </cell>
          <cell r="J22">
            <v>1080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5707</v>
          </cell>
          <cell r="E23">
            <v>1257</v>
          </cell>
          <cell r="F23">
            <v>0.18</v>
          </cell>
          <cell r="H23">
            <v>1</v>
          </cell>
          <cell r="I23">
            <v>400</v>
          </cell>
          <cell r="J23">
            <v>1712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7929</v>
          </cell>
          <cell r="E24">
            <v>1596</v>
          </cell>
          <cell r="F24">
            <v>0.2</v>
          </cell>
          <cell r="H24">
            <v>1</v>
          </cell>
          <cell r="I24">
            <v>508</v>
          </cell>
          <cell r="J24">
            <v>2379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10732</v>
          </cell>
          <cell r="E25">
            <v>2054</v>
          </cell>
          <cell r="F25">
            <v>0.2</v>
          </cell>
          <cell r="H25">
            <v>1</v>
          </cell>
          <cell r="I25">
            <v>670</v>
          </cell>
          <cell r="J25">
            <v>3220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14246</v>
          </cell>
          <cell r="E26">
            <v>2672</v>
          </cell>
          <cell r="F26">
            <v>0.2</v>
          </cell>
          <cell r="H26">
            <v>1</v>
          </cell>
          <cell r="I26">
            <v>913</v>
          </cell>
          <cell r="J26">
            <v>4274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0">
        <row r="2">
          <cell r="C2">
            <v>50</v>
          </cell>
          <cell r="D2">
            <v>25</v>
          </cell>
          <cell r="E2">
            <v>9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  <cell r="V2">
            <v>1.2</v>
          </cell>
          <cell r="Y2">
            <v>1</v>
          </cell>
        </row>
        <row r="3">
          <cell r="C3">
            <v>100</v>
          </cell>
          <cell r="D3">
            <v>29</v>
          </cell>
          <cell r="E3">
            <v>13</v>
          </cell>
          <cell r="F3">
            <v>0.10005</v>
          </cell>
          <cell r="H3">
            <v>1</v>
          </cell>
          <cell r="I3">
            <v>13</v>
          </cell>
          <cell r="J3">
            <v>9</v>
          </cell>
          <cell r="V3">
            <v>1.2</v>
          </cell>
          <cell r="Y3">
            <v>1</v>
          </cell>
        </row>
        <row r="4">
          <cell r="C4">
            <v>150</v>
          </cell>
          <cell r="D4">
            <v>33</v>
          </cell>
          <cell r="E4">
            <v>18</v>
          </cell>
          <cell r="F4">
            <v>0.10009999999999999</v>
          </cell>
          <cell r="H4">
            <v>1</v>
          </cell>
          <cell r="I4">
            <v>17</v>
          </cell>
          <cell r="J4">
            <v>10</v>
          </cell>
          <cell r="V4">
            <v>1.2</v>
          </cell>
          <cell r="Y4">
            <v>1</v>
          </cell>
        </row>
        <row r="5">
          <cell r="C5">
            <v>250</v>
          </cell>
          <cell r="D5">
            <v>38</v>
          </cell>
          <cell r="E5">
            <v>30</v>
          </cell>
          <cell r="F5">
            <v>0.10019999999999998</v>
          </cell>
          <cell r="H5">
            <v>1</v>
          </cell>
          <cell r="I5">
            <v>25</v>
          </cell>
          <cell r="J5">
            <v>11</v>
          </cell>
          <cell r="V5">
            <v>1.2</v>
          </cell>
          <cell r="Y5">
            <v>1.02</v>
          </cell>
        </row>
        <row r="6">
          <cell r="C6">
            <v>350</v>
          </cell>
          <cell r="D6">
            <v>40</v>
          </cell>
          <cell r="E6">
            <v>43</v>
          </cell>
          <cell r="F6">
            <v>0.10029999999999997</v>
          </cell>
          <cell r="H6">
            <v>1.2</v>
          </cell>
          <cell r="I6">
            <v>30</v>
          </cell>
          <cell r="J6">
            <v>12</v>
          </cell>
          <cell r="V6">
            <v>1.2</v>
          </cell>
          <cell r="Y6">
            <v>1.04</v>
          </cell>
        </row>
        <row r="7">
          <cell r="C7">
            <v>500</v>
          </cell>
          <cell r="D7">
            <v>45</v>
          </cell>
          <cell r="E7">
            <v>60</v>
          </cell>
          <cell r="F7">
            <v>0.10044999999999996</v>
          </cell>
          <cell r="H7">
            <v>1.2</v>
          </cell>
          <cell r="I7">
            <v>42</v>
          </cell>
          <cell r="J7">
            <v>14</v>
          </cell>
          <cell r="V7">
            <v>1.2</v>
          </cell>
          <cell r="Y7">
            <v>1.07</v>
          </cell>
        </row>
        <row r="8">
          <cell r="C8">
            <v>650</v>
          </cell>
          <cell r="D8">
            <v>52</v>
          </cell>
          <cell r="E8">
            <v>80</v>
          </cell>
          <cell r="F8">
            <v>0.10059999999999994</v>
          </cell>
          <cell r="H8">
            <v>1.2</v>
          </cell>
          <cell r="I8">
            <v>50</v>
          </cell>
          <cell r="J8">
            <v>16</v>
          </cell>
          <cell r="V8">
            <v>1.2</v>
          </cell>
          <cell r="Y8">
            <v>1.1000000000000001</v>
          </cell>
        </row>
        <row r="9">
          <cell r="C9">
            <v>850</v>
          </cell>
          <cell r="D9">
            <v>100</v>
          </cell>
          <cell r="E9">
            <v>104</v>
          </cell>
          <cell r="F9">
            <v>0.10079999999999992</v>
          </cell>
          <cell r="H9">
            <v>1.2</v>
          </cell>
          <cell r="I9">
            <v>67</v>
          </cell>
          <cell r="J9">
            <v>30</v>
          </cell>
          <cell r="V9">
            <v>1.2</v>
          </cell>
          <cell r="Y9">
            <v>1.1400000000000001</v>
          </cell>
        </row>
        <row r="10">
          <cell r="C10">
            <v>1050</v>
          </cell>
          <cell r="D10">
            <v>125</v>
          </cell>
          <cell r="E10">
            <v>125</v>
          </cell>
          <cell r="F10">
            <v>0.1009999999999999</v>
          </cell>
          <cell r="H10">
            <v>1.2</v>
          </cell>
          <cell r="I10">
            <v>79</v>
          </cell>
          <cell r="J10">
            <v>38</v>
          </cell>
          <cell r="V10">
            <v>1.2</v>
          </cell>
          <cell r="Y10">
            <v>1.1800000000000002</v>
          </cell>
        </row>
        <row r="11">
          <cell r="C11">
            <v>1250</v>
          </cell>
          <cell r="D11">
            <v>135</v>
          </cell>
          <cell r="E11">
            <v>148</v>
          </cell>
          <cell r="F11">
            <v>0.10119999999999987</v>
          </cell>
          <cell r="H11">
            <v>1.3</v>
          </cell>
          <cell r="I11">
            <v>92</v>
          </cell>
          <cell r="J11">
            <v>41</v>
          </cell>
          <cell r="V11">
            <v>1.2</v>
          </cell>
          <cell r="Y11">
            <v>1.2200000000000002</v>
          </cell>
        </row>
        <row r="12">
          <cell r="C12">
            <v>1500</v>
          </cell>
          <cell r="D12">
            <v>238</v>
          </cell>
          <cell r="E12">
            <v>174</v>
          </cell>
          <cell r="F12">
            <v>0.10144999999999985</v>
          </cell>
          <cell r="H12">
            <v>1.3</v>
          </cell>
          <cell r="I12">
            <v>107</v>
          </cell>
          <cell r="J12">
            <v>71</v>
          </cell>
          <cell r="V12">
            <v>1.2</v>
          </cell>
          <cell r="Y12">
            <v>1.2700000000000002</v>
          </cell>
        </row>
        <row r="13">
          <cell r="C13">
            <v>1750</v>
          </cell>
          <cell r="D13">
            <v>271</v>
          </cell>
          <cell r="E13">
            <v>203</v>
          </cell>
          <cell r="F13">
            <v>0.10169999999999982</v>
          </cell>
          <cell r="H13">
            <v>1.3</v>
          </cell>
          <cell r="I13">
            <v>124</v>
          </cell>
          <cell r="J13">
            <v>81</v>
          </cell>
          <cell r="V13">
            <v>1.2</v>
          </cell>
          <cell r="Y13">
            <v>1.3200000000000003</v>
          </cell>
        </row>
        <row r="14">
          <cell r="C14">
            <v>2050</v>
          </cell>
          <cell r="D14">
            <v>318</v>
          </cell>
          <cell r="E14">
            <v>235</v>
          </cell>
          <cell r="F14">
            <v>0.10199999999999979</v>
          </cell>
          <cell r="H14">
            <v>1.3</v>
          </cell>
          <cell r="I14">
            <v>143</v>
          </cell>
          <cell r="J14">
            <v>95</v>
          </cell>
          <cell r="V14">
            <v>1.2</v>
          </cell>
          <cell r="Y14">
            <v>1.3800000000000003</v>
          </cell>
        </row>
        <row r="15">
          <cell r="C15">
            <v>2400</v>
          </cell>
          <cell r="D15">
            <v>491</v>
          </cell>
          <cell r="E15">
            <v>271</v>
          </cell>
          <cell r="F15">
            <v>0.10234999999999975</v>
          </cell>
          <cell r="H15">
            <v>1.3</v>
          </cell>
          <cell r="I15">
            <v>164</v>
          </cell>
          <cell r="J15">
            <v>147</v>
          </cell>
          <cell r="V15">
            <v>1.2</v>
          </cell>
          <cell r="Y15">
            <v>1.4500000000000004</v>
          </cell>
        </row>
        <row r="16">
          <cell r="C16">
            <v>2850</v>
          </cell>
          <cell r="D16">
            <v>580</v>
          </cell>
          <cell r="E16">
            <v>311</v>
          </cell>
          <cell r="F16">
            <v>0.1027999999999997</v>
          </cell>
          <cell r="H16">
            <v>1.4</v>
          </cell>
          <cell r="I16">
            <v>187</v>
          </cell>
          <cell r="J16">
            <v>174</v>
          </cell>
          <cell r="V16">
            <v>1.2</v>
          </cell>
          <cell r="Y16">
            <v>1.5400000000000005</v>
          </cell>
        </row>
        <row r="17">
          <cell r="C17">
            <v>3350</v>
          </cell>
          <cell r="D17">
            <v>859</v>
          </cell>
          <cell r="E17">
            <v>355</v>
          </cell>
          <cell r="F17">
            <v>0.10329999999999964</v>
          </cell>
          <cell r="H17">
            <v>1.4</v>
          </cell>
          <cell r="I17">
            <v>213</v>
          </cell>
          <cell r="J17">
            <v>258</v>
          </cell>
          <cell r="V17">
            <v>1.2</v>
          </cell>
          <cell r="Y17">
            <v>1.6400000000000006</v>
          </cell>
        </row>
        <row r="18">
          <cell r="C18">
            <v>3900</v>
          </cell>
          <cell r="D18">
            <v>1015</v>
          </cell>
          <cell r="E18">
            <v>404</v>
          </cell>
          <cell r="F18">
            <v>0.10384999999999958</v>
          </cell>
          <cell r="H18">
            <v>1.4</v>
          </cell>
          <cell r="I18">
            <v>242</v>
          </cell>
          <cell r="J18">
            <v>305</v>
          </cell>
          <cell r="V18">
            <v>1.2</v>
          </cell>
          <cell r="Y18">
            <v>1.7500000000000007</v>
          </cell>
        </row>
        <row r="19">
          <cell r="C19">
            <v>4550</v>
          </cell>
          <cell r="D19">
            <v>1210</v>
          </cell>
          <cell r="E19">
            <v>458</v>
          </cell>
          <cell r="F19">
            <v>0.10449999999999951</v>
          </cell>
          <cell r="H19">
            <v>1.4</v>
          </cell>
          <cell r="I19">
            <v>274</v>
          </cell>
          <cell r="J19">
            <v>363</v>
          </cell>
          <cell r="V19">
            <v>1.2</v>
          </cell>
          <cell r="Y19">
            <v>1.8800000000000008</v>
          </cell>
        </row>
        <row r="20">
          <cell r="C20">
            <v>5500</v>
          </cell>
          <cell r="D20">
            <v>1799</v>
          </cell>
          <cell r="E20">
            <v>518</v>
          </cell>
          <cell r="F20">
            <v>0.10544999999999941</v>
          </cell>
          <cell r="H20">
            <v>1.4</v>
          </cell>
          <cell r="I20">
            <v>310</v>
          </cell>
          <cell r="J20">
            <v>540</v>
          </cell>
          <cell r="V20">
            <v>1.2</v>
          </cell>
          <cell r="Y20">
            <v>2.0699999999999994</v>
          </cell>
        </row>
        <row r="21">
          <cell r="C21">
            <v>6600</v>
          </cell>
          <cell r="D21">
            <v>2413</v>
          </cell>
          <cell r="E21">
            <v>620</v>
          </cell>
          <cell r="F21">
            <v>0.10704999999999923</v>
          </cell>
          <cell r="H21">
            <v>1.5</v>
          </cell>
          <cell r="I21">
            <v>350</v>
          </cell>
          <cell r="J21">
            <v>724</v>
          </cell>
          <cell r="V21">
            <v>1.2</v>
          </cell>
          <cell r="Y21">
            <v>2.3899999999999926</v>
          </cell>
        </row>
        <row r="22">
          <cell r="C22">
            <v>9450</v>
          </cell>
          <cell r="D22">
            <v>3380</v>
          </cell>
          <cell r="E22">
            <v>764</v>
          </cell>
          <cell r="F22">
            <v>0.10939999999999897</v>
          </cell>
          <cell r="H22">
            <v>1.5</v>
          </cell>
          <cell r="I22">
            <v>410</v>
          </cell>
          <cell r="J22">
            <v>1014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5227</v>
          </cell>
          <cell r="E23">
            <v>1032</v>
          </cell>
          <cell r="F23">
            <v>0.1127499999999986</v>
          </cell>
          <cell r="H23">
            <v>1.5</v>
          </cell>
          <cell r="I23">
            <v>500</v>
          </cell>
          <cell r="J23">
            <v>1568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7149</v>
          </cell>
          <cell r="E24">
            <v>1400</v>
          </cell>
          <cell r="F24">
            <v>0.11734999999999809</v>
          </cell>
          <cell r="H24">
            <v>1.5</v>
          </cell>
          <cell r="I24">
            <v>635</v>
          </cell>
          <cell r="J24">
            <v>2145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9415</v>
          </cell>
          <cell r="E25">
            <v>1868</v>
          </cell>
          <cell r="F25">
            <v>0.12319999999999745</v>
          </cell>
          <cell r="H25">
            <v>1.6</v>
          </cell>
          <cell r="I25">
            <v>838</v>
          </cell>
          <cell r="J25">
            <v>2825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12394</v>
          </cell>
          <cell r="E26">
            <v>2468</v>
          </cell>
          <cell r="F26">
            <v>0.13069999999999662</v>
          </cell>
          <cell r="H26">
            <v>1.6</v>
          </cell>
          <cell r="I26">
            <v>1143</v>
          </cell>
          <cell r="J26">
            <v>3718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1">
        <row r="2">
          <cell r="C2">
            <v>50</v>
          </cell>
          <cell r="D2">
            <v>27</v>
          </cell>
          <cell r="E2">
            <v>8</v>
          </cell>
          <cell r="F2">
            <v>0</v>
          </cell>
          <cell r="H2">
            <v>1</v>
          </cell>
          <cell r="I2">
            <v>6</v>
          </cell>
          <cell r="J2">
            <v>14</v>
          </cell>
          <cell r="V2">
            <v>1.5</v>
          </cell>
          <cell r="Y2">
            <v>1</v>
          </cell>
        </row>
        <row r="3">
          <cell r="C3">
            <v>100</v>
          </cell>
          <cell r="D3">
            <v>32</v>
          </cell>
          <cell r="E3">
            <v>12</v>
          </cell>
          <cell r="F3">
            <v>0</v>
          </cell>
          <cell r="H3">
            <v>1</v>
          </cell>
          <cell r="I3">
            <v>10</v>
          </cell>
          <cell r="J3">
            <v>16</v>
          </cell>
          <cell r="V3">
            <v>1.5</v>
          </cell>
          <cell r="Y3">
            <v>1</v>
          </cell>
        </row>
        <row r="4">
          <cell r="C4">
            <v>150</v>
          </cell>
          <cell r="D4">
            <v>35</v>
          </cell>
          <cell r="E4">
            <v>18</v>
          </cell>
          <cell r="F4">
            <v>0</v>
          </cell>
          <cell r="H4">
            <v>1</v>
          </cell>
          <cell r="I4">
            <v>14</v>
          </cell>
          <cell r="J4">
            <v>18</v>
          </cell>
          <cell r="V4">
            <v>1.5</v>
          </cell>
          <cell r="Y4">
            <v>1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</v>
          </cell>
          <cell r="H5">
            <v>1</v>
          </cell>
          <cell r="I5">
            <v>18</v>
          </cell>
          <cell r="J5">
            <v>23</v>
          </cell>
          <cell r="V5">
            <v>1.5</v>
          </cell>
          <cell r="Y5">
            <v>1.02</v>
          </cell>
        </row>
        <row r="6">
          <cell r="C6">
            <v>350</v>
          </cell>
          <cell r="D6">
            <v>54</v>
          </cell>
          <cell r="E6">
            <v>42</v>
          </cell>
          <cell r="F6">
            <v>0</v>
          </cell>
          <cell r="H6">
            <v>1</v>
          </cell>
          <cell r="I6">
            <v>23</v>
          </cell>
          <cell r="J6">
            <v>27</v>
          </cell>
          <cell r="V6">
            <v>1.5</v>
          </cell>
          <cell r="Y6">
            <v>1.04</v>
          </cell>
        </row>
        <row r="7">
          <cell r="C7">
            <v>500</v>
          </cell>
          <cell r="D7">
            <v>75</v>
          </cell>
          <cell r="E7">
            <v>55</v>
          </cell>
          <cell r="F7">
            <v>0</v>
          </cell>
          <cell r="H7">
            <v>1</v>
          </cell>
          <cell r="I7">
            <v>29</v>
          </cell>
          <cell r="J7">
            <v>38</v>
          </cell>
          <cell r="V7">
            <v>1.5</v>
          </cell>
          <cell r="Y7">
            <v>1.07</v>
          </cell>
        </row>
        <row r="8">
          <cell r="C8">
            <v>650</v>
          </cell>
          <cell r="D8">
            <v>86</v>
          </cell>
          <cell r="E8">
            <v>76</v>
          </cell>
          <cell r="F8">
            <v>0</v>
          </cell>
          <cell r="H8">
            <v>1</v>
          </cell>
          <cell r="I8">
            <v>36</v>
          </cell>
          <cell r="J8">
            <v>43</v>
          </cell>
          <cell r="V8">
            <v>1.5</v>
          </cell>
          <cell r="Y8">
            <v>1.1000000000000001</v>
          </cell>
        </row>
        <row r="9">
          <cell r="C9">
            <v>850</v>
          </cell>
          <cell r="D9">
            <v>147</v>
          </cell>
          <cell r="E9">
            <v>98</v>
          </cell>
          <cell r="F9">
            <v>0</v>
          </cell>
          <cell r="H9">
            <v>1</v>
          </cell>
          <cell r="I9">
            <v>44</v>
          </cell>
          <cell r="J9">
            <v>74</v>
          </cell>
          <cell r="V9">
            <v>1.5</v>
          </cell>
          <cell r="Y9">
            <v>1.1400000000000001</v>
          </cell>
        </row>
        <row r="10">
          <cell r="C10">
            <v>1050</v>
          </cell>
          <cell r="D10">
            <v>179</v>
          </cell>
          <cell r="E10">
            <v>118</v>
          </cell>
          <cell r="F10">
            <v>0</v>
          </cell>
          <cell r="H10">
            <v>1</v>
          </cell>
          <cell r="I10">
            <v>53</v>
          </cell>
          <cell r="J10">
            <v>90</v>
          </cell>
          <cell r="V10">
            <v>1.5</v>
          </cell>
          <cell r="Y10">
            <v>1.1800000000000002</v>
          </cell>
        </row>
        <row r="11">
          <cell r="C11">
            <v>1250</v>
          </cell>
          <cell r="D11">
            <v>205</v>
          </cell>
          <cell r="E11">
            <v>143</v>
          </cell>
          <cell r="F11">
            <v>0</v>
          </cell>
          <cell r="H11">
            <v>1</v>
          </cell>
          <cell r="I11">
            <v>63</v>
          </cell>
          <cell r="J11">
            <v>103</v>
          </cell>
          <cell r="V11">
            <v>1.5</v>
          </cell>
          <cell r="Y11">
            <v>1.2200000000000002</v>
          </cell>
        </row>
        <row r="12">
          <cell r="C12">
            <v>1500</v>
          </cell>
          <cell r="D12">
            <v>311</v>
          </cell>
          <cell r="E12">
            <v>167</v>
          </cell>
          <cell r="F12">
            <v>0</v>
          </cell>
          <cell r="H12">
            <v>1</v>
          </cell>
          <cell r="I12">
            <v>74</v>
          </cell>
          <cell r="J12">
            <v>156</v>
          </cell>
          <cell r="V12">
            <v>1.5</v>
          </cell>
          <cell r="Y12">
            <v>1.2700000000000002</v>
          </cell>
        </row>
        <row r="13">
          <cell r="C13">
            <v>1750</v>
          </cell>
          <cell r="D13">
            <v>358</v>
          </cell>
          <cell r="E13">
            <v>194</v>
          </cell>
          <cell r="F13">
            <v>0</v>
          </cell>
          <cell r="H13">
            <v>1</v>
          </cell>
          <cell r="I13">
            <v>86</v>
          </cell>
          <cell r="J13">
            <v>179</v>
          </cell>
          <cell r="V13">
            <v>1.5</v>
          </cell>
          <cell r="Y13">
            <v>1.3200000000000003</v>
          </cell>
        </row>
        <row r="14">
          <cell r="C14">
            <v>2050</v>
          </cell>
          <cell r="D14">
            <v>419</v>
          </cell>
          <cell r="E14">
            <v>224</v>
          </cell>
          <cell r="F14">
            <v>0</v>
          </cell>
          <cell r="H14">
            <v>1</v>
          </cell>
          <cell r="I14">
            <v>99</v>
          </cell>
          <cell r="J14">
            <v>210</v>
          </cell>
          <cell r="V14">
            <v>1.5</v>
          </cell>
          <cell r="Y14">
            <v>1.3800000000000003</v>
          </cell>
        </row>
        <row r="15">
          <cell r="C15">
            <v>2400</v>
          </cell>
          <cell r="D15">
            <v>594</v>
          </cell>
          <cell r="E15">
            <v>257</v>
          </cell>
          <cell r="F15">
            <v>0</v>
          </cell>
          <cell r="H15">
            <v>1</v>
          </cell>
          <cell r="I15">
            <v>114</v>
          </cell>
          <cell r="J15">
            <v>297</v>
          </cell>
          <cell r="V15">
            <v>1.5</v>
          </cell>
          <cell r="Y15">
            <v>1.4500000000000004</v>
          </cell>
        </row>
        <row r="16">
          <cell r="C16">
            <v>2850</v>
          </cell>
          <cell r="D16">
            <v>717</v>
          </cell>
          <cell r="E16">
            <v>293</v>
          </cell>
          <cell r="F16">
            <v>0</v>
          </cell>
          <cell r="H16">
            <v>1</v>
          </cell>
          <cell r="I16">
            <v>131</v>
          </cell>
          <cell r="J16">
            <v>359</v>
          </cell>
          <cell r="V16">
            <v>1.5</v>
          </cell>
          <cell r="Y16">
            <v>1.5400000000000005</v>
          </cell>
        </row>
        <row r="17">
          <cell r="C17">
            <v>3350</v>
          </cell>
          <cell r="D17">
            <v>992</v>
          </cell>
          <cell r="E17">
            <v>333</v>
          </cell>
          <cell r="F17">
            <v>0</v>
          </cell>
          <cell r="H17">
            <v>1</v>
          </cell>
          <cell r="I17">
            <v>150</v>
          </cell>
          <cell r="J17">
            <v>496</v>
          </cell>
          <cell r="V17">
            <v>1.5</v>
          </cell>
          <cell r="Y17">
            <v>1.6400000000000006</v>
          </cell>
        </row>
        <row r="18">
          <cell r="C18">
            <v>3900</v>
          </cell>
          <cell r="D18">
            <v>1166</v>
          </cell>
          <cell r="E18">
            <v>376</v>
          </cell>
          <cell r="F18">
            <v>0</v>
          </cell>
          <cell r="H18">
            <v>1</v>
          </cell>
          <cell r="I18">
            <v>171</v>
          </cell>
          <cell r="J18">
            <v>583</v>
          </cell>
          <cell r="V18">
            <v>1.5</v>
          </cell>
          <cell r="Y18">
            <v>1.7500000000000007</v>
          </cell>
        </row>
        <row r="19">
          <cell r="C19">
            <v>4550</v>
          </cell>
          <cell r="D19">
            <v>1375</v>
          </cell>
          <cell r="E19">
            <v>425</v>
          </cell>
          <cell r="F19">
            <v>0</v>
          </cell>
          <cell r="H19">
            <v>1</v>
          </cell>
          <cell r="I19">
            <v>195</v>
          </cell>
          <cell r="J19">
            <v>688</v>
          </cell>
          <cell r="V19">
            <v>1.5</v>
          </cell>
          <cell r="Y19">
            <v>1.8800000000000008</v>
          </cell>
        </row>
        <row r="20">
          <cell r="C20">
            <v>5500</v>
          </cell>
          <cell r="D20">
            <v>1935</v>
          </cell>
          <cell r="E20">
            <v>480</v>
          </cell>
          <cell r="F20">
            <v>0</v>
          </cell>
          <cell r="H20">
            <v>1</v>
          </cell>
          <cell r="I20">
            <v>221</v>
          </cell>
          <cell r="J20">
            <v>968</v>
          </cell>
          <cell r="V20">
            <v>1.5</v>
          </cell>
          <cell r="Y20">
            <v>2.0699999999999994</v>
          </cell>
        </row>
        <row r="21">
          <cell r="C21">
            <v>6600</v>
          </cell>
          <cell r="D21">
            <v>2339</v>
          </cell>
          <cell r="E21">
            <v>620</v>
          </cell>
          <cell r="F21">
            <v>0</v>
          </cell>
          <cell r="H21">
            <v>1</v>
          </cell>
          <cell r="I21">
            <v>250</v>
          </cell>
          <cell r="J21">
            <v>1170</v>
          </cell>
          <cell r="V21">
            <v>1.5</v>
          </cell>
          <cell r="Y21">
            <v>2.3899999999999926</v>
          </cell>
        </row>
        <row r="22">
          <cell r="C22">
            <v>9450</v>
          </cell>
          <cell r="D22">
            <v>3218</v>
          </cell>
          <cell r="E22">
            <v>764</v>
          </cell>
          <cell r="F22">
            <v>0</v>
          </cell>
          <cell r="H22">
            <v>1</v>
          </cell>
          <cell r="I22">
            <v>294</v>
          </cell>
          <cell r="J22">
            <v>1609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4888</v>
          </cell>
          <cell r="E23">
            <v>1032</v>
          </cell>
          <cell r="F23">
            <v>0</v>
          </cell>
          <cell r="H23">
            <v>1</v>
          </cell>
          <cell r="I23">
            <v>360</v>
          </cell>
          <cell r="J23">
            <v>2444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6676</v>
          </cell>
          <cell r="E24">
            <v>1400</v>
          </cell>
          <cell r="F24">
            <v>0</v>
          </cell>
          <cell r="H24">
            <v>1</v>
          </cell>
          <cell r="I24">
            <v>459</v>
          </cell>
          <cell r="J24">
            <v>3338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8931</v>
          </cell>
          <cell r="E25">
            <v>1868</v>
          </cell>
          <cell r="F25">
            <v>0</v>
          </cell>
          <cell r="H25">
            <v>1</v>
          </cell>
          <cell r="I25">
            <v>608</v>
          </cell>
          <cell r="J25">
            <v>4466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11795</v>
          </cell>
          <cell r="E26">
            <v>2468</v>
          </cell>
          <cell r="F26">
            <v>0</v>
          </cell>
          <cell r="H26">
            <v>1</v>
          </cell>
          <cell r="I26">
            <v>832</v>
          </cell>
          <cell r="J26">
            <v>5898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2">
        <row r="2">
          <cell r="C2">
            <v>50</v>
          </cell>
          <cell r="D2">
            <v>25</v>
          </cell>
          <cell r="E2">
            <v>8</v>
          </cell>
          <cell r="F2">
            <v>0</v>
          </cell>
          <cell r="H2">
            <v>1</v>
          </cell>
          <cell r="I2">
            <v>12</v>
          </cell>
          <cell r="J2">
            <v>8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27</v>
          </cell>
          <cell r="E3">
            <v>14</v>
          </cell>
          <cell r="F3">
            <v>0</v>
          </cell>
          <cell r="H3">
            <v>1</v>
          </cell>
          <cell r="I3">
            <v>18</v>
          </cell>
          <cell r="J3">
            <v>8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27</v>
          </cell>
          <cell r="E4">
            <v>20</v>
          </cell>
          <cell r="F4">
            <v>0</v>
          </cell>
          <cell r="H4">
            <v>1</v>
          </cell>
          <cell r="I4">
            <v>26</v>
          </cell>
          <cell r="J4">
            <v>8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35</v>
          </cell>
          <cell r="E5">
            <v>31</v>
          </cell>
          <cell r="F5">
            <v>0</v>
          </cell>
          <cell r="H5">
            <v>1</v>
          </cell>
          <cell r="I5">
            <v>34</v>
          </cell>
          <cell r="J5">
            <v>11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42</v>
          </cell>
          <cell r="E6">
            <v>42</v>
          </cell>
          <cell r="F6">
            <v>0</v>
          </cell>
          <cell r="H6">
            <v>1</v>
          </cell>
          <cell r="I6">
            <v>43</v>
          </cell>
          <cell r="J6">
            <v>13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64</v>
          </cell>
          <cell r="E7">
            <v>55</v>
          </cell>
          <cell r="F7">
            <v>0</v>
          </cell>
          <cell r="H7">
            <v>1</v>
          </cell>
          <cell r="I7">
            <v>53</v>
          </cell>
          <cell r="J7">
            <v>19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71</v>
          </cell>
          <cell r="E8">
            <v>78</v>
          </cell>
          <cell r="F8">
            <v>0</v>
          </cell>
          <cell r="H8">
            <v>1</v>
          </cell>
          <cell r="I8">
            <v>64</v>
          </cell>
          <cell r="J8">
            <v>21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137</v>
          </cell>
          <cell r="E9">
            <v>103</v>
          </cell>
          <cell r="F9">
            <v>0</v>
          </cell>
          <cell r="H9">
            <v>1</v>
          </cell>
          <cell r="I9">
            <v>76</v>
          </cell>
          <cell r="J9">
            <v>41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166</v>
          </cell>
          <cell r="E10">
            <v>127</v>
          </cell>
          <cell r="F10">
            <v>0</v>
          </cell>
          <cell r="H10">
            <v>1</v>
          </cell>
          <cell r="I10">
            <v>89</v>
          </cell>
          <cell r="J10">
            <v>50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196</v>
          </cell>
          <cell r="E11">
            <v>150</v>
          </cell>
          <cell r="F11">
            <v>0</v>
          </cell>
          <cell r="H11">
            <v>1</v>
          </cell>
          <cell r="I11">
            <v>103</v>
          </cell>
          <cell r="J11">
            <v>59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315</v>
          </cell>
          <cell r="E12">
            <v>176</v>
          </cell>
          <cell r="F12">
            <v>0</v>
          </cell>
          <cell r="H12">
            <v>1</v>
          </cell>
          <cell r="I12">
            <v>119</v>
          </cell>
          <cell r="J12">
            <v>95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364</v>
          </cell>
          <cell r="E13">
            <v>205</v>
          </cell>
          <cell r="F13">
            <v>0</v>
          </cell>
          <cell r="H13">
            <v>1</v>
          </cell>
          <cell r="I13">
            <v>137</v>
          </cell>
          <cell r="J13">
            <v>109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428</v>
          </cell>
          <cell r="E14">
            <v>237</v>
          </cell>
          <cell r="F14">
            <v>0</v>
          </cell>
          <cell r="H14">
            <v>1</v>
          </cell>
          <cell r="I14">
            <v>157</v>
          </cell>
          <cell r="J14">
            <v>128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626</v>
          </cell>
          <cell r="E15">
            <v>273</v>
          </cell>
          <cell r="F15">
            <v>0</v>
          </cell>
          <cell r="H15">
            <v>1</v>
          </cell>
          <cell r="I15">
            <v>179</v>
          </cell>
          <cell r="J15">
            <v>188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760</v>
          </cell>
          <cell r="E16">
            <v>313</v>
          </cell>
          <cell r="F16">
            <v>0</v>
          </cell>
          <cell r="H16">
            <v>1</v>
          </cell>
          <cell r="I16">
            <v>204</v>
          </cell>
          <cell r="J16">
            <v>228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1076</v>
          </cell>
          <cell r="E17">
            <v>357</v>
          </cell>
          <cell r="F17">
            <v>0</v>
          </cell>
          <cell r="H17">
            <v>1</v>
          </cell>
          <cell r="I17">
            <v>232</v>
          </cell>
          <cell r="J17">
            <v>323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1267</v>
          </cell>
          <cell r="E18">
            <v>406</v>
          </cell>
          <cell r="F18">
            <v>0</v>
          </cell>
          <cell r="H18">
            <v>1</v>
          </cell>
          <cell r="I18">
            <v>263</v>
          </cell>
          <cell r="J18">
            <v>380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1498</v>
          </cell>
          <cell r="E19">
            <v>461</v>
          </cell>
          <cell r="F19">
            <v>0</v>
          </cell>
          <cell r="H19">
            <v>1</v>
          </cell>
          <cell r="I19">
            <v>298</v>
          </cell>
          <cell r="J19">
            <v>449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2147</v>
          </cell>
          <cell r="E20">
            <v>522</v>
          </cell>
          <cell r="F20">
            <v>0</v>
          </cell>
          <cell r="H20">
            <v>1</v>
          </cell>
          <cell r="I20">
            <v>337</v>
          </cell>
          <cell r="J20">
            <v>644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2861</v>
          </cell>
          <cell r="E21">
            <v>650</v>
          </cell>
          <cell r="F21">
            <v>0</v>
          </cell>
          <cell r="H21">
            <v>1</v>
          </cell>
          <cell r="I21">
            <v>380</v>
          </cell>
          <cell r="J21">
            <v>858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4004</v>
          </cell>
          <cell r="E22">
            <v>764</v>
          </cell>
          <cell r="F22">
            <v>0</v>
          </cell>
          <cell r="H22">
            <v>1</v>
          </cell>
          <cell r="I22">
            <v>447</v>
          </cell>
          <cell r="J22">
            <v>1201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6105</v>
          </cell>
          <cell r="E23">
            <v>1032</v>
          </cell>
          <cell r="F23">
            <v>0</v>
          </cell>
          <cell r="H23">
            <v>1</v>
          </cell>
          <cell r="I23">
            <v>551</v>
          </cell>
          <cell r="J23">
            <v>1832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8343</v>
          </cell>
          <cell r="E24">
            <v>1400</v>
          </cell>
          <cell r="F24">
            <v>0</v>
          </cell>
          <cell r="H24">
            <v>1</v>
          </cell>
          <cell r="I24">
            <v>712</v>
          </cell>
          <cell r="J24">
            <v>2503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11138</v>
          </cell>
          <cell r="E25">
            <v>1868</v>
          </cell>
          <cell r="F25">
            <v>0</v>
          </cell>
          <cell r="H25">
            <v>1</v>
          </cell>
          <cell r="I25">
            <v>962</v>
          </cell>
          <cell r="J25">
            <v>3341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14647</v>
          </cell>
          <cell r="E26">
            <v>2468</v>
          </cell>
          <cell r="F26">
            <v>0</v>
          </cell>
          <cell r="H26">
            <v>1</v>
          </cell>
          <cell r="I26">
            <v>1350</v>
          </cell>
          <cell r="J26">
            <v>4394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3">
        <row r="2">
          <cell r="C2">
            <v>50</v>
          </cell>
          <cell r="D2">
            <v>28</v>
          </cell>
          <cell r="E2">
            <v>8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9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0.10009999999999999</v>
          </cell>
          <cell r="H4">
            <v>1</v>
          </cell>
          <cell r="I4">
            <v>16</v>
          </cell>
          <cell r="J4">
            <v>10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0.10019999999999998</v>
          </cell>
          <cell r="H5">
            <v>1</v>
          </cell>
          <cell r="I5">
            <v>20</v>
          </cell>
          <cell r="J5">
            <v>14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54</v>
          </cell>
          <cell r="E6">
            <v>43</v>
          </cell>
          <cell r="F6">
            <v>0.10029999999999997</v>
          </cell>
          <cell r="H6">
            <v>1</v>
          </cell>
          <cell r="I6">
            <v>24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60</v>
          </cell>
          <cell r="E7">
            <v>68</v>
          </cell>
          <cell r="F7">
            <v>0.10044999999999996</v>
          </cell>
          <cell r="H7">
            <v>1</v>
          </cell>
          <cell r="I7">
            <v>29</v>
          </cell>
          <cell r="J7">
            <v>18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65</v>
          </cell>
          <cell r="E8">
            <v>90</v>
          </cell>
          <cell r="F8">
            <v>0.10059999999999994</v>
          </cell>
          <cell r="H8">
            <v>1</v>
          </cell>
          <cell r="I8">
            <v>38</v>
          </cell>
          <cell r="J8">
            <v>20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77</v>
          </cell>
          <cell r="E9">
            <v>147</v>
          </cell>
          <cell r="F9">
            <v>0.10079999999999992</v>
          </cell>
          <cell r="H9">
            <v>1</v>
          </cell>
          <cell r="I9">
            <v>48</v>
          </cell>
          <cell r="J9">
            <v>23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87</v>
          </cell>
          <cell r="E10">
            <v>185</v>
          </cell>
          <cell r="F10">
            <v>0.1009999999999999</v>
          </cell>
          <cell r="H10">
            <v>1</v>
          </cell>
          <cell r="I10">
            <v>55</v>
          </cell>
          <cell r="J10">
            <v>26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93</v>
          </cell>
          <cell r="E11">
            <v>208</v>
          </cell>
          <cell r="F11">
            <v>0.10119999999999987</v>
          </cell>
          <cell r="H11">
            <v>1.2</v>
          </cell>
          <cell r="I11">
            <v>59</v>
          </cell>
          <cell r="J11">
            <v>28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177</v>
          </cell>
          <cell r="E12">
            <v>251</v>
          </cell>
          <cell r="F12">
            <v>0.10144999999999985</v>
          </cell>
          <cell r="H12">
            <v>1.2</v>
          </cell>
          <cell r="I12">
            <v>69</v>
          </cell>
          <cell r="J12">
            <v>53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200</v>
          </cell>
          <cell r="E13">
            <v>293</v>
          </cell>
          <cell r="F13">
            <v>0.10169999999999982</v>
          </cell>
          <cell r="H13">
            <v>1.2</v>
          </cell>
          <cell r="I13">
            <v>80</v>
          </cell>
          <cell r="J13">
            <v>60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234</v>
          </cell>
          <cell r="E14">
            <v>340</v>
          </cell>
          <cell r="F14">
            <v>0.10199999999999979</v>
          </cell>
          <cell r="H14">
            <v>1.2</v>
          </cell>
          <cell r="I14">
            <v>92</v>
          </cell>
          <cell r="J14">
            <v>70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394</v>
          </cell>
          <cell r="E15">
            <v>392</v>
          </cell>
          <cell r="F15">
            <v>0.10234999999999975</v>
          </cell>
          <cell r="H15">
            <v>1.2</v>
          </cell>
          <cell r="I15">
            <v>105</v>
          </cell>
          <cell r="J15">
            <v>118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490</v>
          </cell>
          <cell r="E16">
            <v>450</v>
          </cell>
          <cell r="F16">
            <v>0.1027999999999997</v>
          </cell>
          <cell r="H16">
            <v>1.2</v>
          </cell>
          <cell r="I16">
            <v>120</v>
          </cell>
          <cell r="J16">
            <v>147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755</v>
          </cell>
          <cell r="E17">
            <v>514</v>
          </cell>
          <cell r="F17">
            <v>0.10329999999999964</v>
          </cell>
          <cell r="H17">
            <v>1.2</v>
          </cell>
          <cell r="I17">
            <v>137</v>
          </cell>
          <cell r="J17">
            <v>227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897</v>
          </cell>
          <cell r="E18">
            <v>585</v>
          </cell>
          <cell r="F18">
            <v>0.10384999999999958</v>
          </cell>
          <cell r="H18">
            <v>1.2</v>
          </cell>
          <cell r="I18">
            <v>156</v>
          </cell>
          <cell r="J18">
            <v>269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1073</v>
          </cell>
          <cell r="E19">
            <v>664</v>
          </cell>
          <cell r="F19">
            <v>0.10449999999999951</v>
          </cell>
          <cell r="H19">
            <v>1.2</v>
          </cell>
          <cell r="I19">
            <v>177</v>
          </cell>
          <cell r="J19">
            <v>322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1643</v>
          </cell>
          <cell r="E20">
            <v>752</v>
          </cell>
          <cell r="F20">
            <v>0.10544999999999941</v>
          </cell>
          <cell r="H20">
            <v>1.2</v>
          </cell>
          <cell r="I20">
            <v>200</v>
          </cell>
          <cell r="J20">
            <v>493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2075</v>
          </cell>
          <cell r="E21">
            <v>840</v>
          </cell>
          <cell r="F21">
            <v>0.10704999999999923</v>
          </cell>
          <cell r="H21">
            <v>1.2</v>
          </cell>
          <cell r="I21">
            <v>280</v>
          </cell>
          <cell r="J21">
            <v>623</v>
          </cell>
          <cell r="V21">
            <v>1</v>
          </cell>
          <cell r="Y21">
            <v>2.5</v>
          </cell>
        </row>
        <row r="22">
          <cell r="C22">
            <v>9450</v>
          </cell>
          <cell r="D22">
            <v>3257</v>
          </cell>
          <cell r="E22">
            <v>764</v>
          </cell>
          <cell r="F22">
            <v>0.10939999999999897</v>
          </cell>
          <cell r="H22">
            <v>1.3</v>
          </cell>
          <cell r="I22">
            <v>376</v>
          </cell>
          <cell r="J22">
            <v>977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4981</v>
          </cell>
          <cell r="E23">
            <v>1032</v>
          </cell>
          <cell r="F23">
            <v>0.1127499999999986</v>
          </cell>
          <cell r="H23">
            <v>1.3</v>
          </cell>
          <cell r="I23">
            <v>491</v>
          </cell>
          <cell r="J23">
            <v>1494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6808</v>
          </cell>
          <cell r="E24">
            <v>1400</v>
          </cell>
          <cell r="F24">
            <v>0.11734999999999809</v>
          </cell>
          <cell r="H24">
            <v>1.3</v>
          </cell>
          <cell r="I24">
            <v>629</v>
          </cell>
          <cell r="J24">
            <v>2042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9145</v>
          </cell>
          <cell r="E25">
            <v>1868</v>
          </cell>
          <cell r="F25">
            <v>0.12319999999999745</v>
          </cell>
          <cell r="H25">
            <v>1.3</v>
          </cell>
          <cell r="I25">
            <v>795</v>
          </cell>
          <cell r="J25">
            <v>2744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12163</v>
          </cell>
          <cell r="E26">
            <v>2468</v>
          </cell>
          <cell r="F26">
            <v>0.13069999999999662</v>
          </cell>
          <cell r="H26">
            <v>1.3</v>
          </cell>
          <cell r="I26">
            <v>994</v>
          </cell>
          <cell r="J26">
            <v>3649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4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33</v>
          </cell>
          <cell r="E3">
            <v>12</v>
          </cell>
          <cell r="F3">
            <v>0.10005</v>
          </cell>
          <cell r="H3">
            <v>1</v>
          </cell>
          <cell r="I3">
            <v>11</v>
          </cell>
          <cell r="J3">
            <v>17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36</v>
          </cell>
          <cell r="E4">
            <v>18</v>
          </cell>
          <cell r="F4">
            <v>0.10009999999999999</v>
          </cell>
          <cell r="H4">
            <v>1</v>
          </cell>
          <cell r="I4">
            <v>15</v>
          </cell>
          <cell r="J4">
            <v>18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42</v>
          </cell>
          <cell r="E5">
            <v>30</v>
          </cell>
          <cell r="F5">
            <v>0.10019999999999998</v>
          </cell>
          <cell r="H5">
            <v>1</v>
          </cell>
          <cell r="I5">
            <v>22</v>
          </cell>
          <cell r="J5">
            <v>21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44</v>
          </cell>
          <cell r="E6">
            <v>42</v>
          </cell>
          <cell r="F6">
            <v>0.10029999999999997</v>
          </cell>
          <cell r="H6">
            <v>1.2</v>
          </cell>
          <cell r="I6">
            <v>29</v>
          </cell>
          <cell r="J6">
            <v>22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62</v>
          </cell>
          <cell r="E7">
            <v>55</v>
          </cell>
          <cell r="F7">
            <v>0.10044999999999996</v>
          </cell>
          <cell r="H7">
            <v>1.2</v>
          </cell>
          <cell r="I7">
            <v>37</v>
          </cell>
          <cell r="J7">
            <v>31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76</v>
          </cell>
          <cell r="E8">
            <v>70</v>
          </cell>
          <cell r="F8">
            <v>0.10059999999999994</v>
          </cell>
          <cell r="H8">
            <v>1.2</v>
          </cell>
          <cell r="I8">
            <v>46</v>
          </cell>
          <cell r="J8">
            <v>38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123</v>
          </cell>
          <cell r="E9">
            <v>100</v>
          </cell>
          <cell r="F9">
            <v>0.10079999999999992</v>
          </cell>
          <cell r="H9">
            <v>1.2</v>
          </cell>
          <cell r="I9">
            <v>56</v>
          </cell>
          <cell r="J9">
            <v>62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132</v>
          </cell>
          <cell r="E10">
            <v>134</v>
          </cell>
          <cell r="F10">
            <v>0.1009999999999999</v>
          </cell>
          <cell r="H10">
            <v>1.2</v>
          </cell>
          <cell r="I10">
            <v>67</v>
          </cell>
          <cell r="J10">
            <v>66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122</v>
          </cell>
          <cell r="E11">
            <v>172</v>
          </cell>
          <cell r="F11">
            <v>0.10119999999999987</v>
          </cell>
          <cell r="H11">
            <v>1.3</v>
          </cell>
          <cell r="I11">
            <v>79</v>
          </cell>
          <cell r="J11">
            <v>61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215</v>
          </cell>
          <cell r="E12">
            <v>203</v>
          </cell>
          <cell r="F12">
            <v>0.10144999999999985</v>
          </cell>
          <cell r="H12">
            <v>1.3</v>
          </cell>
          <cell r="I12">
            <v>92</v>
          </cell>
          <cell r="J12">
            <v>108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245</v>
          </cell>
          <cell r="E13">
            <v>238</v>
          </cell>
          <cell r="F13">
            <v>0.10169999999999982</v>
          </cell>
          <cell r="H13">
            <v>1.3</v>
          </cell>
          <cell r="I13">
            <v>106</v>
          </cell>
          <cell r="J13">
            <v>123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285</v>
          </cell>
          <cell r="E14">
            <v>277</v>
          </cell>
          <cell r="F14">
            <v>0.10199999999999979</v>
          </cell>
          <cell r="H14">
            <v>1.3</v>
          </cell>
          <cell r="I14">
            <v>122</v>
          </cell>
          <cell r="J14">
            <v>143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443</v>
          </cell>
          <cell r="E15">
            <v>320</v>
          </cell>
          <cell r="F15">
            <v>0.10234999999999975</v>
          </cell>
          <cell r="H15">
            <v>1.3</v>
          </cell>
          <cell r="I15">
            <v>140</v>
          </cell>
          <cell r="J15">
            <v>222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519</v>
          </cell>
          <cell r="E16">
            <v>368</v>
          </cell>
          <cell r="F16">
            <v>0.1027999999999997</v>
          </cell>
          <cell r="H16">
            <v>1.4</v>
          </cell>
          <cell r="I16">
            <v>160</v>
          </cell>
          <cell r="J16">
            <v>260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774</v>
          </cell>
          <cell r="E17">
            <v>421</v>
          </cell>
          <cell r="F17">
            <v>0.10329999999999964</v>
          </cell>
          <cell r="H17">
            <v>1.4</v>
          </cell>
          <cell r="I17">
            <v>182</v>
          </cell>
          <cell r="J17">
            <v>387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915</v>
          </cell>
          <cell r="E18">
            <v>480</v>
          </cell>
          <cell r="F18">
            <v>0.10384999999999958</v>
          </cell>
          <cell r="H18">
            <v>1.4</v>
          </cell>
          <cell r="I18">
            <v>206</v>
          </cell>
          <cell r="J18">
            <v>458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1090</v>
          </cell>
          <cell r="E19">
            <v>546</v>
          </cell>
          <cell r="F19">
            <v>0.10449999999999951</v>
          </cell>
          <cell r="H19">
            <v>1.4</v>
          </cell>
          <cell r="I19">
            <v>233</v>
          </cell>
          <cell r="J19">
            <v>545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1630</v>
          </cell>
          <cell r="E20">
            <v>619</v>
          </cell>
          <cell r="F20">
            <v>0.10544999999999941</v>
          </cell>
          <cell r="H20">
            <v>1.4</v>
          </cell>
          <cell r="I20">
            <v>263</v>
          </cell>
          <cell r="J20">
            <v>815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2217</v>
          </cell>
          <cell r="E21">
            <v>720</v>
          </cell>
          <cell r="F21">
            <v>0.10704999999999923</v>
          </cell>
          <cell r="H21">
            <v>1.5</v>
          </cell>
          <cell r="I21">
            <v>296</v>
          </cell>
          <cell r="J21">
            <v>1109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3306</v>
          </cell>
          <cell r="E22">
            <v>764</v>
          </cell>
          <cell r="F22">
            <v>0.10939999999999897</v>
          </cell>
          <cell r="H22">
            <v>1.5</v>
          </cell>
          <cell r="I22">
            <v>346</v>
          </cell>
          <cell r="J22">
            <v>1653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5069</v>
          </cell>
          <cell r="E23">
            <v>1032</v>
          </cell>
          <cell r="F23">
            <v>0.1127499999999986</v>
          </cell>
          <cell r="H23">
            <v>1.5</v>
          </cell>
          <cell r="I23">
            <v>421</v>
          </cell>
          <cell r="J23">
            <v>2535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6922</v>
          </cell>
          <cell r="E24">
            <v>1400</v>
          </cell>
          <cell r="F24">
            <v>0.11734999999999809</v>
          </cell>
          <cell r="H24">
            <v>1.5</v>
          </cell>
          <cell r="I24">
            <v>534</v>
          </cell>
          <cell r="J24">
            <v>3461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9126</v>
          </cell>
          <cell r="E25">
            <v>1868</v>
          </cell>
          <cell r="F25">
            <v>0.12319999999999745</v>
          </cell>
          <cell r="H25">
            <v>1.6</v>
          </cell>
          <cell r="I25">
            <v>704</v>
          </cell>
          <cell r="J25">
            <v>4563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12027</v>
          </cell>
          <cell r="E26">
            <v>2468</v>
          </cell>
          <cell r="F26">
            <v>0.13069999999999662</v>
          </cell>
          <cell r="H26">
            <v>1.6</v>
          </cell>
          <cell r="I26">
            <v>959</v>
          </cell>
          <cell r="J26">
            <v>6014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5">
        <row r="2">
          <cell r="C2">
            <v>50</v>
          </cell>
          <cell r="D2">
            <v>24</v>
          </cell>
          <cell r="E2">
            <v>8</v>
          </cell>
          <cell r="F2">
            <v>0.1</v>
          </cell>
          <cell r="H2">
            <v>0.7</v>
          </cell>
          <cell r="I2">
            <v>4</v>
          </cell>
          <cell r="J2">
            <v>7</v>
          </cell>
        </row>
        <row r="3">
          <cell r="C3">
            <v>100</v>
          </cell>
          <cell r="D3">
            <v>27</v>
          </cell>
          <cell r="E3">
            <v>12</v>
          </cell>
          <cell r="F3">
            <v>0.10005</v>
          </cell>
          <cell r="H3">
            <v>0.7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16</v>
          </cell>
          <cell r="F4">
            <v>0.10009999999999999</v>
          </cell>
          <cell r="H4">
            <v>0.7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33</v>
          </cell>
          <cell r="E5">
            <v>30</v>
          </cell>
          <cell r="F5">
            <v>0.10019999999999998</v>
          </cell>
          <cell r="H5">
            <v>0.7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38</v>
          </cell>
          <cell r="E6">
            <v>43</v>
          </cell>
          <cell r="F6">
            <v>0.10029999999999997</v>
          </cell>
          <cell r="H6">
            <v>0.7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52</v>
          </cell>
          <cell r="E7">
            <v>57</v>
          </cell>
          <cell r="F7">
            <v>0.10044999999999996</v>
          </cell>
          <cell r="H7">
            <v>0.7</v>
          </cell>
          <cell r="I7">
            <v>25</v>
          </cell>
          <cell r="J7">
            <v>16</v>
          </cell>
        </row>
        <row r="8">
          <cell r="C8">
            <v>650</v>
          </cell>
          <cell r="D8">
            <v>54</v>
          </cell>
          <cell r="E8">
            <v>80</v>
          </cell>
          <cell r="F8">
            <v>0.10059999999999994</v>
          </cell>
          <cell r="H8">
            <v>0.7</v>
          </cell>
          <cell r="I8">
            <v>31</v>
          </cell>
          <cell r="J8">
            <v>16</v>
          </cell>
        </row>
        <row r="9">
          <cell r="C9">
            <v>850</v>
          </cell>
          <cell r="D9">
            <v>82</v>
          </cell>
          <cell r="E9">
            <v>120</v>
          </cell>
          <cell r="F9">
            <v>0.10079999999999992</v>
          </cell>
          <cell r="H9">
            <v>0.7</v>
          </cell>
          <cell r="I9">
            <v>38</v>
          </cell>
          <cell r="J9">
            <v>25</v>
          </cell>
        </row>
        <row r="10">
          <cell r="C10">
            <v>1050</v>
          </cell>
          <cell r="D10">
            <v>86</v>
          </cell>
          <cell r="E10">
            <v>155</v>
          </cell>
          <cell r="F10">
            <v>0.1009999999999999</v>
          </cell>
          <cell r="H10">
            <v>0.7</v>
          </cell>
          <cell r="I10">
            <v>46</v>
          </cell>
          <cell r="J10">
            <v>26</v>
          </cell>
        </row>
        <row r="11">
          <cell r="C11">
            <v>1250</v>
          </cell>
          <cell r="D11">
            <v>94</v>
          </cell>
          <cell r="E11">
            <v>187</v>
          </cell>
          <cell r="F11">
            <v>0.10119999999999987</v>
          </cell>
          <cell r="H11">
            <v>0.7</v>
          </cell>
          <cell r="I11">
            <v>55</v>
          </cell>
          <cell r="J11">
            <v>28</v>
          </cell>
        </row>
        <row r="12">
          <cell r="C12">
            <v>1500</v>
          </cell>
          <cell r="D12">
            <v>171</v>
          </cell>
          <cell r="E12">
            <v>220</v>
          </cell>
          <cell r="F12">
            <v>0.10144999999999985</v>
          </cell>
          <cell r="H12">
            <v>0.7</v>
          </cell>
          <cell r="I12">
            <v>65</v>
          </cell>
          <cell r="J12">
            <v>51</v>
          </cell>
        </row>
        <row r="13">
          <cell r="C13">
            <v>1750</v>
          </cell>
          <cell r="D13">
            <v>194</v>
          </cell>
          <cell r="E13">
            <v>257</v>
          </cell>
          <cell r="F13">
            <v>0.10169999999999982</v>
          </cell>
          <cell r="H13">
            <v>0.7</v>
          </cell>
          <cell r="J13">
            <v>58</v>
          </cell>
        </row>
        <row r="14">
          <cell r="C14">
            <v>2050</v>
          </cell>
          <cell r="D14">
            <v>226</v>
          </cell>
          <cell r="E14">
            <v>298</v>
          </cell>
          <cell r="F14">
            <v>0.10199999999999979</v>
          </cell>
          <cell r="H14">
            <v>0.7</v>
          </cell>
          <cell r="I14">
            <v>88</v>
          </cell>
          <cell r="J14">
            <v>68</v>
          </cell>
        </row>
        <row r="15">
          <cell r="C15">
            <v>2400</v>
          </cell>
          <cell r="D15">
            <v>358</v>
          </cell>
          <cell r="E15">
            <v>344</v>
          </cell>
          <cell r="F15">
            <v>0.10234999999999975</v>
          </cell>
          <cell r="H15">
            <v>0.7</v>
          </cell>
          <cell r="I15">
            <v>101</v>
          </cell>
          <cell r="J15">
            <v>107</v>
          </cell>
        </row>
        <row r="16">
          <cell r="C16">
            <v>2850</v>
          </cell>
          <cell r="D16">
            <v>439</v>
          </cell>
          <cell r="E16">
            <v>395</v>
          </cell>
          <cell r="F16">
            <v>0.1027999999999997</v>
          </cell>
          <cell r="H16">
            <v>0.7</v>
          </cell>
          <cell r="I16">
            <v>116</v>
          </cell>
          <cell r="J16">
            <v>132</v>
          </cell>
        </row>
        <row r="17">
          <cell r="C17">
            <v>3350</v>
          </cell>
          <cell r="D17">
            <v>654</v>
          </cell>
          <cell r="E17">
            <v>452</v>
          </cell>
          <cell r="F17">
            <v>0.10329999999999964</v>
          </cell>
          <cell r="H17">
            <v>0.7</v>
          </cell>
          <cell r="I17">
            <v>133</v>
          </cell>
          <cell r="J17">
            <v>196</v>
          </cell>
        </row>
        <row r="18">
          <cell r="C18">
            <v>3900</v>
          </cell>
          <cell r="D18">
            <v>772</v>
          </cell>
          <cell r="E18">
            <v>515</v>
          </cell>
          <cell r="F18">
            <v>0.10384999999999958</v>
          </cell>
          <cell r="H18">
            <v>0.7</v>
          </cell>
          <cell r="I18">
            <v>152</v>
          </cell>
          <cell r="J18">
            <v>232</v>
          </cell>
        </row>
        <row r="19">
          <cell r="C19">
            <v>4550</v>
          </cell>
          <cell r="D19">
            <v>920</v>
          </cell>
          <cell r="E19">
            <v>585</v>
          </cell>
          <cell r="F19">
            <v>0.10449999999999951</v>
          </cell>
          <cell r="H19">
            <v>0.7</v>
          </cell>
          <cell r="I19">
            <v>173</v>
          </cell>
          <cell r="J19">
            <v>276</v>
          </cell>
        </row>
        <row r="20">
          <cell r="C20">
            <v>5500</v>
          </cell>
          <cell r="D20">
            <v>1378</v>
          </cell>
          <cell r="E20">
            <v>663</v>
          </cell>
          <cell r="F20">
            <v>0.10544999999999941</v>
          </cell>
          <cell r="H20">
            <v>0.7</v>
          </cell>
          <cell r="I20">
            <v>196</v>
          </cell>
          <cell r="J20">
            <v>413</v>
          </cell>
        </row>
        <row r="21">
          <cell r="C21">
            <v>6600</v>
          </cell>
          <cell r="D21">
            <v>1881</v>
          </cell>
          <cell r="E21">
            <v>796</v>
          </cell>
          <cell r="F21">
            <v>0.10704999999999923</v>
          </cell>
          <cell r="H21">
            <v>0.7</v>
          </cell>
          <cell r="I21">
            <v>222</v>
          </cell>
          <cell r="J21">
            <v>564</v>
          </cell>
        </row>
        <row r="22">
          <cell r="C22">
            <v>9450</v>
          </cell>
          <cell r="D22">
            <v>2632</v>
          </cell>
          <cell r="E22">
            <v>982</v>
          </cell>
          <cell r="F22">
            <v>0.10939999999999897</v>
          </cell>
          <cell r="H22">
            <v>0.7</v>
          </cell>
          <cell r="I22">
            <v>261</v>
          </cell>
          <cell r="J22">
            <v>790</v>
          </cell>
        </row>
        <row r="23">
          <cell r="C23">
            <v>12800</v>
          </cell>
          <cell r="D23">
            <v>4171</v>
          </cell>
          <cell r="E23">
            <v>1242</v>
          </cell>
          <cell r="F23">
            <v>0.1127499999999986</v>
          </cell>
          <cell r="H23">
            <v>0.7</v>
          </cell>
          <cell r="I23">
            <v>320</v>
          </cell>
          <cell r="J23">
            <v>1251</v>
          </cell>
        </row>
        <row r="24">
          <cell r="C24">
            <v>17400</v>
          </cell>
          <cell r="D24">
            <v>5791</v>
          </cell>
          <cell r="E24">
            <v>1606</v>
          </cell>
          <cell r="F24">
            <v>0.11734999999999809</v>
          </cell>
          <cell r="H24">
            <v>0.7</v>
          </cell>
          <cell r="I24">
            <v>409</v>
          </cell>
          <cell r="J24">
            <v>1737</v>
          </cell>
        </row>
        <row r="25">
          <cell r="C25">
            <v>23250</v>
          </cell>
          <cell r="D25">
            <v>7768</v>
          </cell>
          <cell r="E25">
            <v>2116</v>
          </cell>
          <cell r="F25">
            <v>0.12319999999999745</v>
          </cell>
          <cell r="H25">
            <v>0.7</v>
          </cell>
          <cell r="I25">
            <v>543</v>
          </cell>
          <cell r="J25">
            <v>2330</v>
          </cell>
        </row>
        <row r="26">
          <cell r="C26">
            <v>30750</v>
          </cell>
          <cell r="D26">
            <v>10187</v>
          </cell>
          <cell r="E26">
            <v>2830</v>
          </cell>
          <cell r="F26">
            <v>0.13069999999999662</v>
          </cell>
          <cell r="H26">
            <v>0.7</v>
          </cell>
          <cell r="I26">
            <v>744</v>
          </cell>
          <cell r="J26">
            <v>3056</v>
          </cell>
        </row>
      </sheetData>
      <sheetData sheetId="16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1</v>
          </cell>
          <cell r="I2">
            <v>5</v>
          </cell>
          <cell r="J2">
            <v>11</v>
          </cell>
        </row>
        <row r="3">
          <cell r="C3">
            <v>100</v>
          </cell>
          <cell r="D3">
            <v>27</v>
          </cell>
          <cell r="E3">
            <v>8</v>
          </cell>
          <cell r="F3">
            <v>0</v>
          </cell>
          <cell r="H3">
            <v>1</v>
          </cell>
          <cell r="I3">
            <v>9</v>
          </cell>
          <cell r="J3">
            <v>12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1</v>
          </cell>
          <cell r="I4">
            <v>13</v>
          </cell>
          <cell r="J4">
            <v>12</v>
          </cell>
        </row>
        <row r="5">
          <cell r="C5">
            <v>250</v>
          </cell>
          <cell r="D5">
            <v>30</v>
          </cell>
          <cell r="E5">
            <v>27</v>
          </cell>
          <cell r="F5">
            <v>0</v>
          </cell>
          <cell r="H5">
            <v>1</v>
          </cell>
          <cell r="I5">
            <v>17</v>
          </cell>
          <cell r="J5">
            <v>14</v>
          </cell>
        </row>
        <row r="6">
          <cell r="C6">
            <v>350</v>
          </cell>
          <cell r="D6">
            <v>34</v>
          </cell>
          <cell r="E6">
            <v>39</v>
          </cell>
          <cell r="F6">
            <v>0</v>
          </cell>
          <cell r="H6">
            <v>1</v>
          </cell>
          <cell r="I6">
            <v>21</v>
          </cell>
          <cell r="J6">
            <v>15</v>
          </cell>
        </row>
        <row r="7">
          <cell r="C7">
            <v>500</v>
          </cell>
          <cell r="D7">
            <v>48</v>
          </cell>
          <cell r="E7">
            <v>53</v>
          </cell>
          <cell r="F7">
            <v>0</v>
          </cell>
          <cell r="H7">
            <v>1</v>
          </cell>
          <cell r="I7">
            <v>25</v>
          </cell>
          <cell r="J7">
            <v>22</v>
          </cell>
        </row>
        <row r="8">
          <cell r="C8">
            <v>650</v>
          </cell>
          <cell r="D8">
            <v>53</v>
          </cell>
          <cell r="E8">
            <v>74</v>
          </cell>
          <cell r="F8">
            <v>0</v>
          </cell>
          <cell r="H8">
            <v>1</v>
          </cell>
          <cell r="I8">
            <v>29</v>
          </cell>
          <cell r="J8">
            <v>24</v>
          </cell>
        </row>
        <row r="9">
          <cell r="C9">
            <v>850</v>
          </cell>
          <cell r="D9">
            <v>100</v>
          </cell>
          <cell r="E9">
            <v>95</v>
          </cell>
          <cell r="F9">
            <v>0</v>
          </cell>
          <cell r="H9">
            <v>1</v>
          </cell>
          <cell r="I9">
            <v>34</v>
          </cell>
          <cell r="J9">
            <v>45</v>
          </cell>
        </row>
        <row r="10">
          <cell r="C10">
            <v>1050</v>
          </cell>
          <cell r="D10">
            <v>119</v>
          </cell>
          <cell r="E10">
            <v>117</v>
          </cell>
          <cell r="F10">
            <v>0</v>
          </cell>
          <cell r="H10">
            <v>1</v>
          </cell>
          <cell r="I10">
            <v>40</v>
          </cell>
          <cell r="J10">
            <v>54</v>
          </cell>
        </row>
        <row r="11">
          <cell r="C11">
            <v>1250</v>
          </cell>
          <cell r="D11">
            <v>136</v>
          </cell>
          <cell r="E11">
            <v>141</v>
          </cell>
          <cell r="F11">
            <v>0</v>
          </cell>
          <cell r="H11">
            <v>1</v>
          </cell>
          <cell r="I11">
            <v>47</v>
          </cell>
          <cell r="J11">
            <v>61</v>
          </cell>
        </row>
        <row r="12">
          <cell r="C12">
            <v>1500</v>
          </cell>
          <cell r="D12">
            <v>217</v>
          </cell>
          <cell r="E12">
            <v>165</v>
          </cell>
          <cell r="F12">
            <v>0</v>
          </cell>
          <cell r="H12">
            <v>1</v>
          </cell>
          <cell r="I12">
            <v>55</v>
          </cell>
          <cell r="J12">
            <v>98</v>
          </cell>
        </row>
        <row r="13">
          <cell r="C13">
            <v>1750</v>
          </cell>
          <cell r="D13">
            <v>249</v>
          </cell>
          <cell r="E13">
            <v>192</v>
          </cell>
          <cell r="F13">
            <v>0</v>
          </cell>
          <cell r="H13">
            <v>1</v>
          </cell>
          <cell r="I13">
            <v>64</v>
          </cell>
          <cell r="J13">
            <v>112</v>
          </cell>
        </row>
        <row r="14">
          <cell r="C14">
            <v>2050</v>
          </cell>
          <cell r="D14">
            <v>291</v>
          </cell>
          <cell r="E14">
            <v>222</v>
          </cell>
          <cell r="F14">
            <v>0</v>
          </cell>
          <cell r="H14">
            <v>1</v>
          </cell>
          <cell r="I14">
            <v>74</v>
          </cell>
          <cell r="J14">
            <v>131</v>
          </cell>
        </row>
        <row r="15">
          <cell r="C15">
            <v>2400</v>
          </cell>
          <cell r="D15">
            <v>426</v>
          </cell>
          <cell r="E15">
            <v>255</v>
          </cell>
          <cell r="F15">
            <v>0</v>
          </cell>
          <cell r="H15">
            <v>1</v>
          </cell>
          <cell r="I15">
            <v>85</v>
          </cell>
          <cell r="J15">
            <v>192</v>
          </cell>
        </row>
        <row r="16">
          <cell r="C16">
            <v>2850</v>
          </cell>
          <cell r="D16">
            <v>517</v>
          </cell>
          <cell r="E16">
            <v>292</v>
          </cell>
          <cell r="F16">
            <v>0</v>
          </cell>
          <cell r="H16">
            <v>1</v>
          </cell>
          <cell r="I16">
            <v>97</v>
          </cell>
          <cell r="J16">
            <v>233</v>
          </cell>
        </row>
        <row r="17">
          <cell r="C17">
            <v>3350</v>
          </cell>
          <cell r="D17">
            <v>733</v>
          </cell>
          <cell r="E17">
            <v>333</v>
          </cell>
          <cell r="F17">
            <v>0</v>
          </cell>
          <cell r="H17">
            <v>1</v>
          </cell>
          <cell r="I17">
            <v>110</v>
          </cell>
          <cell r="J17">
            <v>330</v>
          </cell>
        </row>
        <row r="18">
          <cell r="C18">
            <v>3900</v>
          </cell>
          <cell r="D18">
            <v>861</v>
          </cell>
          <cell r="E18">
            <v>379</v>
          </cell>
          <cell r="F18">
            <v>0</v>
          </cell>
          <cell r="H18">
            <v>1</v>
          </cell>
          <cell r="I18">
            <v>125</v>
          </cell>
          <cell r="J18">
            <v>387</v>
          </cell>
        </row>
        <row r="19">
          <cell r="C19">
            <v>4550</v>
          </cell>
          <cell r="D19">
            <v>1018</v>
          </cell>
          <cell r="E19">
            <v>430</v>
          </cell>
          <cell r="F19">
            <v>0</v>
          </cell>
          <cell r="H19">
            <v>1</v>
          </cell>
          <cell r="I19">
            <v>142</v>
          </cell>
          <cell r="J19">
            <v>458</v>
          </cell>
        </row>
        <row r="20">
          <cell r="C20">
            <v>5500</v>
          </cell>
          <cell r="D20">
            <v>1460</v>
          </cell>
          <cell r="E20">
            <v>487</v>
          </cell>
          <cell r="F20">
            <v>0</v>
          </cell>
          <cell r="H20">
            <v>1</v>
          </cell>
          <cell r="I20">
            <v>161</v>
          </cell>
          <cell r="J20">
            <v>657</v>
          </cell>
        </row>
        <row r="21">
          <cell r="C21">
            <v>6600</v>
          </cell>
          <cell r="D21">
            <v>1939</v>
          </cell>
          <cell r="E21">
            <v>600</v>
          </cell>
          <cell r="F21">
            <v>0</v>
          </cell>
          <cell r="H21">
            <v>1</v>
          </cell>
          <cell r="I21">
            <v>182</v>
          </cell>
          <cell r="J21">
            <v>873</v>
          </cell>
        </row>
        <row r="22">
          <cell r="C22">
            <v>9450</v>
          </cell>
          <cell r="D22">
            <v>2647</v>
          </cell>
          <cell r="E22">
            <v>764</v>
          </cell>
          <cell r="F22">
            <v>0</v>
          </cell>
          <cell r="H22">
            <v>1</v>
          </cell>
          <cell r="I22">
            <v>214</v>
          </cell>
          <cell r="J22">
            <v>1191</v>
          </cell>
        </row>
        <row r="23">
          <cell r="C23">
            <v>12800</v>
          </cell>
          <cell r="D23">
            <v>4036</v>
          </cell>
          <cell r="E23">
            <v>1032</v>
          </cell>
          <cell r="F23">
            <v>0</v>
          </cell>
          <cell r="H23">
            <v>1</v>
          </cell>
          <cell r="I23">
            <v>262</v>
          </cell>
          <cell r="J23">
            <v>1816</v>
          </cell>
        </row>
        <row r="24">
          <cell r="C24">
            <v>17400</v>
          </cell>
          <cell r="D24">
            <v>5509</v>
          </cell>
          <cell r="E24">
            <v>1400</v>
          </cell>
          <cell r="F24">
            <v>0</v>
          </cell>
          <cell r="H24">
            <v>1</v>
          </cell>
          <cell r="I24">
            <v>334</v>
          </cell>
          <cell r="J24">
            <v>2479</v>
          </cell>
        </row>
        <row r="25">
          <cell r="C25">
            <v>23250</v>
          </cell>
          <cell r="D25">
            <v>7370</v>
          </cell>
          <cell r="E25">
            <v>1868</v>
          </cell>
          <cell r="F25">
            <v>0</v>
          </cell>
          <cell r="H25">
            <v>1</v>
          </cell>
          <cell r="I25">
            <v>442</v>
          </cell>
          <cell r="J25">
            <v>3317</v>
          </cell>
        </row>
        <row r="26">
          <cell r="C26">
            <v>30750</v>
          </cell>
          <cell r="D26">
            <v>9738</v>
          </cell>
          <cell r="E26">
            <v>2468</v>
          </cell>
          <cell r="F26">
            <v>0</v>
          </cell>
          <cell r="H26">
            <v>1</v>
          </cell>
          <cell r="I26">
            <v>604</v>
          </cell>
          <cell r="J26">
            <v>4382</v>
          </cell>
        </row>
      </sheetData>
      <sheetData sheetId="17">
        <row r="2">
          <cell r="C2">
            <v>50</v>
          </cell>
          <cell r="D2">
            <v>26</v>
          </cell>
          <cell r="E2">
            <v>5</v>
          </cell>
          <cell r="F2">
            <v>0.1</v>
          </cell>
          <cell r="H2">
            <v>1</v>
          </cell>
          <cell r="I2">
            <v>5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10</v>
          </cell>
          <cell r="F3">
            <v>0.10005</v>
          </cell>
          <cell r="H3">
            <v>1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13</v>
          </cell>
          <cell r="F4">
            <v>0.10009999999999999</v>
          </cell>
          <cell r="H4">
            <v>1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32</v>
          </cell>
          <cell r="E5">
            <v>26</v>
          </cell>
          <cell r="F5">
            <v>0.10019999999999998</v>
          </cell>
          <cell r="H5">
            <v>1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35</v>
          </cell>
          <cell r="E6">
            <v>34</v>
          </cell>
          <cell r="F6">
            <v>0.10029999999999997</v>
          </cell>
          <cell r="H6">
            <v>1.2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49</v>
          </cell>
          <cell r="E7">
            <v>47</v>
          </cell>
          <cell r="F7">
            <v>0.10044999999999996</v>
          </cell>
          <cell r="H7">
            <v>1.2</v>
          </cell>
          <cell r="I7">
            <v>24</v>
          </cell>
          <cell r="J7">
            <v>15</v>
          </cell>
        </row>
        <row r="8">
          <cell r="C8">
            <v>650</v>
          </cell>
          <cell r="D8">
            <v>60</v>
          </cell>
          <cell r="E8">
            <v>60</v>
          </cell>
          <cell r="F8">
            <v>0.10059999999999994</v>
          </cell>
          <cell r="H8">
            <v>1.2</v>
          </cell>
          <cell r="I8">
            <v>29</v>
          </cell>
          <cell r="J8">
            <v>18</v>
          </cell>
        </row>
        <row r="9">
          <cell r="C9">
            <v>850</v>
          </cell>
          <cell r="D9">
            <v>83</v>
          </cell>
          <cell r="E9">
            <v>94</v>
          </cell>
          <cell r="F9">
            <v>0.10079999999999992</v>
          </cell>
          <cell r="H9">
            <v>1.2</v>
          </cell>
          <cell r="I9">
            <v>35</v>
          </cell>
          <cell r="J9">
            <v>25</v>
          </cell>
        </row>
        <row r="10">
          <cell r="C10">
            <v>1050</v>
          </cell>
          <cell r="D10">
            <v>93</v>
          </cell>
          <cell r="E10">
            <v>119</v>
          </cell>
          <cell r="F10">
            <v>0.1009999999999999</v>
          </cell>
          <cell r="H10">
            <v>1.2</v>
          </cell>
          <cell r="I10">
            <v>42</v>
          </cell>
          <cell r="J10">
            <v>28</v>
          </cell>
        </row>
        <row r="11">
          <cell r="C11">
            <v>1250</v>
          </cell>
          <cell r="D11">
            <v>96</v>
          </cell>
          <cell r="E11">
            <v>141</v>
          </cell>
          <cell r="F11">
            <v>0.10119999999999987</v>
          </cell>
          <cell r="H11">
            <v>1.3</v>
          </cell>
          <cell r="I11">
            <v>50</v>
          </cell>
          <cell r="J11">
            <v>29</v>
          </cell>
        </row>
        <row r="12">
          <cell r="C12">
            <v>1500</v>
          </cell>
          <cell r="D12">
            <v>175</v>
          </cell>
          <cell r="E12">
            <v>165</v>
          </cell>
          <cell r="F12">
            <v>0.10144999999999985</v>
          </cell>
          <cell r="H12">
            <v>1.3</v>
          </cell>
          <cell r="I12">
            <v>59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192</v>
          </cell>
          <cell r="F13">
            <v>0.10169999999999982</v>
          </cell>
          <cell r="H13">
            <v>1.3</v>
          </cell>
          <cell r="I13">
            <v>69</v>
          </cell>
          <cell r="J13">
            <v>60</v>
          </cell>
        </row>
        <row r="14">
          <cell r="C14">
            <v>2050</v>
          </cell>
          <cell r="D14">
            <v>233</v>
          </cell>
          <cell r="E14">
            <v>222</v>
          </cell>
          <cell r="F14">
            <v>0.10199999999999979</v>
          </cell>
          <cell r="H14">
            <v>1.3</v>
          </cell>
          <cell r="I14">
            <v>80</v>
          </cell>
          <cell r="J14">
            <v>70</v>
          </cell>
        </row>
        <row r="15">
          <cell r="C15">
            <v>2400</v>
          </cell>
          <cell r="D15">
            <v>368</v>
          </cell>
          <cell r="E15">
            <v>255</v>
          </cell>
          <cell r="F15">
            <v>0.10234999999999975</v>
          </cell>
          <cell r="H15">
            <v>1.3</v>
          </cell>
          <cell r="I15">
            <v>92</v>
          </cell>
          <cell r="J15">
            <v>110</v>
          </cell>
        </row>
        <row r="16">
          <cell r="C16">
            <v>2850</v>
          </cell>
          <cell r="D16">
            <v>433</v>
          </cell>
          <cell r="E16">
            <v>292</v>
          </cell>
          <cell r="F16">
            <v>0.1027999999999997</v>
          </cell>
          <cell r="H16">
            <v>1.4</v>
          </cell>
          <cell r="I16">
            <v>105</v>
          </cell>
          <cell r="J16">
            <v>130</v>
          </cell>
        </row>
        <row r="17">
          <cell r="C17">
            <v>3350</v>
          </cell>
          <cell r="D17">
            <v>649</v>
          </cell>
          <cell r="E17">
            <v>333</v>
          </cell>
          <cell r="F17">
            <v>0.10329999999999964</v>
          </cell>
          <cell r="H17">
            <v>1.4</v>
          </cell>
          <cell r="I17">
            <v>120</v>
          </cell>
          <cell r="J17">
            <v>195</v>
          </cell>
        </row>
        <row r="18">
          <cell r="C18">
            <v>3900</v>
          </cell>
          <cell r="D18">
            <v>768</v>
          </cell>
          <cell r="E18">
            <v>379</v>
          </cell>
          <cell r="F18">
            <v>0.10384999999999958</v>
          </cell>
          <cell r="H18">
            <v>1.4</v>
          </cell>
          <cell r="I18">
            <v>137</v>
          </cell>
          <cell r="J18">
            <v>230</v>
          </cell>
        </row>
        <row r="19">
          <cell r="C19">
            <v>4550</v>
          </cell>
          <cell r="D19">
            <v>915</v>
          </cell>
          <cell r="E19">
            <v>430</v>
          </cell>
          <cell r="F19">
            <v>0.10449999999999951</v>
          </cell>
          <cell r="H19">
            <v>1.4</v>
          </cell>
          <cell r="I19">
            <v>156</v>
          </cell>
          <cell r="J19">
            <v>275</v>
          </cell>
        </row>
        <row r="20">
          <cell r="C20">
            <v>5500</v>
          </cell>
          <cell r="D20">
            <v>1372</v>
          </cell>
          <cell r="E20">
            <v>487</v>
          </cell>
          <cell r="F20">
            <v>0.10544999999999941</v>
          </cell>
          <cell r="H20">
            <v>1.4</v>
          </cell>
          <cell r="I20">
            <v>177</v>
          </cell>
          <cell r="J20">
            <v>412</v>
          </cell>
        </row>
        <row r="21">
          <cell r="C21">
            <v>6600</v>
          </cell>
          <cell r="D21">
            <v>1803</v>
          </cell>
          <cell r="E21">
            <v>600</v>
          </cell>
          <cell r="F21">
            <v>0.10704999999999923</v>
          </cell>
          <cell r="H21">
            <v>1.5</v>
          </cell>
          <cell r="I21">
            <v>200</v>
          </cell>
          <cell r="J21">
            <v>541</v>
          </cell>
        </row>
        <row r="22">
          <cell r="C22">
            <v>9450</v>
          </cell>
          <cell r="D22">
            <v>2490</v>
          </cell>
          <cell r="E22">
            <v>764</v>
          </cell>
          <cell r="F22">
            <v>0.10939999999999897</v>
          </cell>
          <cell r="H22">
            <v>1.5</v>
          </cell>
          <cell r="I22">
            <v>235</v>
          </cell>
          <cell r="J22">
            <v>747</v>
          </cell>
        </row>
        <row r="23">
          <cell r="C23">
            <v>12800</v>
          </cell>
          <cell r="D23">
            <v>3867</v>
          </cell>
          <cell r="E23">
            <v>1032</v>
          </cell>
          <cell r="F23">
            <v>0.1127499999999986</v>
          </cell>
          <cell r="H23">
            <v>1.5</v>
          </cell>
          <cell r="I23">
            <v>288</v>
          </cell>
          <cell r="J23">
            <v>1160</v>
          </cell>
        </row>
        <row r="24">
          <cell r="C24">
            <v>17400</v>
          </cell>
          <cell r="D24">
            <v>5274</v>
          </cell>
          <cell r="E24">
            <v>1400</v>
          </cell>
          <cell r="F24">
            <v>0.11734999999999809</v>
          </cell>
          <cell r="H24">
            <v>1.5</v>
          </cell>
          <cell r="I24">
            <v>368</v>
          </cell>
          <cell r="J24">
            <v>1582</v>
          </cell>
        </row>
        <row r="25">
          <cell r="C25">
            <v>23250</v>
          </cell>
          <cell r="D25">
            <v>6900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488</v>
          </cell>
          <cell r="J25">
            <v>2070</v>
          </cell>
        </row>
        <row r="26">
          <cell r="C26">
            <v>30750</v>
          </cell>
          <cell r="D26">
            <v>9081</v>
          </cell>
          <cell r="E26">
            <v>2468</v>
          </cell>
          <cell r="F26">
            <v>0.13069999999999662</v>
          </cell>
          <cell r="H26">
            <v>1.6</v>
          </cell>
          <cell r="I26">
            <v>668</v>
          </cell>
          <cell r="J26">
            <v>2724</v>
          </cell>
        </row>
      </sheetData>
      <sheetData sheetId="18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0.7</v>
          </cell>
          <cell r="I2">
            <v>7</v>
          </cell>
          <cell r="J2">
            <v>7</v>
          </cell>
        </row>
        <row r="3">
          <cell r="C3">
            <v>100</v>
          </cell>
          <cell r="D3">
            <v>25</v>
          </cell>
          <cell r="E3">
            <v>10</v>
          </cell>
          <cell r="F3">
            <v>0</v>
          </cell>
          <cell r="H3">
            <v>0.7</v>
          </cell>
          <cell r="I3">
            <v>12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0.7</v>
          </cell>
          <cell r="I4">
            <v>17</v>
          </cell>
          <cell r="J4">
            <v>8</v>
          </cell>
        </row>
        <row r="5">
          <cell r="C5">
            <v>250</v>
          </cell>
          <cell r="D5">
            <v>30</v>
          </cell>
          <cell r="E5">
            <v>22</v>
          </cell>
          <cell r="F5">
            <v>0</v>
          </cell>
          <cell r="H5">
            <v>0.7</v>
          </cell>
          <cell r="I5">
            <v>27</v>
          </cell>
          <cell r="J5">
            <v>9</v>
          </cell>
        </row>
        <row r="6">
          <cell r="C6">
            <v>350</v>
          </cell>
          <cell r="D6">
            <v>33</v>
          </cell>
          <cell r="E6">
            <v>30</v>
          </cell>
          <cell r="F6">
            <v>0</v>
          </cell>
          <cell r="H6">
            <v>0.7</v>
          </cell>
          <cell r="I6">
            <v>38</v>
          </cell>
          <cell r="J6">
            <v>10</v>
          </cell>
        </row>
        <row r="7">
          <cell r="C7">
            <v>500</v>
          </cell>
          <cell r="D7">
            <v>37</v>
          </cell>
          <cell r="E7">
            <v>40</v>
          </cell>
          <cell r="F7">
            <v>0</v>
          </cell>
          <cell r="H7">
            <v>0.7</v>
          </cell>
          <cell r="I7">
            <v>56</v>
          </cell>
          <cell r="J7">
            <v>11</v>
          </cell>
        </row>
        <row r="8">
          <cell r="C8">
            <v>650</v>
          </cell>
          <cell r="D8">
            <v>45</v>
          </cell>
          <cell r="E8">
            <v>56</v>
          </cell>
          <cell r="F8">
            <v>0</v>
          </cell>
          <cell r="H8">
            <v>0.7</v>
          </cell>
          <cell r="I8">
            <v>65</v>
          </cell>
          <cell r="J8">
            <v>14</v>
          </cell>
        </row>
        <row r="9">
          <cell r="C9">
            <v>850</v>
          </cell>
          <cell r="D9">
            <v>66</v>
          </cell>
          <cell r="E9">
            <v>92</v>
          </cell>
          <cell r="F9">
            <v>0</v>
          </cell>
          <cell r="H9">
            <v>0.7</v>
          </cell>
          <cell r="I9">
            <v>84</v>
          </cell>
          <cell r="J9">
            <v>20</v>
          </cell>
        </row>
        <row r="10">
          <cell r="C10">
            <v>1050</v>
          </cell>
          <cell r="D10">
            <v>75</v>
          </cell>
          <cell r="E10">
            <v>116</v>
          </cell>
          <cell r="F10">
            <v>0</v>
          </cell>
          <cell r="H10">
            <v>0.7</v>
          </cell>
          <cell r="I10">
            <v>101</v>
          </cell>
          <cell r="J10">
            <v>23</v>
          </cell>
        </row>
        <row r="11">
          <cell r="C11">
            <v>1250</v>
          </cell>
          <cell r="D11">
            <v>81</v>
          </cell>
          <cell r="E11">
            <v>141</v>
          </cell>
          <cell r="F11">
            <v>0</v>
          </cell>
          <cell r="H11">
            <v>0.7</v>
          </cell>
          <cell r="I11">
            <v>120</v>
          </cell>
          <cell r="J11">
            <v>24</v>
          </cell>
        </row>
        <row r="12">
          <cell r="C12">
            <v>1500</v>
          </cell>
          <cell r="D12">
            <v>158</v>
          </cell>
          <cell r="E12">
            <v>165</v>
          </cell>
          <cell r="F12">
            <v>0</v>
          </cell>
          <cell r="H12">
            <v>0.7</v>
          </cell>
          <cell r="I12">
            <v>141</v>
          </cell>
          <cell r="J12">
            <v>47</v>
          </cell>
        </row>
        <row r="13">
          <cell r="C13">
            <v>1750</v>
          </cell>
          <cell r="D13">
            <v>180</v>
          </cell>
          <cell r="E13">
            <v>192</v>
          </cell>
          <cell r="F13">
            <v>0</v>
          </cell>
          <cell r="H13">
            <v>0.7</v>
          </cell>
          <cell r="I13">
            <v>164</v>
          </cell>
          <cell r="J13">
            <v>54</v>
          </cell>
        </row>
        <row r="14">
          <cell r="C14">
            <v>2050</v>
          </cell>
          <cell r="D14">
            <v>211</v>
          </cell>
          <cell r="E14">
            <v>222</v>
          </cell>
          <cell r="F14">
            <v>0</v>
          </cell>
          <cell r="H14">
            <v>0.7</v>
          </cell>
          <cell r="I14">
            <v>190</v>
          </cell>
          <cell r="J14">
            <v>63</v>
          </cell>
        </row>
        <row r="15">
          <cell r="C15">
            <v>2400</v>
          </cell>
          <cell r="D15">
            <v>341</v>
          </cell>
          <cell r="E15">
            <v>255</v>
          </cell>
          <cell r="F15">
            <v>0</v>
          </cell>
          <cell r="H15">
            <v>0.7</v>
          </cell>
          <cell r="I15">
            <v>219</v>
          </cell>
          <cell r="J15">
            <v>102</v>
          </cell>
        </row>
        <row r="16">
          <cell r="C16">
            <v>2850</v>
          </cell>
          <cell r="D16">
            <v>422</v>
          </cell>
          <cell r="E16">
            <v>292</v>
          </cell>
          <cell r="F16">
            <v>0</v>
          </cell>
          <cell r="H16">
            <v>0.7</v>
          </cell>
          <cell r="I16">
            <v>251</v>
          </cell>
          <cell r="J16">
            <v>127</v>
          </cell>
        </row>
        <row r="17">
          <cell r="C17">
            <v>3350</v>
          </cell>
          <cell r="D17">
            <v>637</v>
          </cell>
          <cell r="E17">
            <v>333</v>
          </cell>
          <cell r="F17">
            <v>0</v>
          </cell>
          <cell r="H17">
            <v>0.7</v>
          </cell>
          <cell r="I17">
            <v>287</v>
          </cell>
          <cell r="J17">
            <v>191</v>
          </cell>
        </row>
        <row r="18">
          <cell r="C18">
            <v>3900</v>
          </cell>
          <cell r="D18">
            <v>754</v>
          </cell>
          <cell r="E18">
            <v>379</v>
          </cell>
          <cell r="F18">
            <v>0</v>
          </cell>
          <cell r="H18">
            <v>0.7</v>
          </cell>
          <cell r="I18">
            <v>327</v>
          </cell>
          <cell r="J18">
            <v>226</v>
          </cell>
        </row>
        <row r="19">
          <cell r="C19">
            <v>4550</v>
          </cell>
          <cell r="D19">
            <v>901</v>
          </cell>
          <cell r="E19">
            <v>430</v>
          </cell>
          <cell r="F19">
            <v>0</v>
          </cell>
          <cell r="H19">
            <v>0.7</v>
          </cell>
          <cell r="I19">
            <v>371</v>
          </cell>
          <cell r="J19">
            <v>270</v>
          </cell>
        </row>
        <row r="20">
          <cell r="C20">
            <v>5500</v>
          </cell>
          <cell r="D20">
            <v>1358</v>
          </cell>
          <cell r="E20">
            <v>487</v>
          </cell>
          <cell r="F20">
            <v>0</v>
          </cell>
          <cell r="H20">
            <v>0.7</v>
          </cell>
          <cell r="I20">
            <v>420</v>
          </cell>
          <cell r="J20">
            <v>407</v>
          </cell>
        </row>
        <row r="21">
          <cell r="C21">
            <v>6600</v>
          </cell>
          <cell r="D21">
            <v>1863</v>
          </cell>
          <cell r="E21">
            <v>600</v>
          </cell>
          <cell r="F21">
            <v>0</v>
          </cell>
          <cell r="H21">
            <v>0.7</v>
          </cell>
          <cell r="I21">
            <v>475</v>
          </cell>
          <cell r="J21">
            <v>559</v>
          </cell>
        </row>
        <row r="22">
          <cell r="C22">
            <v>9450</v>
          </cell>
          <cell r="D22">
            <v>2605</v>
          </cell>
          <cell r="E22">
            <v>764</v>
          </cell>
          <cell r="F22">
            <v>0</v>
          </cell>
          <cell r="H22">
            <v>0.7</v>
          </cell>
          <cell r="I22">
            <v>558</v>
          </cell>
          <cell r="J22">
            <v>782</v>
          </cell>
        </row>
        <row r="23">
          <cell r="C23">
            <v>12800</v>
          </cell>
          <cell r="D23">
            <v>4084</v>
          </cell>
          <cell r="E23">
            <v>1032</v>
          </cell>
          <cell r="F23">
            <v>0</v>
          </cell>
          <cell r="H23">
            <v>0.7</v>
          </cell>
          <cell r="I23">
            <v>683</v>
          </cell>
          <cell r="J23">
            <v>1225</v>
          </cell>
        </row>
        <row r="24">
          <cell r="C24">
            <v>17400</v>
          </cell>
          <cell r="D24">
            <v>5623</v>
          </cell>
          <cell r="E24">
            <v>1400</v>
          </cell>
          <cell r="F24">
            <v>0</v>
          </cell>
          <cell r="H24">
            <v>0.7</v>
          </cell>
          <cell r="I24">
            <v>871</v>
          </cell>
          <cell r="J24">
            <v>1687</v>
          </cell>
        </row>
        <row r="25">
          <cell r="C25">
            <v>23250</v>
          </cell>
          <cell r="D25">
            <v>7531</v>
          </cell>
          <cell r="E25">
            <v>1868</v>
          </cell>
          <cell r="F25">
            <v>0</v>
          </cell>
          <cell r="H25">
            <v>0.7</v>
          </cell>
          <cell r="I25">
            <v>1153</v>
          </cell>
          <cell r="J25">
            <v>2259</v>
          </cell>
        </row>
        <row r="26">
          <cell r="C26">
            <v>30750</v>
          </cell>
          <cell r="D26">
            <v>9908</v>
          </cell>
          <cell r="E26">
            <v>2468</v>
          </cell>
          <cell r="F26">
            <v>0</v>
          </cell>
          <cell r="H26">
            <v>0.7</v>
          </cell>
          <cell r="I26">
            <v>1576</v>
          </cell>
          <cell r="J26">
            <v>2972</v>
          </cell>
        </row>
      </sheetData>
      <sheetData sheetId="19">
        <row r="2">
          <cell r="C2">
            <v>50</v>
          </cell>
          <cell r="D2">
            <v>32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10</v>
          </cell>
        </row>
        <row r="3">
          <cell r="C3">
            <v>100</v>
          </cell>
          <cell r="D3">
            <v>36</v>
          </cell>
          <cell r="E3">
            <v>14</v>
          </cell>
          <cell r="F3">
            <v>0</v>
          </cell>
          <cell r="H3">
            <v>1</v>
          </cell>
          <cell r="I3">
            <v>11</v>
          </cell>
          <cell r="J3">
            <v>11</v>
          </cell>
        </row>
        <row r="4">
          <cell r="C4">
            <v>150</v>
          </cell>
          <cell r="D4">
            <v>36</v>
          </cell>
          <cell r="E4">
            <v>22</v>
          </cell>
          <cell r="F4">
            <v>2.5000000000000001E-3</v>
          </cell>
          <cell r="H4">
            <v>1</v>
          </cell>
          <cell r="I4">
            <v>16</v>
          </cell>
          <cell r="J4">
            <v>11</v>
          </cell>
        </row>
        <row r="5">
          <cell r="C5">
            <v>250</v>
          </cell>
          <cell r="D5">
            <v>49</v>
          </cell>
          <cell r="E5">
            <v>32</v>
          </cell>
          <cell r="F5">
            <v>2.5000000000000001E-3</v>
          </cell>
          <cell r="H5">
            <v>1</v>
          </cell>
          <cell r="I5">
            <v>22</v>
          </cell>
          <cell r="J5">
            <v>15</v>
          </cell>
        </row>
        <row r="6">
          <cell r="C6">
            <v>350</v>
          </cell>
          <cell r="D6">
            <v>57</v>
          </cell>
          <cell r="E6">
            <v>45</v>
          </cell>
          <cell r="F6">
            <v>5.0000000000000001E-3</v>
          </cell>
          <cell r="H6">
            <v>1</v>
          </cell>
          <cell r="I6">
            <v>29</v>
          </cell>
          <cell r="J6">
            <v>17</v>
          </cell>
        </row>
        <row r="7">
          <cell r="C7">
            <v>500</v>
          </cell>
          <cell r="D7">
            <v>78</v>
          </cell>
          <cell r="E7">
            <v>60</v>
          </cell>
          <cell r="F7">
            <v>0.01</v>
          </cell>
          <cell r="H7">
            <v>1</v>
          </cell>
          <cell r="I7">
            <v>37</v>
          </cell>
          <cell r="J7">
            <v>23</v>
          </cell>
        </row>
        <row r="8">
          <cell r="C8">
            <v>650</v>
          </cell>
          <cell r="D8">
            <v>74</v>
          </cell>
          <cell r="E8">
            <v>92</v>
          </cell>
          <cell r="F8">
            <v>1.4999999999999999E-2</v>
          </cell>
          <cell r="H8">
            <v>1</v>
          </cell>
          <cell r="I8">
            <v>46</v>
          </cell>
          <cell r="J8">
            <v>22</v>
          </cell>
        </row>
        <row r="9">
          <cell r="C9">
            <v>850</v>
          </cell>
          <cell r="D9">
            <v>123</v>
          </cell>
          <cell r="E9">
            <v>130</v>
          </cell>
          <cell r="F9">
            <v>2.5000000000000001E-2</v>
          </cell>
          <cell r="H9">
            <v>1</v>
          </cell>
          <cell r="I9">
            <v>56</v>
          </cell>
          <cell r="J9">
            <v>37</v>
          </cell>
        </row>
        <row r="10">
          <cell r="C10">
            <v>1050</v>
          </cell>
          <cell r="D10">
            <v>138</v>
          </cell>
          <cell r="E10">
            <v>165</v>
          </cell>
          <cell r="F10">
            <v>2.9000000000000001E-2</v>
          </cell>
          <cell r="H10">
            <v>1</v>
          </cell>
          <cell r="I10">
            <v>67</v>
          </cell>
          <cell r="J10">
            <v>41</v>
          </cell>
        </row>
        <row r="11">
          <cell r="C11">
            <v>1250</v>
          </cell>
          <cell r="D11">
            <v>148</v>
          </cell>
          <cell r="E11">
            <v>203</v>
          </cell>
          <cell r="F11">
            <v>3.6999999999999998E-2</v>
          </cell>
          <cell r="H11">
            <v>1</v>
          </cell>
          <cell r="I11">
            <v>79</v>
          </cell>
          <cell r="J11">
            <v>44</v>
          </cell>
        </row>
        <row r="12">
          <cell r="C12">
            <v>1500</v>
          </cell>
          <cell r="D12">
            <v>254</v>
          </cell>
          <cell r="E12">
            <v>238</v>
          </cell>
          <cell r="F12">
            <v>4.5999999999999999E-2</v>
          </cell>
          <cell r="H12">
            <v>1</v>
          </cell>
          <cell r="I12">
            <v>92</v>
          </cell>
          <cell r="J12">
            <v>76</v>
          </cell>
        </row>
        <row r="13">
          <cell r="C13">
            <v>1750</v>
          </cell>
          <cell r="D13">
            <v>289</v>
          </cell>
          <cell r="E13">
            <v>277</v>
          </cell>
          <cell r="F13">
            <v>5.5E-2</v>
          </cell>
          <cell r="H13">
            <v>1</v>
          </cell>
          <cell r="I13">
            <v>106</v>
          </cell>
          <cell r="J13">
            <v>87</v>
          </cell>
        </row>
        <row r="14">
          <cell r="C14">
            <v>2050</v>
          </cell>
          <cell r="D14">
            <v>336</v>
          </cell>
          <cell r="E14">
            <v>320</v>
          </cell>
          <cell r="F14">
            <v>6.5000000000000002E-2</v>
          </cell>
          <cell r="H14">
            <v>1</v>
          </cell>
          <cell r="I14">
            <v>122</v>
          </cell>
          <cell r="J14">
            <v>101</v>
          </cell>
        </row>
        <row r="15">
          <cell r="C15">
            <v>2400</v>
          </cell>
          <cell r="D15">
            <v>514</v>
          </cell>
          <cell r="E15">
            <v>368</v>
          </cell>
          <cell r="F15">
            <v>7.5999999999999998E-2</v>
          </cell>
          <cell r="H15">
            <v>1</v>
          </cell>
          <cell r="I15">
            <v>140</v>
          </cell>
          <cell r="J15">
            <v>154</v>
          </cell>
        </row>
        <row r="16">
          <cell r="C16">
            <v>2850</v>
          </cell>
          <cell r="D16">
            <v>625</v>
          </cell>
          <cell r="E16">
            <v>421</v>
          </cell>
          <cell r="F16">
            <v>8.8999999999999996E-2</v>
          </cell>
          <cell r="H16">
            <v>1</v>
          </cell>
          <cell r="I16">
            <v>160</v>
          </cell>
          <cell r="J16">
            <v>188</v>
          </cell>
        </row>
        <row r="17">
          <cell r="C17">
            <v>3350</v>
          </cell>
          <cell r="D17">
            <v>915</v>
          </cell>
          <cell r="E17">
            <v>480</v>
          </cell>
          <cell r="F17">
            <v>0.1</v>
          </cell>
          <cell r="H17">
            <v>1</v>
          </cell>
          <cell r="I17">
            <v>182</v>
          </cell>
          <cell r="J17">
            <v>275</v>
          </cell>
        </row>
        <row r="18">
          <cell r="C18">
            <v>3900</v>
          </cell>
          <cell r="D18">
            <v>1074</v>
          </cell>
          <cell r="E18">
            <v>546</v>
          </cell>
          <cell r="F18">
            <v>0.111</v>
          </cell>
          <cell r="H18">
            <v>1</v>
          </cell>
          <cell r="I18">
            <v>207</v>
          </cell>
          <cell r="J18">
            <v>322</v>
          </cell>
        </row>
        <row r="19">
          <cell r="C19">
            <v>4550</v>
          </cell>
          <cell r="D19">
            <v>1268</v>
          </cell>
          <cell r="E19">
            <v>619</v>
          </cell>
          <cell r="F19">
            <v>0.125</v>
          </cell>
          <cell r="H19">
            <v>1</v>
          </cell>
          <cell r="I19">
            <v>235</v>
          </cell>
          <cell r="J19">
            <v>380</v>
          </cell>
        </row>
        <row r="20">
          <cell r="C20">
            <v>5500</v>
          </cell>
          <cell r="D20">
            <v>1884</v>
          </cell>
          <cell r="E20">
            <v>700</v>
          </cell>
          <cell r="F20">
            <v>0.13</v>
          </cell>
          <cell r="H20">
            <v>1</v>
          </cell>
          <cell r="I20">
            <v>266</v>
          </cell>
          <cell r="J20">
            <v>565</v>
          </cell>
        </row>
        <row r="21">
          <cell r="C21">
            <v>6600</v>
          </cell>
          <cell r="D21">
            <v>2529</v>
          </cell>
          <cell r="E21">
            <v>830</v>
          </cell>
          <cell r="F21">
            <v>0.18</v>
          </cell>
          <cell r="H21">
            <v>1</v>
          </cell>
          <cell r="I21">
            <v>300</v>
          </cell>
          <cell r="J21">
            <v>759</v>
          </cell>
        </row>
        <row r="22">
          <cell r="C22">
            <v>9450</v>
          </cell>
          <cell r="D22">
            <v>3556</v>
          </cell>
          <cell r="E22">
            <v>1012</v>
          </cell>
          <cell r="F22">
            <v>0.18</v>
          </cell>
          <cell r="H22">
            <v>1</v>
          </cell>
          <cell r="I22">
            <v>354</v>
          </cell>
          <cell r="J22">
            <v>1067</v>
          </cell>
        </row>
        <row r="23">
          <cell r="C23">
            <v>12800</v>
          </cell>
          <cell r="D23">
            <v>5638</v>
          </cell>
          <cell r="E23">
            <v>1267</v>
          </cell>
          <cell r="F23">
            <v>0.18</v>
          </cell>
          <cell r="H23">
            <v>1</v>
          </cell>
          <cell r="I23">
            <v>440</v>
          </cell>
          <cell r="J23">
            <v>1691</v>
          </cell>
        </row>
        <row r="24">
          <cell r="C24">
            <v>17400</v>
          </cell>
          <cell r="D24">
            <v>7792</v>
          </cell>
          <cell r="E24">
            <v>1624</v>
          </cell>
          <cell r="F24">
            <v>0.2</v>
          </cell>
          <cell r="H24">
            <v>1</v>
          </cell>
          <cell r="I24">
            <v>578</v>
          </cell>
          <cell r="J24">
            <v>2338</v>
          </cell>
        </row>
        <row r="25">
          <cell r="C25">
            <v>23250</v>
          </cell>
          <cell r="D25">
            <v>10450</v>
          </cell>
          <cell r="E25">
            <v>2124</v>
          </cell>
          <cell r="F25">
            <v>0.2</v>
          </cell>
          <cell r="H25">
            <v>1</v>
          </cell>
          <cell r="I25">
            <v>799</v>
          </cell>
          <cell r="J25">
            <v>3135</v>
          </cell>
        </row>
        <row r="26">
          <cell r="C26">
            <v>30750</v>
          </cell>
          <cell r="D26">
            <v>13685</v>
          </cell>
          <cell r="E26">
            <v>2824</v>
          </cell>
          <cell r="F26">
            <v>0.2</v>
          </cell>
          <cell r="H26">
            <v>1</v>
          </cell>
          <cell r="I26">
            <v>1153</v>
          </cell>
          <cell r="J26">
            <v>4106</v>
          </cell>
        </row>
      </sheetData>
      <sheetData sheetId="20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32</v>
          </cell>
          <cell r="E4">
            <v>21</v>
          </cell>
          <cell r="F4">
            <v>0.10009999999999999</v>
          </cell>
          <cell r="H4">
            <v>1</v>
          </cell>
          <cell r="I4">
            <v>15</v>
          </cell>
          <cell r="J4">
            <v>16</v>
          </cell>
        </row>
        <row r="5">
          <cell r="C5">
            <v>250</v>
          </cell>
          <cell r="D5">
            <v>44</v>
          </cell>
          <cell r="E5">
            <v>32</v>
          </cell>
          <cell r="F5">
            <v>0.10019999999999998</v>
          </cell>
          <cell r="H5">
            <v>1</v>
          </cell>
          <cell r="I5">
            <v>19</v>
          </cell>
          <cell r="J5">
            <v>22</v>
          </cell>
        </row>
        <row r="6">
          <cell r="C6">
            <v>350</v>
          </cell>
          <cell r="D6">
            <v>53</v>
          </cell>
          <cell r="E6">
            <v>44</v>
          </cell>
          <cell r="F6">
            <v>0.10029999999999997</v>
          </cell>
          <cell r="H6">
            <v>1</v>
          </cell>
          <cell r="I6">
            <v>24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57</v>
          </cell>
          <cell r="F7">
            <v>0.10044999999999996</v>
          </cell>
          <cell r="H7">
            <v>1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95</v>
          </cell>
          <cell r="E8">
            <v>70</v>
          </cell>
          <cell r="F8">
            <v>0.10059999999999994</v>
          </cell>
          <cell r="H8">
            <v>1</v>
          </cell>
          <cell r="I8">
            <v>37</v>
          </cell>
          <cell r="J8">
            <v>48</v>
          </cell>
        </row>
        <row r="9">
          <cell r="C9">
            <v>850</v>
          </cell>
          <cell r="D9">
            <v>162</v>
          </cell>
          <cell r="E9">
            <v>90</v>
          </cell>
          <cell r="F9">
            <v>0.10079999999999992</v>
          </cell>
          <cell r="H9">
            <v>1</v>
          </cell>
          <cell r="I9">
            <v>45</v>
          </cell>
          <cell r="J9">
            <v>81</v>
          </cell>
        </row>
        <row r="10">
          <cell r="C10">
            <v>1050</v>
          </cell>
          <cell r="D10">
            <v>182</v>
          </cell>
          <cell r="E10">
            <v>120</v>
          </cell>
          <cell r="F10">
            <v>0.1009999999999999</v>
          </cell>
          <cell r="H10">
            <v>1</v>
          </cell>
          <cell r="I10">
            <v>54</v>
          </cell>
          <cell r="J10">
            <v>91</v>
          </cell>
        </row>
        <row r="11">
          <cell r="C11">
            <v>1250</v>
          </cell>
          <cell r="D11">
            <v>192</v>
          </cell>
          <cell r="E11">
            <v>157</v>
          </cell>
          <cell r="F11">
            <v>0.10119999999999987</v>
          </cell>
          <cell r="H11">
            <v>1</v>
          </cell>
          <cell r="I11">
            <v>64</v>
          </cell>
          <cell r="J11">
            <v>96</v>
          </cell>
        </row>
        <row r="12">
          <cell r="C12">
            <v>1500</v>
          </cell>
          <cell r="D12">
            <v>300</v>
          </cell>
          <cell r="E12">
            <v>184</v>
          </cell>
          <cell r="F12">
            <v>0.10144999999999985</v>
          </cell>
          <cell r="H12">
            <v>1</v>
          </cell>
          <cell r="I12">
            <v>75</v>
          </cell>
          <cell r="J12">
            <v>150</v>
          </cell>
        </row>
        <row r="13">
          <cell r="C13">
            <v>1750</v>
          </cell>
          <cell r="D13">
            <v>345</v>
          </cell>
          <cell r="E13">
            <v>213</v>
          </cell>
          <cell r="F13">
            <v>0.10169999999999982</v>
          </cell>
          <cell r="H13">
            <v>1</v>
          </cell>
          <cell r="I13">
            <v>87</v>
          </cell>
          <cell r="J13">
            <v>173</v>
          </cell>
        </row>
        <row r="14">
          <cell r="C14">
            <v>2050</v>
          </cell>
          <cell r="D14">
            <v>403</v>
          </cell>
          <cell r="E14">
            <v>247</v>
          </cell>
          <cell r="F14">
            <v>0.10199999999999979</v>
          </cell>
          <cell r="H14">
            <v>1</v>
          </cell>
          <cell r="I14">
            <v>100</v>
          </cell>
          <cell r="J14">
            <v>202</v>
          </cell>
        </row>
        <row r="15">
          <cell r="C15">
            <v>2400</v>
          </cell>
          <cell r="D15">
            <v>582</v>
          </cell>
          <cell r="E15">
            <v>283</v>
          </cell>
          <cell r="F15">
            <v>0.10234999999999975</v>
          </cell>
          <cell r="H15">
            <v>1</v>
          </cell>
          <cell r="I15">
            <v>115</v>
          </cell>
          <cell r="J15">
            <v>291</v>
          </cell>
        </row>
        <row r="16">
          <cell r="C16">
            <v>2850</v>
          </cell>
          <cell r="D16">
            <v>704</v>
          </cell>
          <cell r="E16">
            <v>324</v>
          </cell>
          <cell r="F16">
            <v>0.1027999999999997</v>
          </cell>
          <cell r="H16">
            <v>1</v>
          </cell>
          <cell r="I16">
            <v>132</v>
          </cell>
          <cell r="J16">
            <v>352</v>
          </cell>
        </row>
        <row r="17">
          <cell r="C17">
            <v>3350</v>
          </cell>
          <cell r="D17">
            <v>986</v>
          </cell>
          <cell r="E17">
            <v>369</v>
          </cell>
          <cell r="F17">
            <v>0.10329999999999964</v>
          </cell>
          <cell r="H17">
            <v>1</v>
          </cell>
          <cell r="I17">
            <v>151</v>
          </cell>
          <cell r="J17">
            <v>493</v>
          </cell>
        </row>
        <row r="18">
          <cell r="C18">
            <v>3900</v>
          </cell>
          <cell r="D18">
            <v>1160</v>
          </cell>
          <cell r="E18">
            <v>418</v>
          </cell>
          <cell r="F18">
            <v>0.10384999999999958</v>
          </cell>
          <cell r="H18">
            <v>1</v>
          </cell>
          <cell r="I18">
            <v>172</v>
          </cell>
          <cell r="J18">
            <v>580</v>
          </cell>
        </row>
        <row r="19">
          <cell r="C19">
            <v>4550</v>
          </cell>
          <cell r="D19">
            <v>1371</v>
          </cell>
          <cell r="E19">
            <v>473</v>
          </cell>
          <cell r="F19">
            <v>0.10449999999999951</v>
          </cell>
          <cell r="H19">
            <v>1</v>
          </cell>
          <cell r="I19">
            <v>195</v>
          </cell>
          <cell r="J19">
            <v>686</v>
          </cell>
        </row>
        <row r="20">
          <cell r="C20">
            <v>5500</v>
          </cell>
          <cell r="D20">
            <v>1950</v>
          </cell>
          <cell r="E20">
            <v>535</v>
          </cell>
          <cell r="F20">
            <v>0.10544999999999941</v>
          </cell>
          <cell r="H20">
            <v>1</v>
          </cell>
          <cell r="I20">
            <v>221</v>
          </cell>
          <cell r="J20">
            <v>975</v>
          </cell>
        </row>
        <row r="21">
          <cell r="C21">
            <v>6600</v>
          </cell>
          <cell r="D21">
            <v>2557</v>
          </cell>
          <cell r="E21">
            <v>680</v>
          </cell>
          <cell r="F21">
            <v>0.10704999999999923</v>
          </cell>
          <cell r="H21">
            <v>1</v>
          </cell>
          <cell r="I21">
            <v>250</v>
          </cell>
          <cell r="J21">
            <v>1279</v>
          </cell>
        </row>
        <row r="22">
          <cell r="C22">
            <v>9450</v>
          </cell>
          <cell r="D22">
            <v>3613</v>
          </cell>
          <cell r="E22">
            <v>764</v>
          </cell>
          <cell r="F22">
            <v>0.10939999999999897</v>
          </cell>
          <cell r="H22">
            <v>1</v>
          </cell>
          <cell r="I22">
            <v>296</v>
          </cell>
          <cell r="J22">
            <v>1807</v>
          </cell>
        </row>
        <row r="23">
          <cell r="C23">
            <v>12800</v>
          </cell>
          <cell r="D23">
            <v>5465</v>
          </cell>
          <cell r="E23">
            <v>1032</v>
          </cell>
          <cell r="F23">
            <v>0.1127499999999986</v>
          </cell>
          <cell r="H23">
            <v>1</v>
          </cell>
          <cell r="I23">
            <v>370</v>
          </cell>
          <cell r="J23">
            <v>2733</v>
          </cell>
        </row>
        <row r="24">
          <cell r="C24">
            <v>17400</v>
          </cell>
          <cell r="D24">
            <v>7434</v>
          </cell>
          <cell r="E24">
            <v>1400</v>
          </cell>
          <cell r="F24">
            <v>0.11734999999999809</v>
          </cell>
          <cell r="H24">
            <v>1</v>
          </cell>
          <cell r="I24">
            <v>488</v>
          </cell>
          <cell r="J24">
            <v>3717</v>
          </cell>
        </row>
        <row r="25">
          <cell r="C25">
            <v>23250</v>
          </cell>
          <cell r="D25">
            <v>9896</v>
          </cell>
          <cell r="E25">
            <v>1868</v>
          </cell>
          <cell r="F25">
            <v>0.12319999999999745</v>
          </cell>
          <cell r="H25">
            <v>1</v>
          </cell>
          <cell r="I25">
            <v>677</v>
          </cell>
          <cell r="J25">
            <v>4948</v>
          </cell>
        </row>
        <row r="26">
          <cell r="C26">
            <v>30750</v>
          </cell>
          <cell r="D26">
            <v>12986</v>
          </cell>
          <cell r="E26">
            <v>2468</v>
          </cell>
          <cell r="F26">
            <v>0.13069999999999662</v>
          </cell>
          <cell r="H26">
            <v>1</v>
          </cell>
          <cell r="I26">
            <v>979</v>
          </cell>
          <cell r="J26">
            <v>6493</v>
          </cell>
        </row>
      </sheetData>
      <sheetData sheetId="21">
        <row r="2">
          <cell r="C2">
            <v>50</v>
          </cell>
          <cell r="D2">
            <v>29</v>
          </cell>
          <cell r="E2">
            <v>10</v>
          </cell>
          <cell r="F2">
            <v>0</v>
          </cell>
          <cell r="H2">
            <v>1</v>
          </cell>
          <cell r="I2">
            <v>7</v>
          </cell>
          <cell r="J2">
            <v>9</v>
          </cell>
        </row>
        <row r="3">
          <cell r="C3">
            <v>100</v>
          </cell>
          <cell r="D3">
            <v>30</v>
          </cell>
          <cell r="E3">
            <v>19</v>
          </cell>
          <cell r="F3">
            <v>0</v>
          </cell>
          <cell r="H3">
            <v>1</v>
          </cell>
          <cell r="I3">
            <v>11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27</v>
          </cell>
          <cell r="F4">
            <v>2.5000000000000001E-3</v>
          </cell>
          <cell r="H4">
            <v>1</v>
          </cell>
          <cell r="I4">
            <v>14</v>
          </cell>
          <cell r="J4">
            <v>10</v>
          </cell>
        </row>
        <row r="5">
          <cell r="C5">
            <v>250</v>
          </cell>
          <cell r="D5">
            <v>40</v>
          </cell>
          <cell r="E5">
            <v>42</v>
          </cell>
          <cell r="F5">
            <v>2.5000000000000001E-3</v>
          </cell>
          <cell r="H5">
            <v>1</v>
          </cell>
          <cell r="I5">
            <v>19</v>
          </cell>
          <cell r="J5">
            <v>12</v>
          </cell>
        </row>
        <row r="6">
          <cell r="C6">
            <v>350</v>
          </cell>
          <cell r="D6">
            <v>45</v>
          </cell>
          <cell r="E6">
            <v>54</v>
          </cell>
          <cell r="F6">
            <v>5.0000000000000001E-3</v>
          </cell>
          <cell r="H6">
            <v>1.2</v>
          </cell>
          <cell r="I6">
            <v>24</v>
          </cell>
          <cell r="J6">
            <v>14</v>
          </cell>
        </row>
        <row r="7">
          <cell r="C7">
            <v>500</v>
          </cell>
          <cell r="D7">
            <v>65</v>
          </cell>
          <cell r="E7">
            <v>70</v>
          </cell>
          <cell r="F7">
            <v>0.01</v>
          </cell>
          <cell r="H7">
            <v>1.2</v>
          </cell>
          <cell r="I7">
            <v>30</v>
          </cell>
          <cell r="J7">
            <v>20</v>
          </cell>
        </row>
        <row r="8">
          <cell r="C8">
            <v>650</v>
          </cell>
          <cell r="D8">
            <v>77</v>
          </cell>
          <cell r="E8">
            <v>90</v>
          </cell>
          <cell r="F8">
            <v>1.4999999999999999E-2</v>
          </cell>
          <cell r="H8">
            <v>1.2</v>
          </cell>
          <cell r="I8">
            <v>37</v>
          </cell>
          <cell r="J8">
            <v>23</v>
          </cell>
        </row>
        <row r="9">
          <cell r="C9">
            <v>850</v>
          </cell>
          <cell r="D9">
            <v>143</v>
          </cell>
          <cell r="E9">
            <v>115</v>
          </cell>
          <cell r="F9">
            <v>2.5000000000000001E-2</v>
          </cell>
          <cell r="H9">
            <v>1.2</v>
          </cell>
          <cell r="I9">
            <v>45</v>
          </cell>
          <cell r="J9">
            <v>43</v>
          </cell>
        </row>
        <row r="10">
          <cell r="C10">
            <v>1050</v>
          </cell>
          <cell r="D10">
            <v>167</v>
          </cell>
          <cell r="E10">
            <v>143</v>
          </cell>
          <cell r="F10">
            <v>2.9000000000000001E-2</v>
          </cell>
          <cell r="H10">
            <v>1.2</v>
          </cell>
          <cell r="I10">
            <v>54</v>
          </cell>
          <cell r="J10">
            <v>50</v>
          </cell>
        </row>
        <row r="11">
          <cell r="C11">
            <v>1250</v>
          </cell>
          <cell r="D11">
            <v>180</v>
          </cell>
          <cell r="E11">
            <v>169</v>
          </cell>
          <cell r="F11">
            <v>3.6999999999999998E-2</v>
          </cell>
          <cell r="H11">
            <v>1.3</v>
          </cell>
          <cell r="I11">
            <v>64</v>
          </cell>
          <cell r="J11">
            <v>54</v>
          </cell>
        </row>
        <row r="12">
          <cell r="C12">
            <v>1500</v>
          </cell>
          <cell r="D12">
            <v>292</v>
          </cell>
          <cell r="E12">
            <v>198</v>
          </cell>
          <cell r="F12">
            <v>4.5999999999999999E-2</v>
          </cell>
          <cell r="H12">
            <v>1.3</v>
          </cell>
          <cell r="I12">
            <v>75</v>
          </cell>
          <cell r="J12">
            <v>88</v>
          </cell>
        </row>
        <row r="13">
          <cell r="C13">
            <v>1750</v>
          </cell>
          <cell r="D13">
            <v>333</v>
          </cell>
          <cell r="E13">
            <v>230</v>
          </cell>
          <cell r="F13">
            <v>5.5E-2</v>
          </cell>
          <cell r="H13">
            <v>1.3</v>
          </cell>
          <cell r="I13">
            <v>87</v>
          </cell>
          <cell r="J13">
            <v>100</v>
          </cell>
        </row>
        <row r="14">
          <cell r="C14">
            <v>2050</v>
          </cell>
          <cell r="D14">
            <v>385</v>
          </cell>
          <cell r="E14">
            <v>266</v>
          </cell>
          <cell r="F14">
            <v>6.5000000000000002E-2</v>
          </cell>
          <cell r="H14">
            <v>1.3</v>
          </cell>
          <cell r="I14">
            <v>100</v>
          </cell>
          <cell r="J14">
            <v>116</v>
          </cell>
        </row>
        <row r="15">
          <cell r="C15">
            <v>2400</v>
          </cell>
          <cell r="D15">
            <v>571</v>
          </cell>
          <cell r="E15">
            <v>306</v>
          </cell>
          <cell r="F15">
            <v>7.5999999999999998E-2</v>
          </cell>
          <cell r="H15">
            <v>1.3</v>
          </cell>
          <cell r="I15">
            <v>115</v>
          </cell>
          <cell r="J15">
            <v>171</v>
          </cell>
        </row>
        <row r="16">
          <cell r="C16">
            <v>2850</v>
          </cell>
          <cell r="D16">
            <v>662</v>
          </cell>
          <cell r="E16">
            <v>351</v>
          </cell>
          <cell r="F16">
            <v>8.8999999999999996E-2</v>
          </cell>
          <cell r="H16">
            <v>1.4</v>
          </cell>
          <cell r="I16">
            <v>132</v>
          </cell>
          <cell r="J16">
            <v>199</v>
          </cell>
        </row>
        <row r="17">
          <cell r="C17">
            <v>3350</v>
          </cell>
          <cell r="D17">
            <v>955</v>
          </cell>
          <cell r="E17">
            <v>401</v>
          </cell>
          <cell r="F17">
            <v>0.1</v>
          </cell>
          <cell r="H17">
            <v>1.4</v>
          </cell>
          <cell r="I17">
            <v>151</v>
          </cell>
          <cell r="J17">
            <v>287</v>
          </cell>
        </row>
        <row r="18">
          <cell r="C18">
            <v>3900</v>
          </cell>
          <cell r="D18">
            <v>1117</v>
          </cell>
          <cell r="E18">
            <v>457</v>
          </cell>
          <cell r="F18">
            <v>0.111</v>
          </cell>
          <cell r="H18">
            <v>1.4</v>
          </cell>
          <cell r="I18">
            <v>172</v>
          </cell>
          <cell r="J18">
            <v>335</v>
          </cell>
        </row>
        <row r="19">
          <cell r="C19">
            <v>4550</v>
          </cell>
          <cell r="D19">
            <v>1316</v>
          </cell>
          <cell r="E19">
            <v>519</v>
          </cell>
          <cell r="F19">
            <v>0.125</v>
          </cell>
          <cell r="H19">
            <v>1.4</v>
          </cell>
          <cell r="I19">
            <v>195</v>
          </cell>
          <cell r="J19">
            <v>395</v>
          </cell>
        </row>
        <row r="20">
          <cell r="C20">
            <v>5500</v>
          </cell>
          <cell r="D20">
            <v>1935</v>
          </cell>
          <cell r="E20">
            <v>588</v>
          </cell>
          <cell r="F20">
            <v>0.13</v>
          </cell>
          <cell r="H20">
            <v>1.4</v>
          </cell>
          <cell r="I20">
            <v>221</v>
          </cell>
          <cell r="J20">
            <v>581</v>
          </cell>
        </row>
        <row r="21">
          <cell r="C21">
            <v>6600</v>
          </cell>
          <cell r="D21">
            <v>2525</v>
          </cell>
          <cell r="E21">
            <v>700</v>
          </cell>
          <cell r="F21">
            <v>0.18</v>
          </cell>
          <cell r="H21">
            <v>1.5</v>
          </cell>
          <cell r="I21">
            <v>250</v>
          </cell>
          <cell r="J21">
            <v>758</v>
          </cell>
        </row>
        <row r="22">
          <cell r="C22">
            <v>9450</v>
          </cell>
          <cell r="D22">
            <v>3719</v>
          </cell>
          <cell r="E22">
            <v>764</v>
          </cell>
          <cell r="F22">
            <v>0.18</v>
          </cell>
          <cell r="H22">
            <v>1.5</v>
          </cell>
          <cell r="I22">
            <v>299</v>
          </cell>
          <cell r="J22">
            <v>1116</v>
          </cell>
        </row>
        <row r="23">
          <cell r="C23">
            <v>12800</v>
          </cell>
          <cell r="D23">
            <v>5679</v>
          </cell>
          <cell r="E23">
            <v>1032</v>
          </cell>
          <cell r="F23">
            <v>0.18</v>
          </cell>
          <cell r="H23">
            <v>1.5</v>
          </cell>
          <cell r="I23">
            <v>382</v>
          </cell>
          <cell r="J23">
            <v>1704</v>
          </cell>
        </row>
        <row r="24">
          <cell r="C24">
            <v>17400</v>
          </cell>
          <cell r="D24">
            <v>7664</v>
          </cell>
          <cell r="E24">
            <v>1400</v>
          </cell>
          <cell r="F24">
            <v>0.2</v>
          </cell>
          <cell r="H24">
            <v>1.5</v>
          </cell>
          <cell r="I24">
            <v>523</v>
          </cell>
          <cell r="J24">
            <v>2299</v>
          </cell>
        </row>
        <row r="25">
          <cell r="C25">
            <v>23250</v>
          </cell>
          <cell r="D25">
            <v>10012</v>
          </cell>
          <cell r="E25">
            <v>1868</v>
          </cell>
          <cell r="F25">
            <v>0.2</v>
          </cell>
          <cell r="H25">
            <v>1.6</v>
          </cell>
          <cell r="I25">
            <v>763</v>
          </cell>
          <cell r="J25">
            <v>3004</v>
          </cell>
        </row>
        <row r="26">
          <cell r="C26">
            <v>30750</v>
          </cell>
          <cell r="D26">
            <v>13048</v>
          </cell>
          <cell r="E26">
            <v>2468</v>
          </cell>
          <cell r="F26">
            <v>0.2</v>
          </cell>
          <cell r="H26">
            <v>1.6</v>
          </cell>
          <cell r="I26">
            <v>1171</v>
          </cell>
          <cell r="J26">
            <v>3914</v>
          </cell>
        </row>
      </sheetData>
      <sheetData sheetId="22">
        <row r="2">
          <cell r="C2">
            <v>50</v>
          </cell>
          <cell r="D2">
            <v>28</v>
          </cell>
          <cell r="E2">
            <v>9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12</v>
          </cell>
          <cell r="F3">
            <v>0</v>
          </cell>
          <cell r="H3">
            <v>1</v>
          </cell>
          <cell r="I3">
            <v>18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15</v>
          </cell>
          <cell r="F4">
            <v>0</v>
          </cell>
          <cell r="H4">
            <v>1</v>
          </cell>
          <cell r="I4">
            <v>25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22</v>
          </cell>
          <cell r="F5">
            <v>0</v>
          </cell>
          <cell r="H5">
            <v>1</v>
          </cell>
          <cell r="I5">
            <v>35</v>
          </cell>
          <cell r="J5">
            <v>14</v>
          </cell>
        </row>
        <row r="6">
          <cell r="C6">
            <v>350</v>
          </cell>
          <cell r="D6">
            <v>52</v>
          </cell>
          <cell r="E6">
            <v>35</v>
          </cell>
          <cell r="F6">
            <v>0</v>
          </cell>
          <cell r="H6">
            <v>1</v>
          </cell>
          <cell r="I6">
            <v>43</v>
          </cell>
          <cell r="J6">
            <v>16</v>
          </cell>
        </row>
        <row r="7">
          <cell r="C7">
            <v>500</v>
          </cell>
          <cell r="D7">
            <v>71</v>
          </cell>
          <cell r="E7">
            <v>47</v>
          </cell>
          <cell r="F7">
            <v>0</v>
          </cell>
          <cell r="H7">
            <v>1</v>
          </cell>
          <cell r="I7">
            <v>56</v>
          </cell>
          <cell r="J7">
            <v>21</v>
          </cell>
        </row>
        <row r="8">
          <cell r="C8">
            <v>650</v>
          </cell>
          <cell r="D8">
            <v>89</v>
          </cell>
          <cell r="E8">
            <v>60</v>
          </cell>
          <cell r="F8">
            <v>0</v>
          </cell>
          <cell r="H8">
            <v>1</v>
          </cell>
          <cell r="I8">
            <v>68</v>
          </cell>
          <cell r="J8">
            <v>27</v>
          </cell>
        </row>
        <row r="9">
          <cell r="C9">
            <v>850</v>
          </cell>
          <cell r="D9">
            <v>122</v>
          </cell>
          <cell r="E9">
            <v>100</v>
          </cell>
          <cell r="F9">
            <v>0</v>
          </cell>
          <cell r="H9">
            <v>1</v>
          </cell>
          <cell r="I9">
            <v>90</v>
          </cell>
          <cell r="J9">
            <v>37</v>
          </cell>
        </row>
        <row r="10">
          <cell r="C10">
            <v>1050</v>
          </cell>
          <cell r="D10">
            <v>141</v>
          </cell>
          <cell r="E10">
            <v>128</v>
          </cell>
          <cell r="F10">
            <v>0</v>
          </cell>
          <cell r="H10">
            <v>1</v>
          </cell>
          <cell r="I10">
            <v>107</v>
          </cell>
          <cell r="J10">
            <v>42</v>
          </cell>
        </row>
        <row r="11">
          <cell r="C11">
            <v>1250</v>
          </cell>
          <cell r="D11">
            <v>144</v>
          </cell>
          <cell r="E11">
            <v>160</v>
          </cell>
          <cell r="F11">
            <v>0</v>
          </cell>
          <cell r="H11">
            <v>1</v>
          </cell>
          <cell r="I11">
            <v>132</v>
          </cell>
          <cell r="J11">
            <v>43</v>
          </cell>
        </row>
        <row r="12">
          <cell r="C12">
            <v>1500</v>
          </cell>
          <cell r="D12">
            <v>228</v>
          </cell>
          <cell r="E12">
            <v>207</v>
          </cell>
          <cell r="F12">
            <v>0</v>
          </cell>
          <cell r="H12">
            <v>1</v>
          </cell>
          <cell r="I12">
            <v>154</v>
          </cell>
          <cell r="J12">
            <v>68</v>
          </cell>
        </row>
        <row r="13">
          <cell r="C13">
            <v>1750</v>
          </cell>
          <cell r="D13">
            <v>262</v>
          </cell>
          <cell r="E13">
            <v>241</v>
          </cell>
          <cell r="F13">
            <v>0</v>
          </cell>
          <cell r="H13">
            <v>1</v>
          </cell>
          <cell r="I13">
            <v>178</v>
          </cell>
          <cell r="J13">
            <v>79</v>
          </cell>
        </row>
        <row r="14">
          <cell r="C14">
            <v>2050</v>
          </cell>
          <cell r="D14">
            <v>308</v>
          </cell>
          <cell r="E14">
            <v>279</v>
          </cell>
          <cell r="F14">
            <v>0</v>
          </cell>
          <cell r="H14">
            <v>1</v>
          </cell>
          <cell r="I14">
            <v>205</v>
          </cell>
          <cell r="J14">
            <v>92</v>
          </cell>
        </row>
        <row r="15">
          <cell r="C15">
            <v>2400</v>
          </cell>
          <cell r="D15">
            <v>488</v>
          </cell>
          <cell r="E15">
            <v>321</v>
          </cell>
          <cell r="F15">
            <v>0</v>
          </cell>
          <cell r="H15">
            <v>1</v>
          </cell>
          <cell r="I15">
            <v>235</v>
          </cell>
          <cell r="J15">
            <v>146</v>
          </cell>
        </row>
        <row r="16">
          <cell r="C16">
            <v>2850</v>
          </cell>
          <cell r="D16">
            <v>602</v>
          </cell>
          <cell r="E16">
            <v>368</v>
          </cell>
          <cell r="F16">
            <v>0</v>
          </cell>
          <cell r="H16">
            <v>1</v>
          </cell>
          <cell r="I16">
            <v>268</v>
          </cell>
          <cell r="J16">
            <v>181</v>
          </cell>
        </row>
        <row r="17">
          <cell r="C17">
            <v>3350</v>
          </cell>
          <cell r="D17">
            <v>895</v>
          </cell>
          <cell r="E17">
            <v>420</v>
          </cell>
          <cell r="F17">
            <v>0</v>
          </cell>
          <cell r="H17">
            <v>1</v>
          </cell>
          <cell r="I17">
            <v>305</v>
          </cell>
          <cell r="J17">
            <v>269</v>
          </cell>
        </row>
        <row r="18">
          <cell r="C18">
            <v>3900</v>
          </cell>
          <cell r="D18">
            <v>1061</v>
          </cell>
          <cell r="E18">
            <v>478</v>
          </cell>
          <cell r="F18">
            <v>0</v>
          </cell>
          <cell r="H18">
            <v>1</v>
          </cell>
          <cell r="I18">
            <v>346</v>
          </cell>
          <cell r="J18">
            <v>318</v>
          </cell>
        </row>
        <row r="19">
          <cell r="C19">
            <v>4550</v>
          </cell>
          <cell r="D19">
            <v>1264</v>
          </cell>
          <cell r="E19">
            <v>543</v>
          </cell>
          <cell r="F19">
            <v>0</v>
          </cell>
          <cell r="H19">
            <v>1</v>
          </cell>
          <cell r="I19">
            <v>392</v>
          </cell>
          <cell r="J19">
            <v>379</v>
          </cell>
        </row>
        <row r="20">
          <cell r="C20">
            <v>5500</v>
          </cell>
          <cell r="D20">
            <v>1882</v>
          </cell>
          <cell r="E20">
            <v>615</v>
          </cell>
          <cell r="F20">
            <v>0</v>
          </cell>
          <cell r="H20">
            <v>1</v>
          </cell>
          <cell r="I20">
            <v>443</v>
          </cell>
          <cell r="J20">
            <v>565</v>
          </cell>
        </row>
        <row r="21">
          <cell r="C21">
            <v>6600</v>
          </cell>
          <cell r="D21">
            <v>2569</v>
          </cell>
          <cell r="E21">
            <v>750</v>
          </cell>
          <cell r="F21">
            <v>0</v>
          </cell>
          <cell r="H21">
            <v>1</v>
          </cell>
          <cell r="I21">
            <v>500</v>
          </cell>
          <cell r="J21">
            <v>771</v>
          </cell>
        </row>
        <row r="22">
          <cell r="C22">
            <v>9450</v>
          </cell>
          <cell r="D22">
            <v>3819</v>
          </cell>
          <cell r="E22">
            <v>764</v>
          </cell>
          <cell r="F22">
            <v>0</v>
          </cell>
          <cell r="H22">
            <v>1</v>
          </cell>
          <cell r="I22">
            <v>586</v>
          </cell>
          <cell r="J22">
            <v>1146</v>
          </cell>
        </row>
        <row r="23">
          <cell r="C23">
            <v>12800</v>
          </cell>
          <cell r="D23">
            <v>5888</v>
          </cell>
          <cell r="E23">
            <v>1032</v>
          </cell>
          <cell r="F23">
            <v>0</v>
          </cell>
          <cell r="H23">
            <v>1</v>
          </cell>
          <cell r="I23">
            <v>715</v>
          </cell>
          <cell r="J23">
            <v>1766</v>
          </cell>
        </row>
        <row r="24">
          <cell r="C24">
            <v>17400</v>
          </cell>
          <cell r="D24">
            <v>8081</v>
          </cell>
          <cell r="E24">
            <v>1400</v>
          </cell>
          <cell r="F24">
            <v>0</v>
          </cell>
          <cell r="H24">
            <v>1</v>
          </cell>
          <cell r="I24">
            <v>909</v>
          </cell>
          <cell r="J24">
            <v>2424</v>
          </cell>
        </row>
        <row r="25">
          <cell r="C25">
            <v>23250</v>
          </cell>
          <cell r="D25">
            <v>10822</v>
          </cell>
          <cell r="E25">
            <v>1868</v>
          </cell>
          <cell r="F25">
            <v>0</v>
          </cell>
          <cell r="H25">
            <v>1</v>
          </cell>
          <cell r="I25">
            <v>1200</v>
          </cell>
          <cell r="J25">
            <v>3247</v>
          </cell>
        </row>
        <row r="26">
          <cell r="C26">
            <v>30750</v>
          </cell>
          <cell r="D26">
            <v>14266</v>
          </cell>
          <cell r="E26">
            <v>2468</v>
          </cell>
          <cell r="F26">
            <v>0</v>
          </cell>
          <cell r="H26">
            <v>1</v>
          </cell>
          <cell r="I26">
            <v>1637</v>
          </cell>
          <cell r="J26">
            <v>4280</v>
          </cell>
        </row>
      </sheetData>
      <sheetData sheetId="23">
        <row r="2">
          <cell r="C2">
            <v>50</v>
          </cell>
          <cell r="D2">
            <v>45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52</v>
          </cell>
          <cell r="E3">
            <v>15</v>
          </cell>
          <cell r="F3">
            <v>0</v>
          </cell>
          <cell r="H3">
            <v>1</v>
          </cell>
          <cell r="I3">
            <v>14</v>
          </cell>
          <cell r="J3">
            <v>10</v>
          </cell>
        </row>
        <row r="4">
          <cell r="C4">
            <v>150</v>
          </cell>
          <cell r="D4">
            <v>58</v>
          </cell>
          <cell r="E4">
            <v>22</v>
          </cell>
          <cell r="F4">
            <v>2.5000000000000001E-3</v>
          </cell>
          <cell r="H4">
            <v>1</v>
          </cell>
          <cell r="I4">
            <v>19</v>
          </cell>
          <cell r="J4">
            <v>12</v>
          </cell>
        </row>
        <row r="5">
          <cell r="C5">
            <v>250</v>
          </cell>
          <cell r="D5">
            <v>69</v>
          </cell>
          <cell r="E5">
            <v>39</v>
          </cell>
          <cell r="F5">
            <v>2.5000000000000001E-3</v>
          </cell>
          <cell r="H5">
            <v>1</v>
          </cell>
          <cell r="I5">
            <v>26</v>
          </cell>
          <cell r="J5">
            <v>14</v>
          </cell>
        </row>
        <row r="6">
          <cell r="C6">
            <v>350</v>
          </cell>
          <cell r="D6">
            <v>86</v>
          </cell>
          <cell r="E6">
            <v>52</v>
          </cell>
          <cell r="F6">
            <v>5.0000000000000001E-3</v>
          </cell>
          <cell r="H6">
            <v>1</v>
          </cell>
          <cell r="I6">
            <v>34</v>
          </cell>
          <cell r="J6">
            <v>17</v>
          </cell>
        </row>
        <row r="7">
          <cell r="C7">
            <v>500</v>
          </cell>
          <cell r="D7">
            <v>103</v>
          </cell>
          <cell r="E7">
            <v>79</v>
          </cell>
          <cell r="F7">
            <v>0.01</v>
          </cell>
          <cell r="H7">
            <v>1</v>
          </cell>
          <cell r="I7">
            <v>43</v>
          </cell>
          <cell r="J7">
            <v>21</v>
          </cell>
        </row>
        <row r="8">
          <cell r="C8">
            <v>650</v>
          </cell>
          <cell r="D8">
            <v>123</v>
          </cell>
          <cell r="E8">
            <v>103</v>
          </cell>
          <cell r="F8">
            <v>1.4999999999999999E-2</v>
          </cell>
          <cell r="H8">
            <v>1</v>
          </cell>
          <cell r="I8">
            <v>53</v>
          </cell>
          <cell r="J8">
            <v>25</v>
          </cell>
        </row>
        <row r="9">
          <cell r="C9">
            <v>850</v>
          </cell>
          <cell r="D9">
            <v>180</v>
          </cell>
          <cell r="E9">
            <v>158</v>
          </cell>
          <cell r="F9">
            <v>2.5000000000000001E-2</v>
          </cell>
          <cell r="H9">
            <v>1</v>
          </cell>
          <cell r="I9">
            <v>64</v>
          </cell>
          <cell r="J9">
            <v>36</v>
          </cell>
        </row>
        <row r="10">
          <cell r="C10">
            <v>1050</v>
          </cell>
          <cell r="D10">
            <v>206</v>
          </cell>
          <cell r="E10">
            <v>200</v>
          </cell>
          <cell r="F10">
            <v>2.9000000000000001E-2</v>
          </cell>
          <cell r="H10">
            <v>1</v>
          </cell>
          <cell r="I10">
            <v>76</v>
          </cell>
          <cell r="J10">
            <v>41</v>
          </cell>
        </row>
        <row r="11">
          <cell r="C11">
            <v>1250</v>
          </cell>
          <cell r="D11">
            <v>214</v>
          </cell>
          <cell r="E11">
            <v>252</v>
          </cell>
          <cell r="F11">
            <v>3.6999999999999998E-2</v>
          </cell>
          <cell r="H11">
            <v>1</v>
          </cell>
          <cell r="I11">
            <v>89</v>
          </cell>
          <cell r="J11">
            <v>43</v>
          </cell>
        </row>
        <row r="12">
          <cell r="C12">
            <v>1500</v>
          </cell>
          <cell r="D12">
            <v>361</v>
          </cell>
          <cell r="E12">
            <v>296</v>
          </cell>
          <cell r="F12">
            <v>4.5999999999999999E-2</v>
          </cell>
          <cell r="H12">
            <v>1</v>
          </cell>
          <cell r="I12">
            <v>103</v>
          </cell>
          <cell r="J12">
            <v>72</v>
          </cell>
        </row>
        <row r="13">
          <cell r="C13">
            <v>1750</v>
          </cell>
          <cell r="D13">
            <v>408</v>
          </cell>
          <cell r="E13">
            <v>345</v>
          </cell>
          <cell r="F13">
            <v>5.5E-2</v>
          </cell>
          <cell r="H13">
            <v>1</v>
          </cell>
          <cell r="I13">
            <v>119</v>
          </cell>
          <cell r="J13">
            <v>82</v>
          </cell>
        </row>
        <row r="14">
          <cell r="C14">
            <v>2050</v>
          </cell>
          <cell r="D14">
            <v>473</v>
          </cell>
          <cell r="E14">
            <v>400</v>
          </cell>
          <cell r="F14">
            <v>6.5000000000000002E-2</v>
          </cell>
          <cell r="H14">
            <v>1</v>
          </cell>
          <cell r="I14">
            <v>137</v>
          </cell>
          <cell r="J14">
            <v>95</v>
          </cell>
        </row>
        <row r="15">
          <cell r="C15">
            <v>2400</v>
          </cell>
          <cell r="D15">
            <v>713</v>
          </cell>
          <cell r="E15">
            <v>461</v>
          </cell>
          <cell r="F15">
            <v>7.5999999999999998E-2</v>
          </cell>
          <cell r="H15">
            <v>1</v>
          </cell>
          <cell r="I15">
            <v>157</v>
          </cell>
          <cell r="J15">
            <v>143</v>
          </cell>
        </row>
        <row r="16">
          <cell r="C16">
            <v>2850</v>
          </cell>
          <cell r="D16">
            <v>863</v>
          </cell>
          <cell r="E16">
            <v>529</v>
          </cell>
          <cell r="F16">
            <v>8.8999999999999996E-2</v>
          </cell>
          <cell r="H16">
            <v>1</v>
          </cell>
          <cell r="I16">
            <v>179</v>
          </cell>
          <cell r="J16">
            <v>173</v>
          </cell>
        </row>
        <row r="17">
          <cell r="C17">
            <v>3350</v>
          </cell>
          <cell r="D17">
            <v>1251</v>
          </cell>
          <cell r="E17">
            <v>605</v>
          </cell>
          <cell r="F17">
            <v>0.1</v>
          </cell>
          <cell r="H17">
            <v>1</v>
          </cell>
          <cell r="I17">
            <v>204</v>
          </cell>
          <cell r="J17">
            <v>250</v>
          </cell>
        </row>
        <row r="18">
          <cell r="C18">
            <v>3900</v>
          </cell>
          <cell r="D18">
            <v>1466</v>
          </cell>
          <cell r="E18">
            <v>689</v>
          </cell>
          <cell r="F18">
            <v>0.111</v>
          </cell>
          <cell r="H18">
            <v>1</v>
          </cell>
          <cell r="I18">
            <v>232</v>
          </cell>
          <cell r="J18">
            <v>293</v>
          </cell>
        </row>
        <row r="19">
          <cell r="C19">
            <v>4550</v>
          </cell>
          <cell r="D19">
            <v>1729</v>
          </cell>
          <cell r="E19">
            <v>782</v>
          </cell>
          <cell r="F19">
            <v>0.125</v>
          </cell>
          <cell r="H19">
            <v>1</v>
          </cell>
          <cell r="I19">
            <v>263</v>
          </cell>
          <cell r="J19">
            <v>346</v>
          </cell>
        </row>
        <row r="20">
          <cell r="C20">
            <v>5500</v>
          </cell>
          <cell r="D20">
            <v>2555</v>
          </cell>
          <cell r="E20">
            <v>885</v>
          </cell>
          <cell r="F20">
            <v>0.13</v>
          </cell>
          <cell r="H20">
            <v>1</v>
          </cell>
          <cell r="I20">
            <v>298</v>
          </cell>
          <cell r="J20">
            <v>511</v>
          </cell>
        </row>
        <row r="21">
          <cell r="C21">
            <v>6600</v>
          </cell>
          <cell r="D21">
            <v>3109</v>
          </cell>
          <cell r="E21">
            <v>1100</v>
          </cell>
          <cell r="F21">
            <v>0.18</v>
          </cell>
          <cell r="H21">
            <v>1</v>
          </cell>
          <cell r="I21">
            <v>337</v>
          </cell>
          <cell r="J21">
            <v>622</v>
          </cell>
        </row>
        <row r="22">
          <cell r="C22">
            <v>9450</v>
          </cell>
          <cell r="D22">
            <v>4298</v>
          </cell>
          <cell r="E22">
            <v>1401</v>
          </cell>
          <cell r="F22">
            <v>0.18</v>
          </cell>
          <cell r="H22">
            <v>1</v>
          </cell>
          <cell r="I22">
            <v>396</v>
          </cell>
          <cell r="J22">
            <v>860</v>
          </cell>
        </row>
        <row r="23">
          <cell r="C23">
            <v>12800</v>
          </cell>
          <cell r="D23">
            <v>6802</v>
          </cell>
          <cell r="E23">
            <v>1822</v>
          </cell>
          <cell r="F23">
            <v>0.18</v>
          </cell>
          <cell r="H23">
            <v>1</v>
          </cell>
          <cell r="I23">
            <v>485</v>
          </cell>
          <cell r="J23">
            <v>1360</v>
          </cell>
        </row>
        <row r="24">
          <cell r="C24">
            <v>17400</v>
          </cell>
          <cell r="D24">
            <v>9332</v>
          </cell>
          <cell r="E24">
            <v>2411</v>
          </cell>
          <cell r="F24">
            <v>0.2</v>
          </cell>
          <cell r="H24">
            <v>1</v>
          </cell>
          <cell r="I24">
            <v>619</v>
          </cell>
          <cell r="J24">
            <v>1866</v>
          </cell>
        </row>
        <row r="25">
          <cell r="C25">
            <v>23250</v>
          </cell>
          <cell r="D25">
            <v>12455</v>
          </cell>
          <cell r="E25">
            <v>3236</v>
          </cell>
          <cell r="F25">
            <v>0.2</v>
          </cell>
          <cell r="H25">
            <v>1</v>
          </cell>
          <cell r="I25">
            <v>820</v>
          </cell>
          <cell r="J25">
            <v>2491</v>
          </cell>
        </row>
        <row r="26">
          <cell r="C26">
            <v>30750</v>
          </cell>
          <cell r="D26">
            <v>16251</v>
          </cell>
          <cell r="E26">
            <v>4391</v>
          </cell>
          <cell r="F26">
            <v>0.2</v>
          </cell>
          <cell r="H26">
            <v>1</v>
          </cell>
          <cell r="I26">
            <v>1122</v>
          </cell>
          <cell r="J26">
            <v>3250</v>
          </cell>
        </row>
      </sheetData>
      <sheetData sheetId="24">
        <row r="2">
          <cell r="C2">
            <v>50</v>
          </cell>
          <cell r="D2">
            <v>41</v>
          </cell>
          <cell r="E2">
            <v>7</v>
          </cell>
          <cell r="F2">
            <v>0.1</v>
          </cell>
          <cell r="H2">
            <v>1</v>
          </cell>
          <cell r="I2">
            <v>6</v>
          </cell>
          <cell r="J2">
            <v>21</v>
          </cell>
        </row>
        <row r="3">
          <cell r="C3">
            <v>100</v>
          </cell>
          <cell r="D3">
            <v>45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23</v>
          </cell>
        </row>
        <row r="4">
          <cell r="C4">
            <v>150</v>
          </cell>
          <cell r="D4">
            <v>48</v>
          </cell>
          <cell r="E4">
            <v>21</v>
          </cell>
          <cell r="F4">
            <v>0.10009999999999999</v>
          </cell>
          <cell r="H4">
            <v>1</v>
          </cell>
          <cell r="I4">
            <v>17</v>
          </cell>
          <cell r="J4">
            <v>24</v>
          </cell>
        </row>
        <row r="5">
          <cell r="C5">
            <v>250</v>
          </cell>
          <cell r="D5">
            <v>63</v>
          </cell>
          <cell r="E5">
            <v>30</v>
          </cell>
          <cell r="F5">
            <v>0.10019999999999998</v>
          </cell>
          <cell r="H5">
            <v>1</v>
          </cell>
          <cell r="I5">
            <v>27</v>
          </cell>
          <cell r="J5">
            <v>32</v>
          </cell>
        </row>
        <row r="6">
          <cell r="C6">
            <v>350</v>
          </cell>
          <cell r="D6">
            <v>75</v>
          </cell>
          <cell r="E6">
            <v>42</v>
          </cell>
          <cell r="F6">
            <v>0.10029999999999997</v>
          </cell>
          <cell r="H6">
            <v>1</v>
          </cell>
          <cell r="I6">
            <v>36</v>
          </cell>
          <cell r="J6">
            <v>38</v>
          </cell>
        </row>
        <row r="7">
          <cell r="C7">
            <v>500</v>
          </cell>
          <cell r="D7">
            <v>87</v>
          </cell>
          <cell r="E7">
            <v>68</v>
          </cell>
          <cell r="F7">
            <v>0.10044999999999996</v>
          </cell>
          <cell r="H7">
            <v>1</v>
          </cell>
          <cell r="I7">
            <v>46</v>
          </cell>
          <cell r="J7">
            <v>44</v>
          </cell>
        </row>
        <row r="8">
          <cell r="C8">
            <v>650</v>
          </cell>
          <cell r="D8">
            <v>111</v>
          </cell>
          <cell r="E8">
            <v>84</v>
          </cell>
          <cell r="F8">
            <v>0.10059999999999994</v>
          </cell>
          <cell r="H8">
            <v>1</v>
          </cell>
          <cell r="I8">
            <v>57</v>
          </cell>
          <cell r="J8">
            <v>56</v>
          </cell>
        </row>
        <row r="9">
          <cell r="C9">
            <v>850</v>
          </cell>
          <cell r="D9">
            <v>190</v>
          </cell>
          <cell r="E9">
            <v>110</v>
          </cell>
          <cell r="F9">
            <v>0.10079999999999992</v>
          </cell>
          <cell r="H9">
            <v>1</v>
          </cell>
          <cell r="I9">
            <v>69</v>
          </cell>
          <cell r="J9">
            <v>95</v>
          </cell>
        </row>
        <row r="10">
          <cell r="C10">
            <v>1050</v>
          </cell>
          <cell r="D10">
            <v>214</v>
          </cell>
          <cell r="E10">
            <v>147</v>
          </cell>
          <cell r="F10">
            <v>0.1009999999999999</v>
          </cell>
          <cell r="H10">
            <v>1</v>
          </cell>
          <cell r="I10">
            <v>82</v>
          </cell>
          <cell r="J10">
            <v>107</v>
          </cell>
        </row>
        <row r="11">
          <cell r="C11">
            <v>1250</v>
          </cell>
          <cell r="D11">
            <v>240</v>
          </cell>
          <cell r="E11">
            <v>182</v>
          </cell>
          <cell r="F11">
            <v>0.10119999999999987</v>
          </cell>
          <cell r="H11">
            <v>1</v>
          </cell>
          <cell r="I11">
            <v>96</v>
          </cell>
          <cell r="J11">
            <v>120</v>
          </cell>
        </row>
        <row r="12">
          <cell r="C12">
            <v>1500</v>
          </cell>
          <cell r="D12">
            <v>373</v>
          </cell>
          <cell r="E12">
            <v>214</v>
          </cell>
          <cell r="F12">
            <v>0.10144999999999985</v>
          </cell>
          <cell r="H12">
            <v>1</v>
          </cell>
          <cell r="I12">
            <v>112</v>
          </cell>
          <cell r="J12">
            <v>187</v>
          </cell>
        </row>
        <row r="13">
          <cell r="C13">
            <v>1750</v>
          </cell>
          <cell r="D13">
            <v>427</v>
          </cell>
          <cell r="E13">
            <v>250</v>
          </cell>
          <cell r="F13">
            <v>0.10169999999999982</v>
          </cell>
          <cell r="H13">
            <v>1</v>
          </cell>
          <cell r="I13">
            <v>130</v>
          </cell>
          <cell r="J13">
            <v>214</v>
          </cell>
        </row>
        <row r="14">
          <cell r="C14">
            <v>2050</v>
          </cell>
          <cell r="D14">
            <v>499</v>
          </cell>
          <cell r="E14">
            <v>290</v>
          </cell>
          <cell r="F14">
            <v>0.10199999999999979</v>
          </cell>
          <cell r="H14">
            <v>1</v>
          </cell>
          <cell r="I14">
            <v>150</v>
          </cell>
          <cell r="J14">
            <v>250</v>
          </cell>
        </row>
        <row r="15">
          <cell r="C15">
            <v>2400</v>
          </cell>
          <cell r="D15">
            <v>719</v>
          </cell>
          <cell r="E15">
            <v>334</v>
          </cell>
          <cell r="F15">
            <v>0.10234999999999975</v>
          </cell>
          <cell r="H15">
            <v>1</v>
          </cell>
          <cell r="I15">
            <v>172</v>
          </cell>
          <cell r="J15">
            <v>360</v>
          </cell>
        </row>
        <row r="16">
          <cell r="C16">
            <v>2850</v>
          </cell>
          <cell r="D16">
            <v>871</v>
          </cell>
          <cell r="E16">
            <v>383</v>
          </cell>
          <cell r="F16">
            <v>0.1027999999999997</v>
          </cell>
          <cell r="H16">
            <v>1</v>
          </cell>
          <cell r="I16">
            <v>197</v>
          </cell>
          <cell r="J16">
            <v>436</v>
          </cell>
        </row>
        <row r="17">
          <cell r="C17">
            <v>3350</v>
          </cell>
          <cell r="D17">
            <v>1221</v>
          </cell>
          <cell r="E17">
            <v>437</v>
          </cell>
          <cell r="F17">
            <v>0.10329999999999964</v>
          </cell>
          <cell r="H17">
            <v>1</v>
          </cell>
          <cell r="I17">
            <v>225</v>
          </cell>
          <cell r="J17">
            <v>611</v>
          </cell>
        </row>
        <row r="18">
          <cell r="C18">
            <v>3900</v>
          </cell>
          <cell r="D18">
            <v>1435</v>
          </cell>
          <cell r="E18">
            <v>497</v>
          </cell>
          <cell r="F18">
            <v>0.10384999999999958</v>
          </cell>
          <cell r="H18">
            <v>1</v>
          </cell>
          <cell r="I18">
            <v>256</v>
          </cell>
          <cell r="J18">
            <v>718</v>
          </cell>
        </row>
        <row r="19">
          <cell r="C19">
            <v>4550</v>
          </cell>
          <cell r="D19">
            <v>1695</v>
          </cell>
          <cell r="E19">
            <v>564</v>
          </cell>
          <cell r="F19">
            <v>0.10449999999999951</v>
          </cell>
          <cell r="H19">
            <v>1</v>
          </cell>
          <cell r="I19">
            <v>290</v>
          </cell>
          <cell r="J19">
            <v>848</v>
          </cell>
        </row>
        <row r="20">
          <cell r="C20">
            <v>5500</v>
          </cell>
          <cell r="D20">
            <v>2416</v>
          </cell>
          <cell r="E20">
            <v>638</v>
          </cell>
          <cell r="F20">
            <v>0.10544999999999941</v>
          </cell>
          <cell r="H20">
            <v>1</v>
          </cell>
          <cell r="I20">
            <v>328</v>
          </cell>
          <cell r="J20">
            <v>1208</v>
          </cell>
        </row>
        <row r="21">
          <cell r="C21">
            <v>6600</v>
          </cell>
          <cell r="D21">
            <v>2981</v>
          </cell>
          <cell r="E21">
            <v>820</v>
          </cell>
          <cell r="F21">
            <v>0.10704999999999923</v>
          </cell>
          <cell r="H21">
            <v>1</v>
          </cell>
          <cell r="I21">
            <v>370</v>
          </cell>
          <cell r="J21">
            <v>1491</v>
          </cell>
        </row>
        <row r="22">
          <cell r="C22">
            <v>9450</v>
          </cell>
          <cell r="D22">
            <v>4444</v>
          </cell>
          <cell r="E22">
            <v>764</v>
          </cell>
          <cell r="F22">
            <v>0.10939999999999897</v>
          </cell>
          <cell r="H22">
            <v>1</v>
          </cell>
          <cell r="I22">
            <v>433</v>
          </cell>
          <cell r="J22">
            <v>2222</v>
          </cell>
        </row>
        <row r="23">
          <cell r="C23">
            <v>12800</v>
          </cell>
          <cell r="D23">
            <v>6729</v>
          </cell>
          <cell r="E23">
            <v>1032</v>
          </cell>
          <cell r="F23">
            <v>0.1127499999999986</v>
          </cell>
          <cell r="H23">
            <v>1</v>
          </cell>
          <cell r="I23">
            <v>528</v>
          </cell>
          <cell r="J23">
            <v>3365</v>
          </cell>
        </row>
        <row r="24">
          <cell r="C24">
            <v>17400</v>
          </cell>
          <cell r="D24">
            <v>9188</v>
          </cell>
          <cell r="E24">
            <v>1400</v>
          </cell>
          <cell r="F24">
            <v>0.11734999999999809</v>
          </cell>
          <cell r="H24">
            <v>1</v>
          </cell>
          <cell r="I24">
            <v>671</v>
          </cell>
          <cell r="J24">
            <v>4594</v>
          </cell>
        </row>
        <row r="25">
          <cell r="C25">
            <v>23250</v>
          </cell>
          <cell r="D25">
            <v>12280</v>
          </cell>
          <cell r="E25">
            <v>1868</v>
          </cell>
          <cell r="F25">
            <v>0.12319999999999745</v>
          </cell>
          <cell r="H25">
            <v>1</v>
          </cell>
          <cell r="I25">
            <v>886</v>
          </cell>
          <cell r="J25">
            <v>6140</v>
          </cell>
        </row>
        <row r="26">
          <cell r="C26">
            <v>30750</v>
          </cell>
          <cell r="D26">
            <v>16197</v>
          </cell>
          <cell r="E26">
            <v>2468</v>
          </cell>
          <cell r="F26">
            <v>0.13069999999999662</v>
          </cell>
          <cell r="H26">
            <v>1</v>
          </cell>
          <cell r="I26">
            <v>1209</v>
          </cell>
          <cell r="J26">
            <v>8099</v>
          </cell>
        </row>
      </sheetData>
      <sheetData sheetId="25">
        <row r="2">
          <cell r="C2">
            <v>50</v>
          </cell>
          <cell r="D2">
            <v>45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13</v>
          </cell>
          <cell r="F3">
            <v>0</v>
          </cell>
          <cell r="H3">
            <v>1.1000000000000001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59</v>
          </cell>
          <cell r="E4">
            <v>20</v>
          </cell>
          <cell r="F4">
            <v>2.5000000000000001E-3</v>
          </cell>
          <cell r="H4">
            <v>1.2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82</v>
          </cell>
          <cell r="E5">
            <v>30</v>
          </cell>
          <cell r="F5">
            <v>2.5000000000000001E-3</v>
          </cell>
          <cell r="H5">
            <v>1.2</v>
          </cell>
          <cell r="I5">
            <v>19</v>
          </cell>
          <cell r="J5">
            <v>25</v>
          </cell>
        </row>
        <row r="6">
          <cell r="C6">
            <v>350</v>
          </cell>
          <cell r="D6">
            <v>97</v>
          </cell>
          <cell r="E6">
            <v>43</v>
          </cell>
          <cell r="F6">
            <v>5.0000000000000001E-3</v>
          </cell>
          <cell r="H6">
            <v>1.3</v>
          </cell>
          <cell r="I6">
            <v>24</v>
          </cell>
          <cell r="J6">
            <v>29</v>
          </cell>
        </row>
        <row r="7">
          <cell r="C7">
            <v>500</v>
          </cell>
          <cell r="D7">
            <v>127</v>
          </cell>
          <cell r="E7">
            <v>60</v>
          </cell>
          <cell r="F7">
            <v>0.01</v>
          </cell>
          <cell r="H7">
            <v>1.3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138</v>
          </cell>
          <cell r="E8">
            <v>85</v>
          </cell>
          <cell r="F8">
            <v>1.4999999999999999E-2</v>
          </cell>
          <cell r="H8">
            <v>1.4</v>
          </cell>
          <cell r="I8">
            <v>37</v>
          </cell>
          <cell r="J8">
            <v>41</v>
          </cell>
        </row>
        <row r="9">
          <cell r="C9">
            <v>850</v>
          </cell>
          <cell r="D9">
            <v>229</v>
          </cell>
          <cell r="E9">
            <v>110</v>
          </cell>
          <cell r="F9">
            <v>2.5000000000000001E-2</v>
          </cell>
          <cell r="H9">
            <v>1.4</v>
          </cell>
          <cell r="I9">
            <v>45</v>
          </cell>
          <cell r="J9">
            <v>69</v>
          </cell>
        </row>
        <row r="10">
          <cell r="C10">
            <v>1050</v>
          </cell>
          <cell r="D10">
            <v>244</v>
          </cell>
          <cell r="E10">
            <v>147</v>
          </cell>
          <cell r="F10">
            <v>2.9000000000000001E-2</v>
          </cell>
          <cell r="H10">
            <v>1.5</v>
          </cell>
          <cell r="I10">
            <v>54</v>
          </cell>
          <cell r="J10">
            <v>73</v>
          </cell>
        </row>
        <row r="11">
          <cell r="C11">
            <v>1250</v>
          </cell>
          <cell r="D11">
            <v>281</v>
          </cell>
          <cell r="E11">
            <v>174</v>
          </cell>
          <cell r="F11">
            <v>3.6999999999999998E-2</v>
          </cell>
          <cell r="H11">
            <v>1.5</v>
          </cell>
          <cell r="I11">
            <v>64</v>
          </cell>
          <cell r="J11">
            <v>84</v>
          </cell>
        </row>
        <row r="12">
          <cell r="C12">
            <v>1500</v>
          </cell>
          <cell r="D12">
            <v>416</v>
          </cell>
          <cell r="E12">
            <v>204</v>
          </cell>
          <cell r="F12">
            <v>4.5999999999999999E-2</v>
          </cell>
          <cell r="H12">
            <v>1.6</v>
          </cell>
          <cell r="I12">
            <v>75</v>
          </cell>
          <cell r="J12">
            <v>125</v>
          </cell>
        </row>
        <row r="13">
          <cell r="C13">
            <v>1750</v>
          </cell>
          <cell r="D13">
            <v>475</v>
          </cell>
          <cell r="E13">
            <v>237</v>
          </cell>
          <cell r="F13">
            <v>5.5E-2</v>
          </cell>
          <cell r="H13">
            <v>1.6</v>
          </cell>
          <cell r="I13">
            <v>87</v>
          </cell>
          <cell r="J13">
            <v>143</v>
          </cell>
        </row>
        <row r="14">
          <cell r="C14">
            <v>2050</v>
          </cell>
          <cell r="D14">
            <v>533</v>
          </cell>
          <cell r="E14">
            <v>274</v>
          </cell>
          <cell r="F14">
            <v>6.5000000000000002E-2</v>
          </cell>
          <cell r="H14">
            <v>1.7</v>
          </cell>
          <cell r="I14">
            <v>100</v>
          </cell>
          <cell r="J14">
            <v>160</v>
          </cell>
        </row>
        <row r="15">
          <cell r="C15">
            <v>2400</v>
          </cell>
          <cell r="D15">
            <v>774</v>
          </cell>
          <cell r="E15">
            <v>315</v>
          </cell>
          <cell r="F15">
            <v>7.5999999999999998E-2</v>
          </cell>
          <cell r="H15">
            <v>1.7</v>
          </cell>
          <cell r="I15">
            <v>114</v>
          </cell>
          <cell r="J15">
            <v>232</v>
          </cell>
        </row>
        <row r="16">
          <cell r="C16">
            <v>2850</v>
          </cell>
          <cell r="D16">
            <v>905</v>
          </cell>
          <cell r="E16">
            <v>361</v>
          </cell>
          <cell r="F16">
            <v>8.8999999999999996E-2</v>
          </cell>
          <cell r="H16">
            <v>1.8</v>
          </cell>
          <cell r="I16">
            <v>130</v>
          </cell>
          <cell r="J16">
            <v>272</v>
          </cell>
        </row>
        <row r="17">
          <cell r="C17">
            <v>3350</v>
          </cell>
          <cell r="D17">
            <v>1284</v>
          </cell>
          <cell r="E17">
            <v>412</v>
          </cell>
          <cell r="F17">
            <v>0.1</v>
          </cell>
          <cell r="H17">
            <v>1.8</v>
          </cell>
          <cell r="I17">
            <v>148</v>
          </cell>
          <cell r="J17">
            <v>385</v>
          </cell>
        </row>
        <row r="18">
          <cell r="C18">
            <v>3900</v>
          </cell>
          <cell r="D18">
            <v>1467</v>
          </cell>
          <cell r="E18">
            <v>469</v>
          </cell>
          <cell r="F18">
            <v>0.111</v>
          </cell>
          <cell r="H18">
            <v>1.9</v>
          </cell>
          <cell r="I18">
            <v>168</v>
          </cell>
          <cell r="J18">
            <v>440</v>
          </cell>
        </row>
        <row r="19">
          <cell r="C19">
            <v>4550</v>
          </cell>
          <cell r="D19">
            <v>1727</v>
          </cell>
          <cell r="E19">
            <v>532</v>
          </cell>
          <cell r="F19">
            <v>0.125</v>
          </cell>
          <cell r="H19">
            <v>1.9</v>
          </cell>
          <cell r="I19">
            <v>190</v>
          </cell>
          <cell r="J19">
            <v>518</v>
          </cell>
        </row>
        <row r="20">
          <cell r="C20">
            <v>5500</v>
          </cell>
          <cell r="D20">
            <v>2469</v>
          </cell>
          <cell r="E20">
            <v>602</v>
          </cell>
          <cell r="F20">
            <v>0.13</v>
          </cell>
          <cell r="H20">
            <v>2</v>
          </cell>
          <cell r="I20">
            <v>215</v>
          </cell>
          <cell r="J20">
            <v>741</v>
          </cell>
        </row>
        <row r="21">
          <cell r="C21">
            <v>6600</v>
          </cell>
          <cell r="D21">
            <v>2918</v>
          </cell>
          <cell r="E21">
            <v>780</v>
          </cell>
          <cell r="F21">
            <v>0.18</v>
          </cell>
          <cell r="H21">
            <v>2</v>
          </cell>
          <cell r="I21">
            <v>243</v>
          </cell>
          <cell r="J21">
            <v>875</v>
          </cell>
        </row>
        <row r="22">
          <cell r="C22">
            <v>9450</v>
          </cell>
          <cell r="D22">
            <v>4663</v>
          </cell>
          <cell r="E22">
            <v>764</v>
          </cell>
          <cell r="F22">
            <v>0.10939999999999897</v>
          </cell>
          <cell r="H22">
            <v>2</v>
          </cell>
          <cell r="I22">
            <v>288</v>
          </cell>
          <cell r="J22">
            <v>1399</v>
          </cell>
        </row>
        <row r="23">
          <cell r="C23">
            <v>12800</v>
          </cell>
          <cell r="D23">
            <v>7083</v>
          </cell>
          <cell r="E23">
            <v>1032</v>
          </cell>
          <cell r="F23">
            <v>0.1127499999999986</v>
          </cell>
          <cell r="H23">
            <v>2</v>
          </cell>
          <cell r="I23">
            <v>360</v>
          </cell>
          <cell r="J23">
            <v>2125</v>
          </cell>
        </row>
        <row r="24">
          <cell r="C24">
            <v>17400</v>
          </cell>
          <cell r="D24">
            <v>9526</v>
          </cell>
          <cell r="E24">
            <v>1400</v>
          </cell>
          <cell r="F24">
            <v>0.11734999999999809</v>
          </cell>
          <cell r="H24">
            <v>2.1</v>
          </cell>
          <cell r="I24">
            <v>475</v>
          </cell>
          <cell r="J24">
            <v>2858</v>
          </cell>
        </row>
        <row r="25">
          <cell r="C25">
            <v>23250</v>
          </cell>
          <cell r="D25">
            <v>12681</v>
          </cell>
          <cell r="E25">
            <v>1868</v>
          </cell>
          <cell r="F25">
            <v>0.12319999999999745</v>
          </cell>
          <cell r="H25">
            <v>2.1</v>
          </cell>
          <cell r="I25">
            <v>659</v>
          </cell>
          <cell r="J25">
            <v>3804</v>
          </cell>
        </row>
        <row r="26">
          <cell r="C26">
            <v>30750</v>
          </cell>
          <cell r="D26">
            <v>16465</v>
          </cell>
          <cell r="E26">
            <v>2468</v>
          </cell>
          <cell r="F26">
            <v>0.13069999999999662</v>
          </cell>
          <cell r="H26">
            <v>2.2000000000000002</v>
          </cell>
          <cell r="I26">
            <v>953</v>
          </cell>
          <cell r="J26">
            <v>4940</v>
          </cell>
        </row>
      </sheetData>
      <sheetData sheetId="26">
        <row r="2">
          <cell r="C2">
            <v>50</v>
          </cell>
          <cell r="D2">
            <v>47</v>
          </cell>
          <cell r="E2">
            <v>5</v>
          </cell>
          <cell r="F2">
            <v>0.1</v>
          </cell>
          <cell r="H2">
            <v>1</v>
          </cell>
          <cell r="I2">
            <v>8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10</v>
          </cell>
          <cell r="F3">
            <v>0.10005</v>
          </cell>
          <cell r="H3">
            <v>1</v>
          </cell>
          <cell r="I3">
            <v>13</v>
          </cell>
          <cell r="J3">
            <v>16</v>
          </cell>
        </row>
        <row r="4">
          <cell r="C4">
            <v>150</v>
          </cell>
          <cell r="D4">
            <v>57</v>
          </cell>
          <cell r="E4">
            <v>17</v>
          </cell>
          <cell r="F4">
            <v>0.10009999999999999</v>
          </cell>
          <cell r="H4">
            <v>1</v>
          </cell>
          <cell r="I4">
            <v>20</v>
          </cell>
          <cell r="J4">
            <v>17</v>
          </cell>
        </row>
        <row r="5">
          <cell r="C5">
            <v>250</v>
          </cell>
          <cell r="D5">
            <v>65</v>
          </cell>
          <cell r="E5">
            <v>28</v>
          </cell>
          <cell r="F5">
            <v>0.10019999999999998</v>
          </cell>
          <cell r="H5">
            <v>1</v>
          </cell>
          <cell r="I5">
            <v>34</v>
          </cell>
          <cell r="J5">
            <v>20</v>
          </cell>
        </row>
        <row r="6">
          <cell r="C6">
            <v>350</v>
          </cell>
          <cell r="D6">
            <v>69</v>
          </cell>
          <cell r="E6">
            <v>40</v>
          </cell>
          <cell r="F6">
            <v>0.10029999999999997</v>
          </cell>
          <cell r="H6">
            <v>1</v>
          </cell>
          <cell r="I6">
            <v>51</v>
          </cell>
          <cell r="J6">
            <v>21</v>
          </cell>
        </row>
        <row r="7">
          <cell r="C7">
            <v>500</v>
          </cell>
          <cell r="D7">
            <v>89</v>
          </cell>
          <cell r="E7">
            <v>58</v>
          </cell>
          <cell r="F7">
            <v>0.10044999999999996</v>
          </cell>
          <cell r="H7">
            <v>1</v>
          </cell>
          <cell r="I7">
            <v>65</v>
          </cell>
          <cell r="J7">
            <v>27</v>
          </cell>
        </row>
        <row r="8">
          <cell r="C8">
            <v>650</v>
          </cell>
          <cell r="D8">
            <v>100</v>
          </cell>
          <cell r="E8">
            <v>80</v>
          </cell>
          <cell r="F8">
            <v>0.10059999999999994</v>
          </cell>
          <cell r="H8">
            <v>1</v>
          </cell>
          <cell r="I8">
            <v>81</v>
          </cell>
          <cell r="J8">
            <v>30</v>
          </cell>
        </row>
        <row r="9">
          <cell r="C9">
            <v>850</v>
          </cell>
          <cell r="D9">
            <v>169</v>
          </cell>
          <cell r="E9">
            <v>115</v>
          </cell>
          <cell r="F9">
            <v>0.10079999999999992</v>
          </cell>
          <cell r="H9">
            <v>1</v>
          </cell>
          <cell r="I9">
            <v>99</v>
          </cell>
          <cell r="J9">
            <v>51</v>
          </cell>
        </row>
        <row r="10">
          <cell r="C10">
            <v>1050</v>
          </cell>
          <cell r="D10">
            <v>175</v>
          </cell>
          <cell r="E10">
            <v>160</v>
          </cell>
          <cell r="F10">
            <v>0.1009999999999999</v>
          </cell>
          <cell r="H10">
            <v>1</v>
          </cell>
          <cell r="I10">
            <v>119</v>
          </cell>
          <cell r="J10">
            <v>53</v>
          </cell>
        </row>
        <row r="11">
          <cell r="C11">
            <v>1250</v>
          </cell>
          <cell r="D11">
            <v>185</v>
          </cell>
          <cell r="E11">
            <v>200</v>
          </cell>
          <cell r="F11">
            <v>0.10119999999999987</v>
          </cell>
          <cell r="H11">
            <v>1</v>
          </cell>
          <cell r="I11">
            <v>141</v>
          </cell>
          <cell r="J11">
            <v>56</v>
          </cell>
        </row>
        <row r="12">
          <cell r="C12">
            <v>1500</v>
          </cell>
          <cell r="D12">
            <v>320</v>
          </cell>
          <cell r="E12">
            <v>236</v>
          </cell>
          <cell r="F12">
            <v>0.10144999999999985</v>
          </cell>
          <cell r="H12">
            <v>1</v>
          </cell>
          <cell r="I12">
            <v>165</v>
          </cell>
          <cell r="J12">
            <v>96</v>
          </cell>
        </row>
        <row r="13">
          <cell r="C13">
            <v>1750</v>
          </cell>
          <cell r="D13">
            <v>364</v>
          </cell>
          <cell r="E13">
            <v>276</v>
          </cell>
          <cell r="F13">
            <v>0.10169999999999982</v>
          </cell>
          <cell r="H13">
            <v>1</v>
          </cell>
          <cell r="I13">
            <v>192</v>
          </cell>
          <cell r="J13">
            <v>109</v>
          </cell>
        </row>
        <row r="14">
          <cell r="C14">
            <v>2050</v>
          </cell>
          <cell r="D14">
            <v>425</v>
          </cell>
          <cell r="E14">
            <v>320</v>
          </cell>
          <cell r="F14">
            <v>0.10199999999999979</v>
          </cell>
          <cell r="H14">
            <v>1</v>
          </cell>
          <cell r="I14">
            <v>222</v>
          </cell>
          <cell r="J14">
            <v>128</v>
          </cell>
        </row>
        <row r="15">
          <cell r="C15">
            <v>2400</v>
          </cell>
          <cell r="D15">
            <v>654</v>
          </cell>
          <cell r="E15">
            <v>369</v>
          </cell>
          <cell r="F15">
            <v>0.10234999999999975</v>
          </cell>
          <cell r="H15">
            <v>1</v>
          </cell>
          <cell r="I15">
            <v>255</v>
          </cell>
          <cell r="J15">
            <v>196</v>
          </cell>
        </row>
        <row r="16">
          <cell r="C16">
            <v>2850</v>
          </cell>
          <cell r="D16">
            <v>801</v>
          </cell>
          <cell r="E16">
            <v>423</v>
          </cell>
          <cell r="F16">
            <v>0.1027999999999997</v>
          </cell>
          <cell r="H16">
            <v>1</v>
          </cell>
          <cell r="I16">
            <v>292</v>
          </cell>
          <cell r="J16">
            <v>240</v>
          </cell>
        </row>
        <row r="17">
          <cell r="C17">
            <v>3350</v>
          </cell>
          <cell r="D17">
            <v>1173</v>
          </cell>
          <cell r="E17">
            <v>483</v>
          </cell>
          <cell r="F17">
            <v>0.10329999999999964</v>
          </cell>
          <cell r="H17">
            <v>1</v>
          </cell>
          <cell r="I17">
            <v>333</v>
          </cell>
          <cell r="J17">
            <v>352</v>
          </cell>
        </row>
        <row r="18">
          <cell r="C18">
            <v>3900</v>
          </cell>
          <cell r="D18">
            <v>1384</v>
          </cell>
          <cell r="E18">
            <v>550</v>
          </cell>
          <cell r="F18">
            <v>0.10384999999999958</v>
          </cell>
          <cell r="H18">
            <v>1</v>
          </cell>
          <cell r="I18">
            <v>379</v>
          </cell>
          <cell r="J18">
            <v>415</v>
          </cell>
        </row>
        <row r="19">
          <cell r="C19">
            <v>4550</v>
          </cell>
          <cell r="D19">
            <v>1643</v>
          </cell>
          <cell r="E19">
            <v>625</v>
          </cell>
          <cell r="F19">
            <v>0.10449999999999951</v>
          </cell>
          <cell r="H19">
            <v>1</v>
          </cell>
          <cell r="I19">
            <v>430</v>
          </cell>
          <cell r="J19">
            <v>493</v>
          </cell>
        </row>
        <row r="20">
          <cell r="C20">
            <v>5500</v>
          </cell>
          <cell r="D20">
            <v>2423</v>
          </cell>
          <cell r="E20">
            <v>708</v>
          </cell>
          <cell r="F20">
            <v>0.10544999999999941</v>
          </cell>
          <cell r="H20">
            <v>1</v>
          </cell>
          <cell r="I20">
            <v>487</v>
          </cell>
          <cell r="J20">
            <v>727</v>
          </cell>
        </row>
        <row r="21">
          <cell r="C21">
            <v>6600</v>
          </cell>
          <cell r="D21">
            <v>3042</v>
          </cell>
          <cell r="E21">
            <v>840</v>
          </cell>
          <cell r="F21">
            <v>0.10704999999999923</v>
          </cell>
          <cell r="H21">
            <v>1</v>
          </cell>
          <cell r="I21">
            <v>600</v>
          </cell>
          <cell r="J21">
            <v>913</v>
          </cell>
        </row>
        <row r="22">
          <cell r="C22">
            <v>9450</v>
          </cell>
          <cell r="D22">
            <v>4602</v>
          </cell>
          <cell r="E22">
            <v>764</v>
          </cell>
          <cell r="F22">
            <v>0.10939999999999897</v>
          </cell>
          <cell r="H22">
            <v>1</v>
          </cell>
          <cell r="I22">
            <v>758</v>
          </cell>
          <cell r="J22">
            <v>1381</v>
          </cell>
        </row>
        <row r="23">
          <cell r="C23">
            <v>12800</v>
          </cell>
          <cell r="D23">
            <v>7023</v>
          </cell>
          <cell r="E23">
            <v>1032</v>
          </cell>
          <cell r="F23">
            <v>0.1127499999999986</v>
          </cell>
          <cell r="H23">
            <v>1</v>
          </cell>
          <cell r="I23">
            <v>979</v>
          </cell>
          <cell r="J23">
            <v>2107</v>
          </cell>
        </row>
        <row r="24">
          <cell r="C24">
            <v>17400</v>
          </cell>
          <cell r="D24">
            <v>9589</v>
          </cell>
          <cell r="E24">
            <v>1400</v>
          </cell>
          <cell r="F24">
            <v>0.11734999999999809</v>
          </cell>
          <cell r="H24">
            <v>1</v>
          </cell>
          <cell r="I24">
            <v>1288</v>
          </cell>
          <cell r="J24">
            <v>2877</v>
          </cell>
        </row>
        <row r="25">
          <cell r="C25">
            <v>23250</v>
          </cell>
          <cell r="D25">
            <v>12802</v>
          </cell>
          <cell r="E25">
            <v>1868</v>
          </cell>
          <cell r="F25">
            <v>0.12319999999999745</v>
          </cell>
          <cell r="H25">
            <v>1</v>
          </cell>
          <cell r="I25">
            <v>1721</v>
          </cell>
          <cell r="J25">
            <v>3841</v>
          </cell>
        </row>
        <row r="26">
          <cell r="C26">
            <v>30750</v>
          </cell>
          <cell r="D26">
            <v>16863</v>
          </cell>
          <cell r="E26">
            <v>2468</v>
          </cell>
          <cell r="F26">
            <v>0.13069999999999662</v>
          </cell>
          <cell r="H26">
            <v>1</v>
          </cell>
          <cell r="I26">
            <v>2327</v>
          </cell>
          <cell r="J26">
            <v>5059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59"/>
  <sheetViews>
    <sheetView tabSelected="1" topLeftCell="A40" workbookViewId="0">
      <selection activeCell="B59" sqref="B59"/>
    </sheetView>
  </sheetViews>
  <sheetFormatPr defaultRowHeight="13.5" x14ac:dyDescent="0.15"/>
  <cols>
    <col min="1" max="1" width="18.25" customWidth="1"/>
    <col min="2" max="2" width="12.5" customWidth="1"/>
    <col min="3" max="3" width="13.625" customWidth="1"/>
    <col min="4" max="4" width="11.125" customWidth="1"/>
    <col min="5" max="6" width="11.5" customWidth="1"/>
    <col min="16" max="16" width="22.375" customWidth="1"/>
  </cols>
  <sheetData>
    <row r="1" spans="1:6" x14ac:dyDescent="0.15">
      <c r="A1" t="s">
        <v>110</v>
      </c>
      <c r="B1" t="s">
        <v>111</v>
      </c>
      <c r="C1" t="s">
        <v>20</v>
      </c>
      <c r="D1" t="s">
        <v>367</v>
      </c>
      <c r="E1" t="s">
        <v>368</v>
      </c>
      <c r="F1" t="s">
        <v>369</v>
      </c>
    </row>
    <row r="2" spans="1:6" x14ac:dyDescent="0.15">
      <c r="A2" t="str">
        <f>[1]怪物卡牌表!$A$2</f>
        <v>M_JuLingshen</v>
      </c>
      <c r="B2" t="str">
        <f>[1]怪物卡牌表!$B$2</f>
        <v>巨灵神</v>
      </c>
      <c r="C2" t="str">
        <f>[1]怪物卡牌表!$C$2</f>
        <v>C_BossAttack</v>
      </c>
      <c r="D2" t="str">
        <f>[1]怪物卡牌表!$E$2</f>
        <v>F_Xuanhuabanfu</v>
      </c>
      <c r="E2">
        <f>[1]怪物卡牌表!$G$2</f>
        <v>0</v>
      </c>
      <c r="F2">
        <f>[1]怪物卡牌表!$I$2</f>
        <v>0</v>
      </c>
    </row>
    <row r="3" spans="1:6" x14ac:dyDescent="0.15">
      <c r="A3" t="str">
        <f>[1]怪物卡牌表!$A$3</f>
        <v>M_DuoLuozha</v>
      </c>
      <c r="B3" t="str">
        <f>[1]怪物卡牌表!$B$3</f>
        <v>多罗吒</v>
      </c>
      <c r="C3" t="str">
        <f>[1]怪物卡牌表!$C$3</f>
        <v>C_BossRecover</v>
      </c>
      <c r="D3" t="str">
        <f>[1]怪物卡牌表!$E$3</f>
        <v>F_Xianbingpipa</v>
      </c>
      <c r="E3">
        <f>[1]怪物卡牌表!$G$3</f>
        <v>0</v>
      </c>
      <c r="F3">
        <f>[1]怪物卡牌表!$I$3</f>
        <v>0</v>
      </c>
    </row>
    <row r="4" spans="1:6" x14ac:dyDescent="0.15">
      <c r="A4" t="str">
        <f>[1]怪物卡牌表!$A$4</f>
        <v>M_PiLiuli</v>
      </c>
      <c r="B4" t="str">
        <f>[1]怪物卡牌表!$B$4</f>
        <v>毗琉璃</v>
      </c>
      <c r="C4" t="str">
        <f>[1]怪物卡牌表!$C$4</f>
        <v>C_BossAttack</v>
      </c>
      <c r="D4" t="str">
        <f>[1]怪物卡牌表!$E$4</f>
        <v>F_Tiangwangbaojian</v>
      </c>
      <c r="E4">
        <f>[1]怪物卡牌表!$G$4</f>
        <v>0</v>
      </c>
      <c r="F4">
        <f>[1]怪物卡牌表!$I$4</f>
        <v>0</v>
      </c>
    </row>
    <row r="5" spans="1:6" x14ac:dyDescent="0.15">
      <c r="A5" t="str">
        <f>[1]怪物卡牌表!$A$5</f>
        <v>M_LiuBocha</v>
      </c>
      <c r="B5" t="str">
        <f>[1]怪物卡牌表!$B$5</f>
        <v>留博叉</v>
      </c>
      <c r="C5" t="str">
        <f>[1]怪物卡牌表!$C$5</f>
        <v>C_BossAgile</v>
      </c>
      <c r="D5" t="str">
        <f>[1]怪物卡牌表!$E$5</f>
        <v>F_Chilong</v>
      </c>
      <c r="E5">
        <f>[1]怪物卡牌表!$G$5</f>
        <v>0</v>
      </c>
      <c r="F5">
        <f>[1]怪物卡牌表!$I$5</f>
        <v>0</v>
      </c>
    </row>
    <row r="6" spans="1:6" x14ac:dyDescent="0.15">
      <c r="A6" t="str">
        <f>[1]怪物卡牌表!$A$6</f>
        <v>M_PiShamen</v>
      </c>
      <c r="B6" t="str">
        <f>[1]怪物卡牌表!$B$6</f>
        <v>毗沙门</v>
      </c>
      <c r="C6" t="str">
        <f>[1]怪物卡牌表!$C$6</f>
        <v>C_BossDefense</v>
      </c>
      <c r="D6" t="str">
        <f>[1]怪物卡牌表!$E$6</f>
        <v>F_Baopan</v>
      </c>
      <c r="E6" t="str">
        <f>[1]怪物卡牌表!$G$6</f>
        <v>F_Yinshu</v>
      </c>
      <c r="F6">
        <f>[1]怪物卡牌表!$I$6</f>
        <v>0</v>
      </c>
    </row>
    <row r="7" spans="1:6" x14ac:dyDescent="0.15">
      <c r="A7" t="str">
        <f>[1]怪物卡牌表!$A$7</f>
        <v>M_LiJing</v>
      </c>
      <c r="B7" t="str">
        <f>[1]怪物卡牌表!$B$7</f>
        <v>李靖</v>
      </c>
      <c r="C7" t="str">
        <f>[1]怪物卡牌表!$C$7</f>
        <v>C_BossAgile</v>
      </c>
      <c r="D7" t="str">
        <f>[1]怪物卡牌表!$E$7</f>
        <v>F_Qiqiaolinglongta</v>
      </c>
      <c r="E7">
        <f>[1]怪物卡牌表!$G$7</f>
        <v>0</v>
      </c>
      <c r="F7">
        <f>[1]怪物卡牌表!$I$7</f>
        <v>0</v>
      </c>
    </row>
    <row r="8" spans="1:6" x14ac:dyDescent="0.15">
      <c r="A8" t="str">
        <f>[1]怪物卡牌表!$A$8</f>
        <v>M_JingZha</v>
      </c>
      <c r="B8" t="str">
        <f>[1]怪物卡牌表!$B$8</f>
        <v>金吒</v>
      </c>
      <c r="C8" t="str">
        <f>[1]怪物卡牌表!$C$8</f>
        <v>C_BossDefense</v>
      </c>
      <c r="D8" t="str">
        <f>[1]怪物卡牌表!$E$8</f>
        <v>F_Dunlongzhu</v>
      </c>
      <c r="E8">
        <f>[1]怪物卡牌表!$G$8</f>
        <v>0</v>
      </c>
      <c r="F8">
        <f>[1]怪物卡牌表!$I$8</f>
        <v>0</v>
      </c>
    </row>
    <row r="9" spans="1:6" x14ac:dyDescent="0.15">
      <c r="A9" t="str">
        <f>[1]怪物卡牌表!$A$9</f>
        <v>M_MuZha</v>
      </c>
      <c r="B9" t="str">
        <f>[1]怪物卡牌表!$B$9</f>
        <v>木吒</v>
      </c>
      <c r="C9" t="str">
        <f>[1]怪物卡牌表!$C$9</f>
        <v>C_BossRecover</v>
      </c>
      <c r="D9" t="str">
        <f>[1]怪物卡牌表!$E$9</f>
        <v>F_Wugoushuangjian</v>
      </c>
      <c r="E9">
        <f>[1]怪物卡牌表!$G$9</f>
        <v>0</v>
      </c>
      <c r="F9">
        <f>[1]怪物卡牌表!$I$9</f>
        <v>0</v>
      </c>
    </row>
    <row r="10" spans="1:6" x14ac:dyDescent="0.15">
      <c r="A10" t="str">
        <f>[1]怪物卡牌表!$A$10</f>
        <v>M_NeZha</v>
      </c>
      <c r="B10" t="str">
        <f>[1]怪物卡牌表!$B$10</f>
        <v>哪咤</v>
      </c>
      <c r="C10" t="str">
        <f>[1]怪物卡牌表!$C$10</f>
        <v>C_BossAttack</v>
      </c>
      <c r="D10" t="str">
        <f>[1]怪物卡牌表!$E$10</f>
        <v>F_Huojianqiang</v>
      </c>
      <c r="E10" t="str">
        <f>[1]怪物卡牌表!$G$10</f>
        <v>F_Qiankunquan</v>
      </c>
      <c r="F10" t="str">
        <f>[1]怪物卡牌表!$I$10</f>
        <v>F_Huntianling</v>
      </c>
    </row>
    <row r="11" spans="1:6" x14ac:dyDescent="0.15">
      <c r="A11" t="str">
        <f>[1]怪物卡牌表!$A$11</f>
        <v>M_Erlangshen</v>
      </c>
      <c r="B11" t="str">
        <f>[1]怪物卡牌表!$B$11</f>
        <v>二郎神</v>
      </c>
      <c r="C11" t="str">
        <f>[1]怪物卡牌表!$C$11</f>
        <v>C_BossAgile</v>
      </c>
      <c r="D11" t="str">
        <f>[1]怪物卡牌表!$E$11</f>
        <v>F_Sanjianliangrendao</v>
      </c>
      <c r="E11">
        <f>[1]怪物卡牌表!$G$11</f>
        <v>0</v>
      </c>
      <c r="F11">
        <f>[1]怪物卡牌表!$I$11</f>
        <v>0</v>
      </c>
    </row>
    <row r="12" spans="1:6" x14ac:dyDescent="0.15">
      <c r="A12" t="str">
        <f>[1]怪物卡牌表!$A$12</f>
        <v>M_Xiaotianquan</v>
      </c>
      <c r="B12" t="str">
        <f>[1]怪物卡牌表!$B$12</f>
        <v>哮天犬</v>
      </c>
      <c r="C12" t="str">
        <f>[1]怪物卡牌表!$C$12</f>
        <v>C_BossAttack</v>
      </c>
      <c r="D12" t="str">
        <f>[1]怪物卡牌表!$E$12</f>
        <v>F_Tianquanya</v>
      </c>
      <c r="E12">
        <f>[1]怪物卡牌表!$G$12</f>
        <v>0</v>
      </c>
      <c r="F12">
        <f>[1]怪物卡牌表!$I$12</f>
        <v>0</v>
      </c>
    </row>
    <row r="13" spans="1:6" x14ac:dyDescent="0.15">
      <c r="A13" t="str">
        <f>[1]怪物卡牌表!$A$13</f>
        <v>M_Yudi</v>
      </c>
      <c r="B13" t="str">
        <f>[1]怪物卡牌表!$B$13</f>
        <v>玉帝</v>
      </c>
      <c r="C13" t="str">
        <f>[1]怪物卡牌表!$C$13</f>
        <v>C_BossDefense</v>
      </c>
      <c r="D13" t="str">
        <f>[1]怪物卡牌表!$E$13</f>
        <v>F_Yudilongpao</v>
      </c>
      <c r="E13" t="str">
        <f>[1]怪物卡牌表!$G$13</f>
        <v>F_Lingxiaobaodian</v>
      </c>
      <c r="F13">
        <f>[1]怪物卡牌表!$I$13</f>
        <v>0</v>
      </c>
    </row>
    <row r="14" spans="1:6" x14ac:dyDescent="0.15">
      <c r="A14" t="str">
        <f>[1]怪物卡牌表!$A$14</f>
        <v>M_Wangmu</v>
      </c>
      <c r="B14" t="str">
        <f>[1]怪物卡牌表!$B$14</f>
        <v>王母</v>
      </c>
      <c r="C14" t="str">
        <f>[1]怪物卡牌表!$C$14</f>
        <v>C_BossRecover</v>
      </c>
      <c r="D14" t="str">
        <f>[1]怪物卡牌表!$E$14</f>
        <v>F_Wangmuhongling</v>
      </c>
      <c r="E14" t="str">
        <f>[1]怪物卡牌表!$G$14</f>
        <v>F_Yaochi</v>
      </c>
      <c r="F14">
        <f>[1]怪物卡牌表!$I$14</f>
        <v>0</v>
      </c>
    </row>
    <row r="15" spans="1:6" x14ac:dyDescent="0.15">
      <c r="A15" t="str">
        <f>[1]怪物卡牌表!$A$15</f>
        <v>M_TaishangLaojun</v>
      </c>
      <c r="B15" t="str">
        <f>[1]怪物卡牌表!$B$15</f>
        <v>太上老君</v>
      </c>
      <c r="C15" t="str">
        <f>[1]怪物卡牌表!$C$15</f>
        <v>C_BossAgile</v>
      </c>
      <c r="D15" t="str">
        <f>[1]怪物卡牌表!$E$15</f>
        <v>F_Jingangzhuo</v>
      </c>
      <c r="E15">
        <f>[1]怪物卡牌表!$G$15</f>
        <v>0</v>
      </c>
      <c r="F15">
        <f>[1]怪物卡牌表!$I$15</f>
        <v>0</v>
      </c>
    </row>
    <row r="16" spans="1:6" x14ac:dyDescent="0.15">
      <c r="A16" t="str">
        <f>[1]怪物卡牌表!$A$16</f>
        <v>M_LingbaoFashi</v>
      </c>
      <c r="B16" t="str">
        <f>[1]怪物卡牌表!$B$16</f>
        <v xml:space="preserve">灵宝法师 </v>
      </c>
      <c r="C16" t="str">
        <f>[1]怪物卡牌表!$C$16</f>
        <v>C_BossAgile</v>
      </c>
      <c r="D16" t="str">
        <f>[1]怪物卡牌表!$E$16</f>
        <v>F_Luohunzhong</v>
      </c>
      <c r="E16">
        <f>[1]怪物卡牌表!$G$16</f>
        <v>0</v>
      </c>
      <c r="F16">
        <f>[1]怪物卡牌表!$I$16</f>
        <v>0</v>
      </c>
    </row>
    <row r="17" spans="1:7" x14ac:dyDescent="0.15">
      <c r="A17" t="str">
        <f>[1]怪物卡牌表!$A$17</f>
        <v>M_Rulai</v>
      </c>
      <c r="B17" t="str">
        <f>[1]怪物卡牌表!$B$17</f>
        <v>如来</v>
      </c>
      <c r="C17" t="str">
        <f>[1]怪物卡牌表!$C$17</f>
        <v>C_BossAgile</v>
      </c>
      <c r="D17" t="str">
        <f>[1]怪物卡牌表!$E$17</f>
        <v>F_Foguang</v>
      </c>
      <c r="E17" t="str">
        <f>[1]怪物卡牌表!$G$17</f>
        <v>F_Rulainianzhu</v>
      </c>
      <c r="F17" t="str">
        <f>[1]怪物卡牌表!$I$17</f>
        <v>F_Jinshenwuzhi</v>
      </c>
    </row>
    <row r="18" spans="1:7" x14ac:dyDescent="0.15">
      <c r="A18" t="str">
        <f>[1]怪物卡牌表!$A$18</f>
        <v>M_BianjingRen</v>
      </c>
      <c r="B18" t="str">
        <f>[1]怪物卡牌表!$B$18</f>
        <v>辩经人</v>
      </c>
      <c r="C18" t="str">
        <f>[1]怪物卡牌表!$C$18</f>
        <v>C_PutongDefense</v>
      </c>
      <c r="D18">
        <f>[1]怪物卡牌表!$E$18</f>
        <v>0</v>
      </c>
      <c r="E18">
        <f>[1]怪物卡牌表!$G$18</f>
        <v>0</v>
      </c>
      <c r="F18">
        <f>[1]怪物卡牌表!$I$18</f>
        <v>0</v>
      </c>
    </row>
    <row r="19" spans="1:7" x14ac:dyDescent="0.15">
      <c r="A19" t="str">
        <f>[1]怪物卡牌表!$A$19</f>
        <v>M_Chanshi</v>
      </c>
      <c r="B19" t="str">
        <f>[1]怪物卡牌表!$B$19</f>
        <v>禅师</v>
      </c>
      <c r="C19" t="str">
        <f>[1]怪物卡牌表!$C$19</f>
        <v>C_PutongRecover</v>
      </c>
      <c r="D19">
        <f>[1]怪物卡牌表!$E$19</f>
        <v>0</v>
      </c>
      <c r="E19">
        <f>[1]怪物卡牌表!$G$19</f>
        <v>0</v>
      </c>
      <c r="F19">
        <f>[1]怪物卡牌表!$I$19</f>
        <v>0</v>
      </c>
    </row>
    <row r="20" spans="1:7" x14ac:dyDescent="0.15">
      <c r="A20" t="str">
        <f>[1]怪物卡牌表!$A$20</f>
        <v>M_Fangzhang</v>
      </c>
      <c r="B20" t="str">
        <f>[1]怪物卡牌表!$B$20</f>
        <v>方丈</v>
      </c>
      <c r="C20" t="str">
        <f>[1]怪物卡牌表!$C$20</f>
        <v>C_PutongAgile</v>
      </c>
      <c r="D20">
        <f>[1]怪物卡牌表!$E$20</f>
        <v>0</v>
      </c>
      <c r="E20">
        <f>[1]怪物卡牌表!$G$20</f>
        <v>0</v>
      </c>
      <c r="F20">
        <f>[1]怪物卡牌表!$I$20</f>
        <v>0</v>
      </c>
    </row>
    <row r="21" spans="1:7" x14ac:dyDescent="0.15">
      <c r="A21" t="str">
        <f>[1]怪物卡牌表!$A$21</f>
        <v>M_ShilianGuan</v>
      </c>
      <c r="B21" t="str">
        <f>[1]怪物卡牌表!$B$21</f>
        <v>试炼官</v>
      </c>
      <c r="C21" t="str">
        <f>[1]怪物卡牌表!$C$21</f>
        <v>C_JingyingAttack</v>
      </c>
      <c r="D21">
        <f>[1]怪物卡牌表!$E$21</f>
        <v>0</v>
      </c>
      <c r="E21">
        <f>[1]怪物卡牌表!$G$21</f>
        <v>0</v>
      </c>
      <c r="F21">
        <f>[1]怪物卡牌表!$I$21</f>
        <v>0</v>
      </c>
    </row>
    <row r="22" spans="1:7" x14ac:dyDescent="0.15">
      <c r="A22" t="str">
        <f>[1]怪物卡牌表!$A$22</f>
        <v>M_Xiaotou</v>
      </c>
      <c r="B22" t="str">
        <f>[1]怪物卡牌表!$B$22</f>
        <v>小偷</v>
      </c>
      <c r="C22" t="str">
        <f>[1]怪物卡牌表!$C$22</f>
        <v>C_PutongAttack</v>
      </c>
      <c r="D22">
        <f>[1]怪物卡牌表!$E$22</f>
        <v>0</v>
      </c>
      <c r="E22">
        <f>[1]怪物卡牌表!$G$22</f>
        <v>0</v>
      </c>
      <c r="F22">
        <f>[1]怪物卡牌表!$I$22</f>
        <v>0</v>
      </c>
    </row>
    <row r="23" spans="1:7" x14ac:dyDescent="0.15">
      <c r="A23" t="str">
        <f>[1]怪物卡牌表!$A$23</f>
        <v>M_GuanyinHuashen1</v>
      </c>
      <c r="B23" t="str">
        <f>[1]怪物卡牌表!$B$23</f>
        <v>观音化身1</v>
      </c>
      <c r="C23" t="str">
        <f>[1]怪物卡牌表!$C$23</f>
        <v>C_JingyingAgile</v>
      </c>
      <c r="D23">
        <f>[1]怪物卡牌表!$E$23</f>
        <v>0</v>
      </c>
      <c r="E23">
        <f>[1]怪物卡牌表!$G$23</f>
        <v>0</v>
      </c>
      <c r="F23">
        <f>[1]怪物卡牌表!$I$23</f>
        <v>0</v>
      </c>
      <c r="G23" s="7" t="s">
        <v>370</v>
      </c>
    </row>
    <row r="24" spans="1:7" x14ac:dyDescent="0.15">
      <c r="A24" t="str">
        <f>[1]怪物卡牌表!$A$24</f>
        <v>M_GuanyinHuashen2</v>
      </c>
      <c r="B24" t="str">
        <f>[1]怪物卡牌表!$B$24</f>
        <v>观音化身2</v>
      </c>
      <c r="C24" t="str">
        <f>[1]怪物卡牌表!$C$24</f>
        <v>C_BossAgile</v>
      </c>
      <c r="D24">
        <f>[1]怪物卡牌表!$E$24</f>
        <v>0</v>
      </c>
      <c r="E24">
        <f>[1]怪物卡牌表!$G$24</f>
        <v>0</v>
      </c>
      <c r="F24">
        <f>[1]怪物卡牌表!$I$24</f>
        <v>0</v>
      </c>
      <c r="G24" s="7" t="s">
        <v>371</v>
      </c>
    </row>
    <row r="25" spans="1:7" x14ac:dyDescent="0.15">
      <c r="A25" t="str">
        <f>[1]怪物卡牌表!$A$25</f>
        <v>M_Chailang</v>
      </c>
      <c r="B25" t="str">
        <f>[1]怪物卡牌表!$B$25</f>
        <v>豺狼</v>
      </c>
      <c r="C25" t="str">
        <f>[1]怪物卡牌表!$C$25</f>
        <v>C_PutongAttack</v>
      </c>
      <c r="D25">
        <f>[1]怪物卡牌表!$E$25</f>
        <v>0</v>
      </c>
      <c r="E25">
        <f>[1]怪物卡牌表!$G$25</f>
        <v>0</v>
      </c>
      <c r="F25">
        <f>[1]怪物卡牌表!$I$25</f>
        <v>0</v>
      </c>
    </row>
    <row r="26" spans="1:7" x14ac:dyDescent="0.15">
      <c r="A26" t="str">
        <f>[1]怪物卡牌表!$A$26</f>
        <v>M_Tujing</v>
      </c>
      <c r="B26" t="str">
        <f>[1]怪物卡牌表!$B$26</f>
        <v>兔精</v>
      </c>
      <c r="C26" t="str">
        <f>[1]怪物卡牌表!$C$26</f>
        <v>C_PutongAgile</v>
      </c>
      <c r="D26">
        <f>[1]怪物卡牌表!$E$26</f>
        <v>0</v>
      </c>
      <c r="E26">
        <f>[1]怪物卡牌表!$G$26</f>
        <v>0</v>
      </c>
      <c r="F26">
        <f>[1]怪物卡牌表!$I$26</f>
        <v>0</v>
      </c>
    </row>
    <row r="27" spans="1:7" x14ac:dyDescent="0.15">
      <c r="A27" t="str">
        <f>[1]怪物卡牌表!$A$27</f>
        <v>M_LanTujing</v>
      </c>
      <c r="B27" t="str">
        <f>[1]怪物卡牌表!$B$27</f>
        <v>蓝兔精</v>
      </c>
      <c r="C27" t="str">
        <f>[1]怪物卡牌表!$C$27</f>
        <v>C_PutongAgile</v>
      </c>
      <c r="D27">
        <f>[1]怪物卡牌表!$E$27</f>
        <v>0</v>
      </c>
      <c r="E27">
        <f>[1]怪物卡牌表!$G$27</f>
        <v>0</v>
      </c>
      <c r="F27">
        <f>[1]怪物卡牌表!$I$27</f>
        <v>0</v>
      </c>
    </row>
    <row r="28" spans="1:7" x14ac:dyDescent="0.15">
      <c r="A28" t="str">
        <f>[1]怪物卡牌表!$A$28</f>
        <v>M_YuTujing</v>
      </c>
      <c r="B28" t="str">
        <f>[1]怪物卡牌表!$B$28</f>
        <v>玉兔精</v>
      </c>
      <c r="C28" t="str">
        <f>[1]怪物卡牌表!$C$28</f>
        <v>C_JingyingAgile</v>
      </c>
      <c r="D28">
        <f>[1]怪物卡牌表!$E$28</f>
        <v>0</v>
      </c>
      <c r="E28">
        <f>[1]怪物卡牌表!$G$28</f>
        <v>0</v>
      </c>
      <c r="F28">
        <f>[1]怪物卡牌表!$I$28</f>
        <v>0</v>
      </c>
    </row>
    <row r="29" spans="1:7" x14ac:dyDescent="0.15">
      <c r="A29" t="str">
        <f>[1]怪物卡牌表!$A$29</f>
        <v>M_Pusa1</v>
      </c>
      <c r="B29" t="str">
        <f>[1]怪物卡牌表!$B$29</f>
        <v>菩萨1</v>
      </c>
      <c r="C29" t="str">
        <f>[1]怪物卡牌表!$C$29</f>
        <v>C_BossAgile</v>
      </c>
      <c r="D29">
        <f>[1]怪物卡牌表!$E$29</f>
        <v>0</v>
      </c>
      <c r="E29">
        <f>[1]怪物卡牌表!$G$29</f>
        <v>0</v>
      </c>
      <c r="F29">
        <f>[1]怪物卡牌表!$I$29</f>
        <v>0</v>
      </c>
      <c r="G29" t="s">
        <v>372</v>
      </c>
    </row>
    <row r="30" spans="1:7" x14ac:dyDescent="0.15">
      <c r="A30" t="str">
        <f>[1]怪物卡牌表!$A$30</f>
        <v>M_Menghu</v>
      </c>
      <c r="B30" t="str">
        <f>[1]怪物卡牌表!$B$30</f>
        <v>猛虎</v>
      </c>
      <c r="C30" t="str">
        <f>[1]怪物卡牌表!$C$30</f>
        <v>C_JingyingAttack</v>
      </c>
      <c r="D30">
        <f>[1]怪物卡牌表!$E$30</f>
        <v>0</v>
      </c>
      <c r="E30">
        <f>[1]怪物卡牌表!$G$30</f>
        <v>0</v>
      </c>
      <c r="F30">
        <f>[1]怪物卡牌表!$I$30</f>
        <v>0</v>
      </c>
    </row>
    <row r="31" spans="1:7" x14ac:dyDescent="0.15">
      <c r="A31" t="str">
        <f>[1]怪物卡牌表!$A$31</f>
        <v>M_Housun</v>
      </c>
      <c r="B31" t="str">
        <f>[1]怪物卡牌表!$B$31</f>
        <v>猴孙</v>
      </c>
      <c r="C31" t="str">
        <f>[1]怪物卡牌表!$C$31</f>
        <v>C_JingyingAttack</v>
      </c>
      <c r="D31">
        <f>[1]怪物卡牌表!$E$31</f>
        <v>0</v>
      </c>
      <c r="E31">
        <f>[1]怪物卡牌表!$G$31</f>
        <v>0</v>
      </c>
      <c r="F31">
        <f>[1]怪物卡牌表!$I$31</f>
        <v>0</v>
      </c>
    </row>
    <row r="32" spans="1:7" x14ac:dyDescent="0.15">
      <c r="A32" t="str">
        <f>[1]怪物卡牌表!$A$32</f>
        <v>M_Sunwukong</v>
      </c>
      <c r="B32" t="str">
        <f>[1]怪物卡牌表!$B$32</f>
        <v>孙悟空</v>
      </c>
      <c r="C32" t="str">
        <f>[1]怪物卡牌表!$C$32</f>
        <v>C_BossAttack</v>
      </c>
      <c r="D32" t="str">
        <f>[1]怪物卡牌表!$E$32</f>
        <v>F_Jingubang</v>
      </c>
      <c r="E32">
        <f>[1]怪物卡牌表!$G$32</f>
        <v>0</v>
      </c>
      <c r="F32">
        <f>[1]怪物卡牌表!$I$32</f>
        <v>0</v>
      </c>
    </row>
    <row r="33" spans="1:7" x14ac:dyDescent="0.15">
      <c r="A33" t="str">
        <f>[1]怪物卡牌表!$A$33</f>
        <v>M_Liehu</v>
      </c>
      <c r="B33" t="str">
        <f>[1]怪物卡牌表!$B$33</f>
        <v>猎户</v>
      </c>
      <c r="C33" t="str">
        <f>[1]怪物卡牌表!$C$33</f>
        <v>C_JingyingAttack</v>
      </c>
      <c r="D33">
        <f>[1]怪物卡牌表!$E$33</f>
        <v>0</v>
      </c>
      <c r="E33">
        <f>[1]怪物卡牌表!$G$33</f>
        <v>0</v>
      </c>
      <c r="F33">
        <f>[1]怪物卡牌表!$I$33</f>
        <v>0</v>
      </c>
    </row>
    <row r="34" spans="1:7" x14ac:dyDescent="0.15">
      <c r="A34" t="str">
        <f>[1]怪物卡牌表!$A$34</f>
        <v>M_Liuyi</v>
      </c>
      <c r="B34" t="str">
        <f>[1]怪物卡牌表!$B$34</f>
        <v>六意</v>
      </c>
      <c r="C34" t="str">
        <f>[1]怪物卡牌表!$C$34</f>
        <v>C_BossAttack</v>
      </c>
      <c r="D34" t="str">
        <f>[1]怪物卡牌表!$E$34</f>
        <v>F_Jingubang</v>
      </c>
      <c r="E34">
        <f>[1]怪物卡牌表!$G$34</f>
        <v>0</v>
      </c>
      <c r="F34">
        <f>[1]怪物卡牌表!$I$34</f>
        <v>0</v>
      </c>
      <c r="G34" t="s">
        <v>373</v>
      </c>
    </row>
    <row r="35" spans="1:7" x14ac:dyDescent="0.15">
      <c r="A35" t="str">
        <f>[1]怪物卡牌表!$A$35</f>
        <v>M_XiaoQingshe</v>
      </c>
      <c r="B35" t="str">
        <f>[1]怪物卡牌表!$B$35</f>
        <v>小青蛇</v>
      </c>
      <c r="C35" t="str">
        <f>[1]怪物卡牌表!$C$35</f>
        <v>C_PutongAttack</v>
      </c>
      <c r="D35">
        <f>[1]怪物卡牌表!$E$35</f>
        <v>0</v>
      </c>
      <c r="E35">
        <f>[1]怪物卡牌表!$G$35</f>
        <v>0</v>
      </c>
      <c r="F35">
        <f>[1]怪物卡牌表!$I$35</f>
        <v>0</v>
      </c>
    </row>
    <row r="36" spans="1:7" x14ac:dyDescent="0.15">
      <c r="A36" t="str">
        <f>[1]怪物卡牌表!$A$36</f>
        <v>M_Qingshe</v>
      </c>
      <c r="B36" t="str">
        <f>[1]怪物卡牌表!$B$36</f>
        <v>青蛇</v>
      </c>
      <c r="C36" t="str">
        <f>[1]怪物卡牌表!$C$36</f>
        <v>C_PutongAttack</v>
      </c>
      <c r="D36">
        <f>[1]怪物卡牌表!$E$36</f>
        <v>0</v>
      </c>
      <c r="E36">
        <f>[1]怪物卡牌表!$G$36</f>
        <v>0</v>
      </c>
      <c r="F36">
        <f>[1]怪物卡牌表!$I$36</f>
        <v>0</v>
      </c>
    </row>
    <row r="37" spans="1:7" x14ac:dyDescent="0.15">
      <c r="A37" t="str">
        <f>[1]怪物卡牌表!$A$37</f>
        <v>M_Baishe</v>
      </c>
      <c r="B37" t="str">
        <f>[1]怪物卡牌表!$B$37</f>
        <v>白蛇</v>
      </c>
      <c r="C37" t="str">
        <f>[1]怪物卡牌表!$C$37</f>
        <v>C_JingyingAttack</v>
      </c>
      <c r="D37">
        <f>[1]怪物卡牌表!$E$37</f>
        <v>0</v>
      </c>
      <c r="E37">
        <f>[1]怪物卡牌表!$G$37</f>
        <v>0</v>
      </c>
      <c r="F37">
        <f>[1]怪物卡牌表!$I$37</f>
        <v>0</v>
      </c>
    </row>
    <row r="38" spans="1:7" x14ac:dyDescent="0.15">
      <c r="A38" t="str">
        <f>[1]怪物卡牌表!$A$38</f>
        <v>M_Guichengxiang</v>
      </c>
      <c r="B38" t="str">
        <f>[1]怪物卡牌表!$B$38</f>
        <v>龟丞相</v>
      </c>
      <c r="C38" t="str">
        <f>[1]怪物卡牌表!$C$38</f>
        <v>C_BossDefense</v>
      </c>
      <c r="D38">
        <f>[1]怪物卡牌表!$E$38</f>
        <v>0</v>
      </c>
      <c r="E38">
        <f>[1]怪物卡牌表!$G$38</f>
        <v>0</v>
      </c>
      <c r="F38">
        <f>[1]怪物卡牌表!$I$38</f>
        <v>0</v>
      </c>
    </row>
    <row r="39" spans="1:7" x14ac:dyDescent="0.15">
      <c r="A39" t="str">
        <f>[1]怪物卡牌表!$A$39</f>
        <v>M_XiaoBailong</v>
      </c>
      <c r="B39" t="str">
        <f>[1]怪物卡牌表!$B$39</f>
        <v>小白龙</v>
      </c>
      <c r="C39" t="str">
        <f>[1]怪物卡牌表!$C$39</f>
        <v>C_JingyingAgile</v>
      </c>
      <c r="D39" t="str">
        <f>[1]怪物卡牌表!$E$39</f>
        <v>F_Yulongyinqiang</v>
      </c>
      <c r="E39">
        <f>[1]怪物卡牌表!$G$39</f>
        <v>0</v>
      </c>
      <c r="F39">
        <f>[1]怪物卡牌表!$I$39</f>
        <v>0</v>
      </c>
    </row>
    <row r="40" spans="1:7" x14ac:dyDescent="0.15">
      <c r="A40" t="str">
        <f>[1]怪物卡牌表!$A$40</f>
        <v>M_Bailong</v>
      </c>
      <c r="B40" t="str">
        <f>[1]怪物卡牌表!$B$40</f>
        <v>白龙</v>
      </c>
      <c r="C40" t="str">
        <f>[1]怪物卡牌表!$C$40</f>
        <v>C_BossAgile</v>
      </c>
      <c r="D40" t="str">
        <f>[1]怪物卡牌表!$E$40</f>
        <v>F_Longling</v>
      </c>
      <c r="E40">
        <f>[1]怪物卡牌表!$G$40</f>
        <v>0</v>
      </c>
      <c r="F40">
        <f>[1]怪物卡牌表!$I$40</f>
        <v>0</v>
      </c>
    </row>
    <row r="41" spans="1:7" x14ac:dyDescent="0.15">
      <c r="A41" t="str">
        <f>[1]怪物卡牌表!$A$41</f>
        <v>M_Heixiong</v>
      </c>
      <c r="B41" t="str">
        <f>[1]怪物卡牌表!$B$41</f>
        <v>黑熊</v>
      </c>
      <c r="C41" t="str">
        <f>[1]怪物卡牌表!$C$41</f>
        <v>C_PutongAttack</v>
      </c>
      <c r="D41">
        <f>[1]怪物卡牌表!$E$41</f>
        <v>0</v>
      </c>
      <c r="E41">
        <f>[1]怪物卡牌表!$G$41</f>
        <v>0</v>
      </c>
      <c r="F41">
        <f>[1]怪物卡牌表!$I$41</f>
        <v>0</v>
      </c>
    </row>
    <row r="42" spans="1:7" x14ac:dyDescent="0.15">
      <c r="A42" t="str">
        <f>[1]怪物卡牌表!$A$42</f>
        <v>M_JuxingHeixiong</v>
      </c>
      <c r="B42" t="str">
        <f>[1]怪物卡牌表!$B$42</f>
        <v>巨型黑熊</v>
      </c>
      <c r="C42" t="str">
        <f>[1]怪物卡牌表!$C$42</f>
        <v>C_JingyingAttack</v>
      </c>
      <c r="D42">
        <f>[1]怪物卡牌表!$E$42</f>
        <v>0</v>
      </c>
      <c r="E42">
        <f>[1]怪物卡牌表!$G$42</f>
        <v>0</v>
      </c>
      <c r="F42">
        <f>[1]怪物卡牌表!$I$42</f>
        <v>0</v>
      </c>
    </row>
    <row r="43" spans="1:7" x14ac:dyDescent="0.15">
      <c r="A43" t="str">
        <f>[1]怪物卡牌表!$A$43</f>
        <v>M_Lingxuzi</v>
      </c>
      <c r="B43" t="str">
        <f>[1]怪物卡牌表!$B$43</f>
        <v>凌虚子</v>
      </c>
      <c r="C43" t="str">
        <f>[1]怪物卡牌表!$C$43</f>
        <v>C_BossAgile</v>
      </c>
      <c r="D43">
        <f>[1]怪物卡牌表!$E$43</f>
        <v>0</v>
      </c>
      <c r="E43">
        <f>[1]怪物卡牌表!$G$43</f>
        <v>0</v>
      </c>
      <c r="F43">
        <f>[1]怪物卡牌表!$I$43</f>
        <v>0</v>
      </c>
    </row>
    <row r="44" spans="1:7" x14ac:dyDescent="0.15">
      <c r="A44" t="str">
        <f>[1]怪物卡牌表!$A$44</f>
        <v>M_HeixiongShiwei</v>
      </c>
      <c r="B44" t="str">
        <f>[1]怪物卡牌表!$B$44</f>
        <v>黑熊侍卫</v>
      </c>
      <c r="C44" t="str">
        <f>[1]怪物卡牌表!$C$44</f>
        <v>C_JingyingAttack</v>
      </c>
      <c r="D44">
        <f>[1]怪物卡牌表!$E$44</f>
        <v>0</v>
      </c>
      <c r="E44">
        <f>[1]怪物卡牌表!$G$44</f>
        <v>0</v>
      </c>
      <c r="F44">
        <f>[1]怪物卡牌表!$I$44</f>
        <v>0</v>
      </c>
    </row>
    <row r="45" spans="1:7" x14ac:dyDescent="0.15">
      <c r="A45" t="str">
        <f>[1]怪物卡牌表!$A$45</f>
        <v>M_Heixiongjing</v>
      </c>
      <c r="B45" t="str">
        <f>[1]怪物卡牌表!$B$45</f>
        <v>黑熊精</v>
      </c>
      <c r="C45" t="str">
        <f>[1]怪物卡牌表!$C$45</f>
        <v>C_BossAttack</v>
      </c>
      <c r="D45">
        <f>[1]怪物卡牌表!$E$45</f>
        <v>0</v>
      </c>
      <c r="E45">
        <f>[1]怪物卡牌表!$G$45</f>
        <v>0</v>
      </c>
      <c r="F45">
        <f>[1]怪物卡牌表!$I$45</f>
        <v>0</v>
      </c>
    </row>
    <row r="46" spans="1:7" x14ac:dyDescent="0.15">
      <c r="A46" t="str">
        <f>[1]怪物卡牌表!$A$46</f>
        <v>M_ZhuGanglie</v>
      </c>
      <c r="B46" t="str">
        <f>[1]怪物卡牌表!$B$46</f>
        <v>猪刚鬣</v>
      </c>
      <c r="C46" t="str">
        <f>[1]怪物卡牌表!$C$46</f>
        <v>C_JingyingAttack</v>
      </c>
      <c r="D46" t="str">
        <f>[1]怪物卡牌表!$E$46</f>
        <v>F_Jiuchidingpa</v>
      </c>
      <c r="E46">
        <f>[1]怪物卡牌表!$G$46</f>
        <v>0</v>
      </c>
      <c r="F46">
        <f>[1]怪物卡牌表!$I$46</f>
        <v>0</v>
      </c>
    </row>
    <row r="47" spans="1:7" x14ac:dyDescent="0.15">
      <c r="A47" t="str">
        <f>[1]怪物卡牌表!$A$47</f>
        <v>M_TianpengYuanshuai</v>
      </c>
      <c r="B47" t="str">
        <f>[1]怪物卡牌表!$B$47</f>
        <v>天蓬元帅</v>
      </c>
      <c r="C47" t="str">
        <f>[1]怪物卡牌表!$C$47</f>
        <v>C_BossAttack</v>
      </c>
      <c r="D47" t="str">
        <f>[1]怪物卡牌表!$E$47</f>
        <v>F_Yuanshuaizhanpao</v>
      </c>
      <c r="E47">
        <f>[1]怪物卡牌表!$G$47</f>
        <v>0</v>
      </c>
      <c r="F47">
        <f>[1]怪物卡牌表!$I$47</f>
        <v>0</v>
      </c>
    </row>
    <row r="48" spans="1:7" x14ac:dyDescent="0.15">
      <c r="A48" t="str">
        <f>[1]怪物卡牌表!$A$48</f>
        <v>M_WuchaoChanshi</v>
      </c>
      <c r="B48" t="str">
        <f>[1]怪物卡牌表!$B$48</f>
        <v>乌巢禅师</v>
      </c>
      <c r="C48" t="str">
        <f>[1]怪物卡牌表!$C$48</f>
        <v>C_BossAgile</v>
      </c>
      <c r="D48">
        <f>[1]怪物卡牌表!$E$48</f>
        <v>0</v>
      </c>
      <c r="E48">
        <f>[1]怪物卡牌表!$G$48</f>
        <v>0</v>
      </c>
      <c r="F48">
        <f>[1]怪物卡牌表!$I$48</f>
        <v>0</v>
      </c>
    </row>
    <row r="49" spans="1:6" x14ac:dyDescent="0.15">
      <c r="A49" t="str">
        <f>[1]怪物卡牌表!$A$49</f>
        <v>M_Huguai</v>
      </c>
      <c r="B49" t="str">
        <f>[1]怪物卡牌表!$B$49</f>
        <v>虎怪</v>
      </c>
      <c r="C49" t="str">
        <f>[1]怪物卡牌表!$C$49</f>
        <v>C_PutongAttack</v>
      </c>
      <c r="D49">
        <f>[1]怪物卡牌表!$E$49</f>
        <v>0</v>
      </c>
      <c r="E49">
        <f>[1]怪物卡牌表!$G$49</f>
        <v>0</v>
      </c>
      <c r="F49">
        <f>[1]怪物卡牌表!$I$49</f>
        <v>0</v>
      </c>
    </row>
    <row r="50" spans="1:6" x14ac:dyDescent="0.15">
      <c r="A50" t="str">
        <f>[1]怪物卡牌表!$A$50</f>
        <v>M_Heihuguai</v>
      </c>
      <c r="B50" t="str">
        <f>[1]怪物卡牌表!$B$50</f>
        <v>黑虎怪</v>
      </c>
      <c r="C50" t="str">
        <f>[1]怪物卡牌表!$C$50</f>
        <v>C_JingyingAttack</v>
      </c>
      <c r="D50">
        <f>[1]怪物卡牌表!$E$50</f>
        <v>0</v>
      </c>
      <c r="E50">
        <f>[1]怪物卡牌表!$G$50</f>
        <v>0</v>
      </c>
      <c r="F50">
        <f>[1]怪物卡牌表!$I$50</f>
        <v>0</v>
      </c>
    </row>
    <row r="51" spans="1:6" x14ac:dyDescent="0.15">
      <c r="A51" t="str">
        <f>[1]怪物卡牌表!$A$51</f>
        <v>M_Huxianfeng</v>
      </c>
      <c r="B51" t="str">
        <f>[1]怪物卡牌表!$B$51</f>
        <v>虎先锋</v>
      </c>
      <c r="C51" t="str">
        <f>[1]怪物卡牌表!$C$51</f>
        <v>C_BossAttack</v>
      </c>
      <c r="D51" t="str">
        <f>[1]怪物卡牌表!$E$51</f>
        <v>F_Dingfengzhu</v>
      </c>
      <c r="E51">
        <f>[1]怪物卡牌表!$G$51</f>
        <v>0</v>
      </c>
      <c r="F51">
        <f>[1]怪物卡牌表!$I$51</f>
        <v>0</v>
      </c>
    </row>
    <row r="52" spans="1:6" x14ac:dyDescent="0.15">
      <c r="A52" t="str">
        <f>[1]怪物卡牌表!$A$52</f>
        <v>M_HuangfengShouwei</v>
      </c>
      <c r="B52" t="str">
        <f>[1]怪物卡牌表!$B$52</f>
        <v>黄风守卫</v>
      </c>
      <c r="C52" t="str">
        <f>[1]怪物卡牌表!$C$52</f>
        <v>C_JingyingDefense</v>
      </c>
      <c r="D52">
        <f>[1]怪物卡牌表!$E$52</f>
        <v>0</v>
      </c>
      <c r="E52">
        <f>[1]怪物卡牌表!$G$52</f>
        <v>0</v>
      </c>
      <c r="F52">
        <f>[1]怪物卡牌表!$I$52</f>
        <v>0</v>
      </c>
    </row>
    <row r="53" spans="1:6" x14ac:dyDescent="0.15">
      <c r="A53" t="str">
        <f>[1]怪物卡牌表!$A$53</f>
        <v>M_HuangfengJiangling</v>
      </c>
      <c r="B53" t="str">
        <f>[1]怪物卡牌表!$B$53</f>
        <v>黄风将领</v>
      </c>
      <c r="C53" t="str">
        <f>[1]怪物卡牌表!$C$53</f>
        <v>C_JingyingAttack</v>
      </c>
      <c r="D53">
        <f>[1]怪物卡牌表!$E$53</f>
        <v>0</v>
      </c>
      <c r="E53">
        <f>[1]怪物卡牌表!$G$53</f>
        <v>0</v>
      </c>
      <c r="F53">
        <f>[1]怪物卡牌表!$I$53</f>
        <v>0</v>
      </c>
    </row>
    <row r="54" spans="1:6" x14ac:dyDescent="0.15">
      <c r="A54" t="str">
        <f>[1]怪物卡牌表!$A$54</f>
        <v>M_HuangfengGuai</v>
      </c>
      <c r="B54" t="str">
        <f>[1]怪物卡牌表!$B$54</f>
        <v>黄风怪</v>
      </c>
      <c r="C54" t="str">
        <f>[1]怪物卡牌表!$C$54</f>
        <v>C_BossAgile</v>
      </c>
      <c r="D54" t="str">
        <f>[1]怪物卡牌表!$E$54</f>
        <v>F_Dingfengzhu</v>
      </c>
      <c r="E54">
        <f>[1]怪物卡牌表!$G$54</f>
        <v>0</v>
      </c>
      <c r="F54">
        <f>[1]怪物卡牌表!$I$54</f>
        <v>0</v>
      </c>
    </row>
    <row r="55" spans="1:6" x14ac:dyDescent="0.15">
      <c r="A55" t="str">
        <f>[1]怪物卡牌表!$A$55</f>
        <v>M_HongyuGuai</v>
      </c>
      <c r="B55" t="str">
        <f>[1]怪物卡牌表!$B$55</f>
        <v>红鱼怪</v>
      </c>
      <c r="C55" t="str">
        <f>[1]怪物卡牌表!$C$55</f>
        <v>C_PutongAttack</v>
      </c>
      <c r="D55">
        <f>[1]怪物卡牌表!$E$55</f>
        <v>0</v>
      </c>
      <c r="E55">
        <f>[1]怪物卡牌表!$G$55</f>
        <v>0</v>
      </c>
      <c r="F55">
        <f>[1]怪物卡牌表!$I$55</f>
        <v>0</v>
      </c>
    </row>
    <row r="56" spans="1:6" x14ac:dyDescent="0.15">
      <c r="A56" t="str">
        <f>[1]怪物卡牌表!$A$56</f>
        <v>M_HuangyuGuai</v>
      </c>
      <c r="B56" t="str">
        <f>[1]怪物卡牌表!$B$56</f>
        <v>黄鱼怪</v>
      </c>
      <c r="C56" t="str">
        <f>[1]怪物卡牌表!$C$56</f>
        <v>C_PutongAttack</v>
      </c>
      <c r="D56">
        <f>[1]怪物卡牌表!$E$56</f>
        <v>0</v>
      </c>
      <c r="E56">
        <f>[1]怪物卡牌表!$G$56</f>
        <v>0</v>
      </c>
      <c r="F56">
        <f>[1]怪物卡牌表!$I$56</f>
        <v>0</v>
      </c>
    </row>
    <row r="57" spans="1:6" x14ac:dyDescent="0.15">
      <c r="A57" t="str">
        <f>[1]怪物卡牌表!$A$57</f>
        <v>M_Shaguai</v>
      </c>
      <c r="B57" t="str">
        <f>[1]怪物卡牌表!$B$57</f>
        <v>沙怪</v>
      </c>
      <c r="C57" t="str">
        <f>[1]怪物卡牌表!$C$57</f>
        <v>C_PutongAttack</v>
      </c>
      <c r="D57">
        <f>[1]怪物卡牌表!$E$57</f>
        <v>0</v>
      </c>
      <c r="E57">
        <f>[1]怪物卡牌表!$G$57</f>
        <v>0</v>
      </c>
      <c r="F57">
        <f>[1]怪物卡牌表!$I$57</f>
        <v>0</v>
      </c>
    </row>
    <row r="58" spans="1:6" x14ac:dyDescent="0.15">
      <c r="A58" t="str">
        <f>[1]怪物卡牌表!$A$58</f>
        <v>M_HongshaGuai</v>
      </c>
      <c r="B58" t="str">
        <f>[1]怪物卡牌表!$B$58</f>
        <v>红沙怪</v>
      </c>
      <c r="C58" t="str">
        <f>[1]怪物卡牌表!$C$58</f>
        <v>C_JingyingAttack</v>
      </c>
      <c r="D58">
        <f>[1]怪物卡牌表!$E$58</f>
        <v>0</v>
      </c>
      <c r="E58">
        <f>[1]怪物卡牌表!$G$58</f>
        <v>0</v>
      </c>
      <c r="F58">
        <f>[1]怪物卡牌表!$I$58</f>
        <v>0</v>
      </c>
    </row>
    <row r="59" spans="1:6" x14ac:dyDescent="0.15">
      <c r="A59" t="str">
        <f>[1]怪物卡牌表!$A$59</f>
        <v>M_ShaHeshang</v>
      </c>
      <c r="B59" t="str">
        <f>[1]怪物卡牌表!$B$59</f>
        <v>沙和尚</v>
      </c>
      <c r="C59" t="str">
        <f>[1]怪物卡牌表!$C$59</f>
        <v>C_BossAgile</v>
      </c>
      <c r="D59" t="str">
        <f>[1]怪物卡牌表!$E$59</f>
        <v>F_Yueyachan</v>
      </c>
      <c r="E59">
        <f>[1]怪物卡牌表!$G$59</f>
        <v>0</v>
      </c>
      <c r="F59">
        <f>[1]怪物卡牌表!$I$59</f>
        <v>0</v>
      </c>
    </row>
  </sheetData>
  <phoneticPr fontId="1" type="noConversion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SV">
                <anchor moveWithCells="1" sizeWithCells="1">
                  <from>
                    <xdr:col>7</xdr:col>
                    <xdr:colOff>619125</xdr:colOff>
                    <xdr:row>3</xdr:row>
                    <xdr:rowOff>28575</xdr:rowOff>
                  </from>
                  <to>
                    <xdr:col>9</xdr:col>
                    <xdr:colOff>238125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90"/>
  <sheetViews>
    <sheetView zoomScale="115" zoomScaleNormal="115" workbookViewId="0">
      <pane xSplit="1" ySplit="1" topLeftCell="N2" activePane="bottomRight" state="frozenSplit"/>
      <selection pane="topRight" activeCell="K1" sqref="K1"/>
      <selection pane="bottomLeft" activeCell="A12" sqref="A12"/>
      <selection pane="bottomRight" activeCell="Q5" sqref="Q5"/>
    </sheetView>
  </sheetViews>
  <sheetFormatPr defaultRowHeight="13.5" x14ac:dyDescent="0.15"/>
  <cols>
    <col min="1" max="1" width="4" customWidth="1"/>
    <col min="2" max="3" width="8.125" customWidth="1"/>
    <col min="4" max="4" width="10.5" customWidth="1"/>
    <col min="10" max="10" width="9" customWidth="1"/>
    <col min="11" max="11" width="9.125" customWidth="1"/>
    <col min="12" max="12" width="11.875" customWidth="1"/>
    <col min="13" max="13" width="9.125" customWidth="1"/>
    <col min="14" max="14" width="14.25" customWidth="1"/>
    <col min="15" max="25" width="11.75" customWidth="1"/>
  </cols>
  <sheetData>
    <row r="1" spans="1:25" s="1" customFormat="1" ht="27" x14ac:dyDescent="0.15">
      <c r="A1" s="1" t="s">
        <v>8</v>
      </c>
      <c r="B1" s="1" t="s">
        <v>9</v>
      </c>
      <c r="C1" s="1" t="s">
        <v>10</v>
      </c>
      <c r="D1" s="1" t="s">
        <v>41</v>
      </c>
      <c r="E1" s="1" t="s">
        <v>11</v>
      </c>
      <c r="F1" s="1" t="s">
        <v>20</v>
      </c>
      <c r="G1" s="1" t="s">
        <v>94</v>
      </c>
      <c r="H1" s="1" t="s">
        <v>95</v>
      </c>
      <c r="I1" s="1" t="s">
        <v>96</v>
      </c>
      <c r="J1" s="1" t="s">
        <v>97</v>
      </c>
      <c r="K1" s="1" t="s">
        <v>98</v>
      </c>
      <c r="L1" s="1" t="s">
        <v>30</v>
      </c>
      <c r="M1" s="1" t="s">
        <v>31</v>
      </c>
      <c r="N1" s="1" t="s">
        <v>32</v>
      </c>
      <c r="O1" s="1" t="s">
        <v>364</v>
      </c>
      <c r="P1" s="1" t="s">
        <v>365</v>
      </c>
      <c r="Q1" s="1" t="s">
        <v>366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</row>
    <row r="2" spans="1:25" s="6" customFormat="1" x14ac:dyDescent="0.15">
      <c r="A2" s="6">
        <v>1</v>
      </c>
      <c r="B2" s="6">
        <v>0</v>
      </c>
      <c r="C2" s="6">
        <v>1</v>
      </c>
      <c r="D2" s="6" t="s">
        <v>42</v>
      </c>
      <c r="E2" s="6">
        <v>0</v>
      </c>
      <c r="F2" s="6" t="s">
        <v>33</v>
      </c>
      <c r="L2" s="6" t="s">
        <v>112</v>
      </c>
      <c r="M2" s="6" t="s">
        <v>35</v>
      </c>
      <c r="N2" s="6" t="s">
        <v>35</v>
      </c>
      <c r="O2" s="6">
        <v>1</v>
      </c>
      <c r="P2" s="6" t="s">
        <v>36</v>
      </c>
      <c r="Q2" s="6" t="s">
        <v>36</v>
      </c>
      <c r="X2" s="6">
        <v>2</v>
      </c>
    </row>
    <row r="3" spans="1:25" x14ac:dyDescent="0.15">
      <c r="A3">
        <v>2</v>
      </c>
      <c r="B3">
        <v>0</v>
      </c>
      <c r="C3">
        <v>2</v>
      </c>
      <c r="D3" t="s">
        <v>43</v>
      </c>
      <c r="E3">
        <v>0</v>
      </c>
      <c r="F3" t="s">
        <v>34</v>
      </c>
      <c r="L3" s="2" t="s">
        <v>113</v>
      </c>
      <c r="M3" t="s">
        <v>36</v>
      </c>
      <c r="N3" t="s">
        <v>36</v>
      </c>
      <c r="O3">
        <v>3</v>
      </c>
      <c r="P3" t="s">
        <v>36</v>
      </c>
      <c r="Q3" t="s">
        <v>36</v>
      </c>
      <c r="X3">
        <v>3</v>
      </c>
    </row>
    <row r="4" spans="1:25" x14ac:dyDescent="0.15">
      <c r="A4">
        <v>3</v>
      </c>
      <c r="B4">
        <v>0</v>
      </c>
      <c r="C4">
        <v>3</v>
      </c>
      <c r="D4" t="s">
        <v>44</v>
      </c>
      <c r="E4">
        <v>0</v>
      </c>
      <c r="F4" t="s">
        <v>34</v>
      </c>
      <c r="L4" t="s">
        <v>114</v>
      </c>
      <c r="M4" t="s">
        <v>36</v>
      </c>
      <c r="N4" t="s">
        <v>36</v>
      </c>
      <c r="O4">
        <v>5</v>
      </c>
      <c r="P4" t="s">
        <v>36</v>
      </c>
      <c r="Q4" t="s">
        <v>36</v>
      </c>
      <c r="X4">
        <v>4</v>
      </c>
    </row>
    <row r="5" spans="1:25" x14ac:dyDescent="0.15">
      <c r="A5">
        <v>4</v>
      </c>
      <c r="B5">
        <v>0</v>
      </c>
      <c r="C5">
        <v>4</v>
      </c>
      <c r="D5" t="s">
        <v>45</v>
      </c>
      <c r="E5">
        <v>0</v>
      </c>
      <c r="F5" t="s">
        <v>34</v>
      </c>
      <c r="L5" t="s">
        <v>115</v>
      </c>
      <c r="M5" t="s">
        <v>36</v>
      </c>
      <c r="N5" t="s">
        <v>36</v>
      </c>
      <c r="O5">
        <v>8</v>
      </c>
      <c r="P5" t="s">
        <v>36</v>
      </c>
      <c r="Q5" t="s">
        <v>36</v>
      </c>
      <c r="X5">
        <v>5</v>
      </c>
    </row>
    <row r="6" spans="1:25" x14ac:dyDescent="0.15">
      <c r="A6">
        <v>5</v>
      </c>
      <c r="B6">
        <v>0</v>
      </c>
      <c r="C6">
        <v>5</v>
      </c>
      <c r="D6" t="s">
        <v>46</v>
      </c>
      <c r="E6">
        <v>0</v>
      </c>
      <c r="F6" t="s">
        <v>34</v>
      </c>
      <c r="L6" t="s">
        <v>116</v>
      </c>
      <c r="M6" t="s">
        <v>36</v>
      </c>
      <c r="N6" t="s">
        <v>36</v>
      </c>
      <c r="O6">
        <v>5</v>
      </c>
      <c r="P6" t="s">
        <v>36</v>
      </c>
      <c r="Q6" t="s">
        <v>36</v>
      </c>
      <c r="X6">
        <v>6</v>
      </c>
    </row>
    <row r="7" spans="1:25" x14ac:dyDescent="0.15">
      <c r="A7">
        <v>6</v>
      </c>
      <c r="B7">
        <v>0</v>
      </c>
      <c r="C7">
        <v>6</v>
      </c>
      <c r="D7" t="s">
        <v>47</v>
      </c>
      <c r="E7">
        <v>0</v>
      </c>
      <c r="F7" t="s">
        <v>34</v>
      </c>
      <c r="L7" t="s">
        <v>117</v>
      </c>
      <c r="M7" t="s">
        <v>36</v>
      </c>
      <c r="N7" t="s">
        <v>36</v>
      </c>
      <c r="O7">
        <v>8</v>
      </c>
      <c r="P7" t="s">
        <v>36</v>
      </c>
      <c r="Q7" t="s">
        <v>36</v>
      </c>
      <c r="X7">
        <v>7</v>
      </c>
    </row>
    <row r="8" spans="1:25" s="5" customFormat="1" x14ac:dyDescent="0.15">
      <c r="A8" s="5">
        <v>7</v>
      </c>
      <c r="B8" s="5">
        <v>0</v>
      </c>
      <c r="C8" s="5">
        <v>7</v>
      </c>
      <c r="D8" s="5" t="s">
        <v>48</v>
      </c>
      <c r="E8" s="5">
        <v>0</v>
      </c>
      <c r="F8" s="5" t="s">
        <v>90</v>
      </c>
      <c r="L8" s="5" t="s">
        <v>118</v>
      </c>
      <c r="M8" s="5" t="s">
        <v>91</v>
      </c>
      <c r="N8" s="5" t="s">
        <v>91</v>
      </c>
      <c r="O8" s="5">
        <v>8</v>
      </c>
      <c r="P8" s="5" t="s">
        <v>36</v>
      </c>
      <c r="Q8" s="5" t="s">
        <v>36</v>
      </c>
      <c r="X8" s="5" t="s">
        <v>36</v>
      </c>
    </row>
    <row r="9" spans="1:25" s="6" customFormat="1" x14ac:dyDescent="0.15">
      <c r="A9" s="6">
        <v>8</v>
      </c>
      <c r="B9" s="6">
        <v>1</v>
      </c>
      <c r="C9" s="6">
        <v>1</v>
      </c>
      <c r="D9" s="6" t="s">
        <v>49</v>
      </c>
      <c r="E9" s="6">
        <v>0</v>
      </c>
      <c r="F9" s="6" t="s">
        <v>22</v>
      </c>
      <c r="L9" s="6" t="s">
        <v>119</v>
      </c>
      <c r="M9" s="6" t="s">
        <v>120</v>
      </c>
      <c r="N9" s="6" t="s">
        <v>125</v>
      </c>
      <c r="O9" s="6">
        <v>1</v>
      </c>
      <c r="P9" s="6">
        <v>2</v>
      </c>
      <c r="Q9" s="6">
        <v>3</v>
      </c>
      <c r="X9" s="6">
        <v>9</v>
      </c>
    </row>
    <row r="10" spans="1:25" x14ac:dyDescent="0.15">
      <c r="A10">
        <v>9</v>
      </c>
      <c r="B10">
        <v>1</v>
      </c>
      <c r="C10">
        <v>2</v>
      </c>
      <c r="D10" t="s">
        <v>50</v>
      </c>
      <c r="E10">
        <v>0</v>
      </c>
      <c r="F10" t="s">
        <v>22</v>
      </c>
      <c r="L10" t="s">
        <v>121</v>
      </c>
      <c r="M10" t="s">
        <v>122</v>
      </c>
      <c r="N10" t="s">
        <v>126</v>
      </c>
      <c r="O10">
        <v>1</v>
      </c>
      <c r="P10">
        <v>2</v>
      </c>
      <c r="Q10">
        <v>3</v>
      </c>
      <c r="X10">
        <v>10</v>
      </c>
    </row>
    <row r="11" spans="1:25" x14ac:dyDescent="0.15">
      <c r="A11">
        <v>10</v>
      </c>
      <c r="B11">
        <v>1</v>
      </c>
      <c r="C11">
        <v>3</v>
      </c>
      <c r="D11" t="s">
        <v>51</v>
      </c>
      <c r="E11">
        <v>0</v>
      </c>
      <c r="F11" t="s">
        <v>22</v>
      </c>
      <c r="L11" t="s">
        <v>123</v>
      </c>
      <c r="M11" t="s">
        <v>124</v>
      </c>
      <c r="N11" t="s">
        <v>127</v>
      </c>
      <c r="O11">
        <v>1</v>
      </c>
      <c r="P11">
        <v>2</v>
      </c>
      <c r="Q11">
        <v>3</v>
      </c>
      <c r="X11">
        <v>11</v>
      </c>
    </row>
    <row r="12" spans="1:25" x14ac:dyDescent="0.15">
      <c r="A12">
        <v>11</v>
      </c>
      <c r="B12">
        <v>1</v>
      </c>
      <c r="C12">
        <v>4</v>
      </c>
      <c r="D12" t="s">
        <v>52</v>
      </c>
      <c r="E12">
        <v>0</v>
      </c>
      <c r="F12" t="s">
        <v>22</v>
      </c>
      <c r="L12" t="s">
        <v>128</v>
      </c>
      <c r="M12" t="s">
        <v>129</v>
      </c>
      <c r="N12" t="s">
        <v>130</v>
      </c>
      <c r="O12">
        <v>1</v>
      </c>
      <c r="P12">
        <v>2</v>
      </c>
      <c r="Q12">
        <v>3</v>
      </c>
      <c r="X12">
        <v>12</v>
      </c>
    </row>
    <row r="13" spans="1:25" s="5" customFormat="1" x14ac:dyDescent="0.15">
      <c r="A13" s="5">
        <v>12</v>
      </c>
      <c r="B13" s="5">
        <v>1</v>
      </c>
      <c r="C13" s="5">
        <v>5</v>
      </c>
      <c r="D13" s="5" t="s">
        <v>53</v>
      </c>
      <c r="E13" s="5">
        <v>0</v>
      </c>
      <c r="F13" s="5" t="s">
        <v>22</v>
      </c>
      <c r="L13" s="5" t="s">
        <v>36</v>
      </c>
      <c r="M13" s="5" t="s">
        <v>36</v>
      </c>
      <c r="N13" s="5" t="s">
        <v>36</v>
      </c>
      <c r="O13" s="5">
        <v>1</v>
      </c>
      <c r="P13" s="5">
        <v>2</v>
      </c>
      <c r="Q13" s="5">
        <v>3</v>
      </c>
      <c r="X13" s="5">
        <v>13</v>
      </c>
    </row>
    <row r="14" spans="1:25" x14ac:dyDescent="0.15">
      <c r="A14">
        <v>13</v>
      </c>
      <c r="B14">
        <v>1</v>
      </c>
      <c r="C14">
        <v>6</v>
      </c>
      <c r="D14" t="s">
        <v>54</v>
      </c>
      <c r="E14">
        <v>0</v>
      </c>
      <c r="F14" t="s">
        <v>22</v>
      </c>
      <c r="L14" t="s">
        <v>131</v>
      </c>
      <c r="M14" t="s">
        <v>132</v>
      </c>
      <c r="N14" t="s">
        <v>133</v>
      </c>
      <c r="O14">
        <v>1</v>
      </c>
      <c r="P14">
        <v>2</v>
      </c>
      <c r="Q14">
        <v>3</v>
      </c>
      <c r="X14">
        <v>14</v>
      </c>
    </row>
    <row r="15" spans="1:25" s="5" customFormat="1" x14ac:dyDescent="0.15">
      <c r="A15" s="5">
        <v>14</v>
      </c>
      <c r="B15" s="5">
        <v>1</v>
      </c>
      <c r="C15" s="5">
        <v>7</v>
      </c>
      <c r="D15" s="5" t="s">
        <v>55</v>
      </c>
      <c r="E15" s="5">
        <v>0</v>
      </c>
      <c r="F15" s="5" t="s">
        <v>39</v>
      </c>
      <c r="L15" s="5" t="s">
        <v>134</v>
      </c>
      <c r="M15" s="5" t="s">
        <v>135</v>
      </c>
      <c r="N15" s="5" t="s">
        <v>136</v>
      </c>
      <c r="O15" s="5">
        <v>1</v>
      </c>
      <c r="P15" s="5">
        <v>2</v>
      </c>
      <c r="Q15" s="5">
        <v>3</v>
      </c>
      <c r="W15" s="5">
        <v>15</v>
      </c>
      <c r="X15" s="5" t="s">
        <v>89</v>
      </c>
    </row>
    <row r="16" spans="1:25" s="4" customFormat="1" x14ac:dyDescent="0.15">
      <c r="A16" s="4">
        <v>15</v>
      </c>
      <c r="B16" s="4">
        <v>1</v>
      </c>
      <c r="C16" s="4">
        <v>8</v>
      </c>
      <c r="D16" s="4" t="s">
        <v>55</v>
      </c>
      <c r="E16" s="4">
        <v>0</v>
      </c>
      <c r="F16" s="4" t="s">
        <v>38</v>
      </c>
      <c r="L16" s="4" t="s">
        <v>141</v>
      </c>
      <c r="M16" s="4" t="s">
        <v>142</v>
      </c>
      <c r="N16" s="4" t="s">
        <v>341</v>
      </c>
      <c r="O16" s="4">
        <v>3</v>
      </c>
      <c r="P16" s="4">
        <v>5</v>
      </c>
      <c r="Q16" s="4">
        <v>6</v>
      </c>
      <c r="X16" s="4">
        <v>16</v>
      </c>
    </row>
    <row r="17" spans="1:24" s="4" customFormat="1" x14ac:dyDescent="0.15">
      <c r="A17" s="4">
        <v>16</v>
      </c>
      <c r="B17" s="4">
        <v>1</v>
      </c>
      <c r="C17" s="4">
        <v>9</v>
      </c>
      <c r="D17" s="4" t="s">
        <v>55</v>
      </c>
      <c r="E17" s="4">
        <v>0</v>
      </c>
      <c r="F17" s="4" t="s">
        <v>21</v>
      </c>
      <c r="L17" s="4" t="s">
        <v>143</v>
      </c>
      <c r="M17" s="4" t="s">
        <v>317</v>
      </c>
      <c r="N17" s="4" t="s">
        <v>342</v>
      </c>
      <c r="O17" s="4">
        <v>3</v>
      </c>
      <c r="P17" s="4">
        <v>5</v>
      </c>
      <c r="Q17" s="4">
        <v>6</v>
      </c>
      <c r="X17" s="4" t="s">
        <v>89</v>
      </c>
    </row>
    <row r="18" spans="1:24" s="6" customFormat="1" x14ac:dyDescent="0.15">
      <c r="A18" s="6">
        <v>17</v>
      </c>
      <c r="B18" s="6">
        <v>2</v>
      </c>
      <c r="C18" s="6">
        <v>1</v>
      </c>
      <c r="D18" s="6" t="s">
        <v>56</v>
      </c>
      <c r="E18" s="6">
        <v>0</v>
      </c>
      <c r="F18" s="6" t="s">
        <v>21</v>
      </c>
      <c r="L18" s="6" t="s">
        <v>159</v>
      </c>
      <c r="M18" s="6" t="s">
        <v>164</v>
      </c>
      <c r="N18" s="6" t="s">
        <v>166</v>
      </c>
      <c r="O18" s="6">
        <v>1</v>
      </c>
      <c r="P18" s="6">
        <v>2</v>
      </c>
      <c r="Q18" s="6">
        <v>4</v>
      </c>
      <c r="X18" s="6">
        <v>18</v>
      </c>
    </row>
    <row r="19" spans="1:24" x14ac:dyDescent="0.15">
      <c r="A19">
        <v>18</v>
      </c>
      <c r="B19">
        <v>2</v>
      </c>
      <c r="C19">
        <v>2</v>
      </c>
      <c r="D19" t="s">
        <v>56</v>
      </c>
      <c r="E19">
        <v>0</v>
      </c>
      <c r="F19" t="s">
        <v>21</v>
      </c>
      <c r="L19" t="s">
        <v>160</v>
      </c>
      <c r="M19" t="s">
        <v>165</v>
      </c>
      <c r="N19" t="s">
        <v>343</v>
      </c>
      <c r="O19">
        <v>1</v>
      </c>
      <c r="P19">
        <v>2</v>
      </c>
      <c r="Q19">
        <v>4</v>
      </c>
      <c r="X19">
        <v>19</v>
      </c>
    </row>
    <row r="20" spans="1:24" x14ac:dyDescent="0.15">
      <c r="A20">
        <v>19</v>
      </c>
      <c r="B20">
        <v>2</v>
      </c>
      <c r="C20">
        <v>3</v>
      </c>
      <c r="D20" t="s">
        <v>57</v>
      </c>
      <c r="E20">
        <v>3</v>
      </c>
      <c r="F20" t="s">
        <v>21</v>
      </c>
      <c r="L20" t="s">
        <v>305</v>
      </c>
      <c r="M20" t="s">
        <v>318</v>
      </c>
      <c r="N20" t="s">
        <v>344</v>
      </c>
      <c r="O20">
        <v>1</v>
      </c>
      <c r="P20">
        <v>2</v>
      </c>
      <c r="Q20">
        <v>4</v>
      </c>
      <c r="X20">
        <v>20</v>
      </c>
    </row>
    <row r="21" spans="1:24" x14ac:dyDescent="0.15">
      <c r="A21">
        <v>20</v>
      </c>
      <c r="B21">
        <v>2</v>
      </c>
      <c r="C21">
        <v>4</v>
      </c>
      <c r="D21" t="s">
        <v>58</v>
      </c>
      <c r="E21">
        <v>3</v>
      </c>
      <c r="F21" t="s">
        <v>21</v>
      </c>
      <c r="L21" t="s">
        <v>306</v>
      </c>
      <c r="M21" t="s">
        <v>319</v>
      </c>
      <c r="N21" t="s">
        <v>345</v>
      </c>
      <c r="O21">
        <v>1</v>
      </c>
      <c r="P21">
        <v>2</v>
      </c>
      <c r="Q21">
        <v>4</v>
      </c>
      <c r="X21">
        <v>21</v>
      </c>
    </row>
    <row r="22" spans="1:24" x14ac:dyDescent="0.15">
      <c r="A22">
        <v>21</v>
      </c>
      <c r="B22">
        <v>2</v>
      </c>
      <c r="C22">
        <v>5</v>
      </c>
      <c r="D22" t="s">
        <v>59</v>
      </c>
      <c r="E22">
        <v>3</v>
      </c>
      <c r="F22" t="s">
        <v>21</v>
      </c>
      <c r="L22" t="s">
        <v>307</v>
      </c>
      <c r="M22" t="s">
        <v>320</v>
      </c>
      <c r="N22" t="s">
        <v>346</v>
      </c>
      <c r="O22">
        <v>1</v>
      </c>
      <c r="P22">
        <v>2</v>
      </c>
      <c r="Q22">
        <v>4</v>
      </c>
      <c r="X22">
        <v>22</v>
      </c>
    </row>
    <row r="23" spans="1:24" s="5" customFormat="1" x14ac:dyDescent="0.15">
      <c r="A23" s="5">
        <v>22</v>
      </c>
      <c r="B23" s="5">
        <v>2</v>
      </c>
      <c r="C23" s="5">
        <v>6</v>
      </c>
      <c r="D23" s="5" t="s">
        <v>60</v>
      </c>
      <c r="E23" s="5">
        <v>0</v>
      </c>
      <c r="F23" s="5" t="s">
        <v>21</v>
      </c>
      <c r="L23" s="5" t="s">
        <v>308</v>
      </c>
      <c r="M23" s="5" t="s">
        <v>321</v>
      </c>
      <c r="N23" s="5" t="s">
        <v>347</v>
      </c>
      <c r="O23" s="5">
        <v>1</v>
      </c>
      <c r="P23" s="5">
        <v>2</v>
      </c>
      <c r="Q23" s="5">
        <v>6</v>
      </c>
      <c r="X23" s="5">
        <v>23</v>
      </c>
    </row>
    <row r="24" spans="1:24" x14ac:dyDescent="0.15">
      <c r="A24">
        <v>23</v>
      </c>
      <c r="B24">
        <v>2</v>
      </c>
      <c r="C24">
        <v>7</v>
      </c>
      <c r="D24" t="s">
        <v>61</v>
      </c>
      <c r="E24">
        <v>0</v>
      </c>
      <c r="F24" t="s">
        <v>21</v>
      </c>
      <c r="L24" t="s">
        <v>309</v>
      </c>
      <c r="M24" t="s">
        <v>322</v>
      </c>
      <c r="N24" t="s">
        <v>348</v>
      </c>
      <c r="O24">
        <v>2</v>
      </c>
      <c r="P24">
        <v>3</v>
      </c>
      <c r="Q24">
        <v>4</v>
      </c>
      <c r="W24">
        <v>30</v>
      </c>
      <c r="X24">
        <v>24</v>
      </c>
    </row>
    <row r="25" spans="1:24" x14ac:dyDescent="0.15">
      <c r="A25">
        <v>24</v>
      </c>
      <c r="B25">
        <v>2</v>
      </c>
      <c r="C25">
        <v>8</v>
      </c>
      <c r="D25" t="s">
        <v>61</v>
      </c>
      <c r="E25">
        <v>0</v>
      </c>
      <c r="F25" t="s">
        <v>21</v>
      </c>
      <c r="L25" t="s">
        <v>310</v>
      </c>
      <c r="M25" t="s">
        <v>323</v>
      </c>
      <c r="N25" t="s">
        <v>349</v>
      </c>
      <c r="O25">
        <v>2</v>
      </c>
      <c r="P25">
        <v>3</v>
      </c>
      <c r="Q25">
        <v>4</v>
      </c>
      <c r="X25">
        <v>25</v>
      </c>
    </row>
    <row r="26" spans="1:24" x14ac:dyDescent="0.15">
      <c r="A26">
        <v>25</v>
      </c>
      <c r="B26">
        <v>2</v>
      </c>
      <c r="C26">
        <v>9</v>
      </c>
      <c r="D26" t="s">
        <v>61</v>
      </c>
      <c r="E26">
        <v>0</v>
      </c>
      <c r="F26" t="s">
        <v>21</v>
      </c>
      <c r="L26" t="s">
        <v>311</v>
      </c>
      <c r="M26" t="s">
        <v>324</v>
      </c>
      <c r="N26" t="s">
        <v>350</v>
      </c>
      <c r="O26">
        <v>2</v>
      </c>
      <c r="P26">
        <v>3</v>
      </c>
      <c r="Q26">
        <v>4</v>
      </c>
      <c r="X26">
        <v>26</v>
      </c>
    </row>
    <row r="27" spans="1:24" s="5" customFormat="1" x14ac:dyDescent="0.15">
      <c r="A27" s="5">
        <v>26</v>
      </c>
      <c r="B27" s="5">
        <v>2</v>
      </c>
      <c r="C27" s="5">
        <v>10</v>
      </c>
      <c r="D27" s="5" t="s">
        <v>55</v>
      </c>
      <c r="E27" s="5">
        <v>0</v>
      </c>
      <c r="F27" s="5" t="s">
        <v>21</v>
      </c>
      <c r="L27" s="5" t="s">
        <v>137</v>
      </c>
      <c r="M27" s="5" t="s">
        <v>138</v>
      </c>
      <c r="N27" s="5" t="s">
        <v>139</v>
      </c>
      <c r="O27" s="5">
        <v>1</v>
      </c>
      <c r="P27" s="5">
        <v>2</v>
      </c>
      <c r="Q27" s="5">
        <v>4</v>
      </c>
      <c r="X27" s="5">
        <v>27</v>
      </c>
    </row>
    <row r="28" spans="1:24" s="5" customFormat="1" x14ac:dyDescent="0.15">
      <c r="A28" s="5">
        <v>27</v>
      </c>
      <c r="B28" s="5">
        <v>2</v>
      </c>
      <c r="C28" s="5">
        <v>11</v>
      </c>
      <c r="D28" s="5" t="s">
        <v>23</v>
      </c>
      <c r="E28" s="5">
        <v>3</v>
      </c>
      <c r="F28" s="5" t="s">
        <v>21</v>
      </c>
      <c r="L28" s="5" t="s">
        <v>168</v>
      </c>
      <c r="M28" s="5" t="s">
        <v>169</v>
      </c>
      <c r="N28" s="5" t="s">
        <v>170</v>
      </c>
      <c r="O28" s="5">
        <v>2</v>
      </c>
      <c r="P28" s="5">
        <v>3</v>
      </c>
      <c r="Q28" s="5">
        <v>4</v>
      </c>
      <c r="X28" s="5">
        <v>28</v>
      </c>
    </row>
    <row r="29" spans="1:24" s="5" customFormat="1" x14ac:dyDescent="0.15">
      <c r="A29" s="5">
        <v>28</v>
      </c>
      <c r="B29" s="5">
        <v>2</v>
      </c>
      <c r="C29" s="5">
        <v>12</v>
      </c>
      <c r="D29" s="5" t="s">
        <v>62</v>
      </c>
      <c r="E29" s="5">
        <v>0</v>
      </c>
      <c r="F29" s="5" t="s">
        <v>21</v>
      </c>
      <c r="L29" s="5" t="s">
        <v>140</v>
      </c>
      <c r="M29" s="5" t="s">
        <v>144</v>
      </c>
      <c r="N29" s="5" t="s">
        <v>167</v>
      </c>
      <c r="O29" s="5">
        <v>2</v>
      </c>
      <c r="P29" s="5">
        <v>3</v>
      </c>
      <c r="Q29" s="5">
        <v>6</v>
      </c>
      <c r="W29" s="5">
        <v>33</v>
      </c>
      <c r="X29" s="5">
        <v>29</v>
      </c>
    </row>
    <row r="30" spans="1:24" s="5" customFormat="1" x14ac:dyDescent="0.15">
      <c r="A30" s="5">
        <v>29</v>
      </c>
      <c r="B30" s="5">
        <v>2</v>
      </c>
      <c r="C30" s="5">
        <v>13</v>
      </c>
      <c r="D30" s="5" t="s">
        <v>63</v>
      </c>
      <c r="E30" s="5">
        <v>3</v>
      </c>
      <c r="F30" s="5" t="s">
        <v>40</v>
      </c>
      <c r="L30" s="5" t="s">
        <v>180</v>
      </c>
      <c r="M30" s="5" t="s">
        <v>181</v>
      </c>
      <c r="N30" s="5" t="s">
        <v>182</v>
      </c>
      <c r="O30" s="5">
        <v>2</v>
      </c>
      <c r="P30" s="5">
        <v>3</v>
      </c>
      <c r="Q30" s="5">
        <v>4</v>
      </c>
      <c r="X30" s="5" t="s">
        <v>89</v>
      </c>
    </row>
    <row r="31" spans="1:24" s="4" customFormat="1" x14ac:dyDescent="0.15">
      <c r="A31" s="4">
        <v>30</v>
      </c>
      <c r="B31" s="4">
        <v>2</v>
      </c>
      <c r="C31" s="4">
        <v>14</v>
      </c>
      <c r="D31" s="4" t="s">
        <v>64</v>
      </c>
      <c r="E31" s="4">
        <v>0</v>
      </c>
      <c r="F31" s="4" t="s">
        <v>38</v>
      </c>
      <c r="L31" s="4" t="s">
        <v>171</v>
      </c>
      <c r="M31" s="4" t="s">
        <v>172</v>
      </c>
      <c r="N31" s="4" t="s">
        <v>173</v>
      </c>
      <c r="O31" s="4">
        <v>3</v>
      </c>
      <c r="P31" s="4">
        <v>4</v>
      </c>
      <c r="Q31" s="4">
        <v>4</v>
      </c>
      <c r="X31" s="4">
        <v>31</v>
      </c>
    </row>
    <row r="32" spans="1:24" s="4" customFormat="1" x14ac:dyDescent="0.15">
      <c r="A32" s="4">
        <v>31</v>
      </c>
      <c r="B32" s="4">
        <v>2</v>
      </c>
      <c r="C32" s="4">
        <v>15</v>
      </c>
      <c r="D32" s="4" t="s">
        <v>64</v>
      </c>
      <c r="E32" s="4">
        <v>0</v>
      </c>
      <c r="F32" s="4" t="s">
        <v>21</v>
      </c>
      <c r="L32" s="4" t="s">
        <v>174</v>
      </c>
      <c r="M32" s="4" t="s">
        <v>175</v>
      </c>
      <c r="N32" s="4" t="s">
        <v>176</v>
      </c>
      <c r="O32" s="4">
        <v>3</v>
      </c>
      <c r="P32" s="4">
        <v>4</v>
      </c>
      <c r="Q32" s="4">
        <v>4</v>
      </c>
      <c r="X32" s="4">
        <v>32</v>
      </c>
    </row>
    <row r="33" spans="1:24" s="4" customFormat="1" x14ac:dyDescent="0.15">
      <c r="A33" s="4">
        <v>32</v>
      </c>
      <c r="B33" s="4">
        <v>2</v>
      </c>
      <c r="C33" s="4">
        <v>16</v>
      </c>
      <c r="D33" s="4" t="s">
        <v>64</v>
      </c>
      <c r="E33" s="4">
        <v>0</v>
      </c>
      <c r="F33" s="4" t="s">
        <v>21</v>
      </c>
      <c r="L33" s="4" t="s">
        <v>177</v>
      </c>
      <c r="M33" s="4" t="s">
        <v>178</v>
      </c>
      <c r="N33" s="4" t="s">
        <v>179</v>
      </c>
      <c r="O33" s="4">
        <v>3</v>
      </c>
      <c r="P33" s="4">
        <v>4</v>
      </c>
      <c r="Q33" s="4">
        <v>5</v>
      </c>
      <c r="X33" s="4" t="s">
        <v>89</v>
      </c>
    </row>
    <row r="34" spans="1:24" s="4" customFormat="1" x14ac:dyDescent="0.15">
      <c r="A34" s="4">
        <v>33</v>
      </c>
      <c r="B34" s="4">
        <v>2</v>
      </c>
      <c r="C34" s="4">
        <v>17</v>
      </c>
      <c r="D34" s="4" t="s">
        <v>62</v>
      </c>
      <c r="E34" s="4">
        <v>0</v>
      </c>
      <c r="F34" s="4" t="s">
        <v>38</v>
      </c>
      <c r="L34" s="4" t="s">
        <v>145</v>
      </c>
      <c r="M34" s="4" t="s">
        <v>146</v>
      </c>
      <c r="N34" s="4" t="s">
        <v>147</v>
      </c>
      <c r="O34" s="4">
        <v>3</v>
      </c>
      <c r="P34" s="4">
        <v>4</v>
      </c>
      <c r="Q34" s="4">
        <v>4</v>
      </c>
      <c r="X34" s="4">
        <v>34</v>
      </c>
    </row>
    <row r="35" spans="1:24" s="4" customFormat="1" x14ac:dyDescent="0.15">
      <c r="A35" s="4">
        <v>34</v>
      </c>
      <c r="B35" s="4">
        <v>2</v>
      </c>
      <c r="C35" s="4">
        <v>18</v>
      </c>
      <c r="D35" s="4" t="s">
        <v>62</v>
      </c>
      <c r="E35" s="4">
        <v>0</v>
      </c>
      <c r="F35" s="4" t="s">
        <v>21</v>
      </c>
      <c r="L35" s="4" t="s">
        <v>148</v>
      </c>
      <c r="M35" s="4" t="s">
        <v>149</v>
      </c>
      <c r="N35" s="4" t="s">
        <v>351</v>
      </c>
      <c r="O35" s="4">
        <v>3</v>
      </c>
      <c r="P35" s="4">
        <v>4</v>
      </c>
      <c r="Q35" s="4">
        <v>4</v>
      </c>
      <c r="X35" s="4">
        <v>35</v>
      </c>
    </row>
    <row r="36" spans="1:24" s="4" customFormat="1" x14ac:dyDescent="0.15">
      <c r="A36" s="4">
        <v>35</v>
      </c>
      <c r="B36" s="4">
        <v>2</v>
      </c>
      <c r="C36" s="4">
        <v>19</v>
      </c>
      <c r="D36" s="4" t="s">
        <v>62</v>
      </c>
      <c r="E36" s="4">
        <v>0</v>
      </c>
      <c r="F36" s="4" t="s">
        <v>21</v>
      </c>
      <c r="L36" s="4" t="s">
        <v>150</v>
      </c>
      <c r="M36" s="4" t="s">
        <v>325</v>
      </c>
      <c r="N36" s="4" t="s">
        <v>352</v>
      </c>
      <c r="O36" s="4">
        <v>3</v>
      </c>
      <c r="P36" s="4">
        <v>4</v>
      </c>
      <c r="Q36" s="4">
        <v>5</v>
      </c>
      <c r="X36" s="4" t="s">
        <v>89</v>
      </c>
    </row>
    <row r="37" spans="1:24" s="6" customFormat="1" x14ac:dyDescent="0.15">
      <c r="A37" s="6">
        <v>36</v>
      </c>
      <c r="B37" s="6">
        <v>3</v>
      </c>
      <c r="C37" s="6">
        <v>1</v>
      </c>
      <c r="D37" s="6" t="s">
        <v>57</v>
      </c>
      <c r="E37" s="6">
        <v>3</v>
      </c>
      <c r="F37" s="6" t="s">
        <v>21</v>
      </c>
      <c r="L37" s="6" t="s">
        <v>312</v>
      </c>
      <c r="M37" s="6" t="s">
        <v>326</v>
      </c>
      <c r="N37" s="6" t="s">
        <v>353</v>
      </c>
      <c r="O37" s="6">
        <v>2</v>
      </c>
      <c r="P37" s="6">
        <v>3</v>
      </c>
      <c r="Q37" s="6">
        <v>3</v>
      </c>
      <c r="X37" s="6">
        <v>37</v>
      </c>
    </row>
    <row r="38" spans="1:24" s="3" customFormat="1" x14ac:dyDescent="0.15">
      <c r="A38" s="3">
        <v>37</v>
      </c>
      <c r="B38" s="3">
        <v>3</v>
      </c>
      <c r="C38" s="3">
        <v>2</v>
      </c>
      <c r="D38" s="3" t="s">
        <v>58</v>
      </c>
      <c r="E38" s="3">
        <v>3</v>
      </c>
      <c r="F38" s="3" t="s">
        <v>21</v>
      </c>
      <c r="L38" s="3" t="s">
        <v>313</v>
      </c>
      <c r="M38" s="3" t="s">
        <v>327</v>
      </c>
      <c r="N38" s="3" t="s">
        <v>354</v>
      </c>
      <c r="O38" s="3">
        <v>2</v>
      </c>
      <c r="P38" s="3">
        <v>3</v>
      </c>
      <c r="Q38" s="3">
        <v>3</v>
      </c>
      <c r="X38" s="3">
        <v>38</v>
      </c>
    </row>
    <row r="39" spans="1:24" s="3" customFormat="1" x14ac:dyDescent="0.15">
      <c r="A39" s="3">
        <v>38</v>
      </c>
      <c r="B39" s="3">
        <v>3</v>
      </c>
      <c r="C39" s="3">
        <v>3</v>
      </c>
      <c r="D39" s="3" t="s">
        <v>59</v>
      </c>
      <c r="E39" s="3">
        <v>3</v>
      </c>
      <c r="F39" s="3" t="s">
        <v>21</v>
      </c>
      <c r="L39" s="3" t="s">
        <v>314</v>
      </c>
      <c r="M39" s="3" t="s">
        <v>328</v>
      </c>
      <c r="N39" s="3" t="s">
        <v>355</v>
      </c>
      <c r="O39" s="3">
        <v>2</v>
      </c>
      <c r="P39" s="3">
        <v>3</v>
      </c>
      <c r="Q39" s="3">
        <v>3</v>
      </c>
      <c r="X39" s="3">
        <v>39</v>
      </c>
    </row>
    <row r="40" spans="1:24" s="3" customFormat="1" x14ac:dyDescent="0.15">
      <c r="A40" s="3">
        <v>39</v>
      </c>
      <c r="B40" s="3">
        <v>3</v>
      </c>
      <c r="C40" s="3">
        <v>4</v>
      </c>
      <c r="D40" s="3" t="s">
        <v>65</v>
      </c>
      <c r="E40" s="3">
        <v>3</v>
      </c>
      <c r="F40" s="3" t="s">
        <v>21</v>
      </c>
      <c r="L40" s="3" t="s">
        <v>183</v>
      </c>
      <c r="M40" s="3" t="s">
        <v>185</v>
      </c>
      <c r="N40" s="3" t="s">
        <v>186</v>
      </c>
      <c r="O40" s="3">
        <v>2</v>
      </c>
      <c r="P40" s="3">
        <v>3</v>
      </c>
      <c r="Q40" s="3">
        <v>3</v>
      </c>
      <c r="X40" s="3">
        <v>40</v>
      </c>
    </row>
    <row r="41" spans="1:24" s="3" customFormat="1" x14ac:dyDescent="0.15">
      <c r="A41" s="3">
        <v>40</v>
      </c>
      <c r="B41" s="3">
        <v>3</v>
      </c>
      <c r="C41" s="3">
        <v>5</v>
      </c>
      <c r="D41" s="3" t="s">
        <v>66</v>
      </c>
      <c r="E41" s="3">
        <v>3</v>
      </c>
      <c r="F41" s="3" t="s">
        <v>21</v>
      </c>
      <c r="L41" s="3" t="s">
        <v>315</v>
      </c>
      <c r="M41" s="3" t="s">
        <v>329</v>
      </c>
      <c r="N41" s="3" t="s">
        <v>356</v>
      </c>
      <c r="O41" s="3">
        <v>2</v>
      </c>
      <c r="P41" s="3">
        <v>3</v>
      </c>
      <c r="Q41" s="3">
        <v>3</v>
      </c>
      <c r="X41" s="3">
        <v>41</v>
      </c>
    </row>
    <row r="42" spans="1:24" s="3" customFormat="1" x14ac:dyDescent="0.15">
      <c r="A42" s="3">
        <v>41</v>
      </c>
      <c r="B42" s="3">
        <v>3</v>
      </c>
      <c r="C42" s="3">
        <v>6</v>
      </c>
      <c r="D42" s="3" t="s">
        <v>67</v>
      </c>
      <c r="E42" s="3">
        <v>3</v>
      </c>
      <c r="F42" s="3" t="s">
        <v>21</v>
      </c>
      <c r="L42" s="3" t="s">
        <v>187</v>
      </c>
      <c r="M42" s="3" t="s">
        <v>188</v>
      </c>
      <c r="N42" s="3" t="s">
        <v>189</v>
      </c>
      <c r="O42" s="3">
        <v>2</v>
      </c>
      <c r="P42" s="3">
        <v>3</v>
      </c>
      <c r="Q42" s="3">
        <v>4</v>
      </c>
      <c r="X42" s="3">
        <v>42</v>
      </c>
    </row>
    <row r="43" spans="1:24" s="5" customFormat="1" x14ac:dyDescent="0.15">
      <c r="A43" s="5">
        <v>42</v>
      </c>
      <c r="B43" s="5">
        <v>3</v>
      </c>
      <c r="C43" s="5">
        <v>7</v>
      </c>
      <c r="D43" s="5" t="s">
        <v>25</v>
      </c>
      <c r="E43" s="5">
        <v>3</v>
      </c>
      <c r="F43" s="5" t="s">
        <v>21</v>
      </c>
      <c r="L43" s="5" t="s">
        <v>201</v>
      </c>
      <c r="M43" s="5" t="s">
        <v>202</v>
      </c>
      <c r="N43" s="5" t="s">
        <v>203</v>
      </c>
      <c r="O43" s="5">
        <v>2</v>
      </c>
      <c r="P43" s="5">
        <v>3</v>
      </c>
      <c r="Q43" s="5">
        <v>4</v>
      </c>
      <c r="W43" s="5">
        <v>46</v>
      </c>
      <c r="X43" s="5">
        <v>43</v>
      </c>
    </row>
    <row r="44" spans="1:24" x14ac:dyDescent="0.15">
      <c r="A44">
        <v>43</v>
      </c>
      <c r="B44">
        <v>3</v>
      </c>
      <c r="C44" s="3">
        <v>8</v>
      </c>
      <c r="D44" t="s">
        <v>68</v>
      </c>
      <c r="E44" s="3">
        <v>3</v>
      </c>
      <c r="F44" t="s">
        <v>87</v>
      </c>
      <c r="L44" t="s">
        <v>210</v>
      </c>
      <c r="M44" t="s">
        <v>211</v>
      </c>
      <c r="N44" t="s">
        <v>212</v>
      </c>
      <c r="O44" s="3">
        <v>2</v>
      </c>
      <c r="P44" s="3">
        <v>3</v>
      </c>
      <c r="Q44" s="3">
        <v>4</v>
      </c>
      <c r="X44" s="3">
        <v>44</v>
      </c>
    </row>
    <row r="45" spans="1:24" s="5" customFormat="1" x14ac:dyDescent="0.15">
      <c r="A45" s="5">
        <v>44</v>
      </c>
      <c r="B45" s="5">
        <v>3</v>
      </c>
      <c r="C45" s="5">
        <v>9</v>
      </c>
      <c r="D45" s="5" t="s">
        <v>69</v>
      </c>
      <c r="E45" s="5">
        <v>3</v>
      </c>
      <c r="F45" s="5" t="s">
        <v>21</v>
      </c>
      <c r="L45" s="5" t="s">
        <v>213</v>
      </c>
      <c r="M45" s="5" t="s">
        <v>214</v>
      </c>
      <c r="N45" s="5" t="s">
        <v>215</v>
      </c>
      <c r="O45" s="5">
        <v>3</v>
      </c>
      <c r="P45" s="5">
        <v>3</v>
      </c>
      <c r="Q45" s="5">
        <v>5</v>
      </c>
      <c r="X45" s="5">
        <v>45</v>
      </c>
    </row>
    <row r="46" spans="1:24" s="5" customFormat="1" x14ac:dyDescent="0.15">
      <c r="A46" s="5">
        <v>45</v>
      </c>
      <c r="B46" s="5">
        <v>3</v>
      </c>
      <c r="C46" s="5">
        <v>10</v>
      </c>
      <c r="D46" s="5" t="s">
        <v>62</v>
      </c>
      <c r="E46" s="5">
        <v>0</v>
      </c>
      <c r="F46" s="5" t="s">
        <v>21</v>
      </c>
      <c r="L46" s="5" t="s">
        <v>141</v>
      </c>
      <c r="M46" s="5" t="s">
        <v>151</v>
      </c>
      <c r="N46" s="5" t="s">
        <v>152</v>
      </c>
      <c r="O46" s="5">
        <v>3</v>
      </c>
      <c r="P46" s="5">
        <v>3</v>
      </c>
      <c r="Q46" s="5">
        <v>5</v>
      </c>
      <c r="W46" s="5">
        <v>48</v>
      </c>
      <c r="X46" s="5" t="s">
        <v>89</v>
      </c>
    </row>
    <row r="47" spans="1:24" s="4" customFormat="1" x14ac:dyDescent="0.15">
      <c r="A47" s="4">
        <v>46</v>
      </c>
      <c r="B47" s="4">
        <v>3</v>
      </c>
      <c r="C47" s="4">
        <v>11</v>
      </c>
      <c r="D47" s="4" t="s">
        <v>25</v>
      </c>
      <c r="E47" s="4">
        <v>3</v>
      </c>
      <c r="F47" s="4" t="s">
        <v>38</v>
      </c>
      <c r="L47" s="4" t="s">
        <v>204</v>
      </c>
      <c r="M47" s="4" t="s">
        <v>205</v>
      </c>
      <c r="N47" s="4" t="s">
        <v>206</v>
      </c>
      <c r="O47" s="4">
        <v>3</v>
      </c>
      <c r="P47" s="4">
        <v>4</v>
      </c>
      <c r="Q47" s="4">
        <v>4</v>
      </c>
      <c r="X47" s="4">
        <v>47</v>
      </c>
    </row>
    <row r="48" spans="1:24" s="4" customFormat="1" x14ac:dyDescent="0.15">
      <c r="A48" s="4">
        <v>47</v>
      </c>
      <c r="B48" s="4">
        <v>3</v>
      </c>
      <c r="C48" s="4">
        <v>12</v>
      </c>
      <c r="D48" s="4" t="s">
        <v>25</v>
      </c>
      <c r="E48" s="4">
        <v>3</v>
      </c>
      <c r="F48" s="4" t="s">
        <v>21</v>
      </c>
      <c r="L48" s="4" t="s">
        <v>207</v>
      </c>
      <c r="M48" s="4" t="s">
        <v>208</v>
      </c>
      <c r="N48" s="4" t="s">
        <v>209</v>
      </c>
      <c r="O48" s="4">
        <v>3</v>
      </c>
      <c r="P48" s="4">
        <v>4</v>
      </c>
      <c r="Q48" s="4">
        <v>5</v>
      </c>
      <c r="X48" s="4" t="s">
        <v>89</v>
      </c>
    </row>
    <row r="49" spans="1:24" s="4" customFormat="1" x14ac:dyDescent="0.15">
      <c r="A49" s="4">
        <v>48</v>
      </c>
      <c r="B49" s="4">
        <v>3</v>
      </c>
      <c r="C49" s="4">
        <v>13</v>
      </c>
      <c r="D49" s="4" t="s">
        <v>62</v>
      </c>
      <c r="E49" s="4">
        <v>0</v>
      </c>
      <c r="F49" s="4" t="s">
        <v>88</v>
      </c>
      <c r="L49" s="4" t="s">
        <v>153</v>
      </c>
      <c r="M49" s="4" t="s">
        <v>154</v>
      </c>
      <c r="N49" s="4" t="s">
        <v>155</v>
      </c>
      <c r="O49" s="4">
        <v>3</v>
      </c>
      <c r="P49" s="4">
        <v>4</v>
      </c>
      <c r="Q49" s="4">
        <v>4</v>
      </c>
      <c r="X49" s="4">
        <v>49</v>
      </c>
    </row>
    <row r="50" spans="1:24" s="4" customFormat="1" x14ac:dyDescent="0.15">
      <c r="A50" s="4">
        <v>49</v>
      </c>
      <c r="B50" s="4">
        <v>3</v>
      </c>
      <c r="C50" s="4">
        <v>14</v>
      </c>
      <c r="D50" s="4" t="s">
        <v>62</v>
      </c>
      <c r="E50" s="4">
        <v>0</v>
      </c>
      <c r="F50" s="4" t="s">
        <v>21</v>
      </c>
      <c r="L50" s="4" t="s">
        <v>156</v>
      </c>
      <c r="M50" s="4" t="s">
        <v>157</v>
      </c>
      <c r="N50" s="4" t="s">
        <v>158</v>
      </c>
      <c r="O50" s="4">
        <v>3</v>
      </c>
      <c r="P50" s="4">
        <v>4</v>
      </c>
      <c r="Q50" s="4">
        <v>5</v>
      </c>
      <c r="X50" s="4" t="s">
        <v>89</v>
      </c>
    </row>
    <row r="51" spans="1:24" s="6" customFormat="1" x14ac:dyDescent="0.15">
      <c r="A51" s="6">
        <v>50</v>
      </c>
      <c r="B51" s="6">
        <v>4</v>
      </c>
      <c r="C51" s="6">
        <v>1</v>
      </c>
      <c r="D51" s="6" t="s">
        <v>70</v>
      </c>
      <c r="E51" s="6">
        <v>3</v>
      </c>
      <c r="F51" s="6" t="s">
        <v>21</v>
      </c>
      <c r="L51" s="6" t="s">
        <v>184</v>
      </c>
      <c r="M51" s="6" t="s">
        <v>330</v>
      </c>
      <c r="N51" s="6" t="s">
        <v>357</v>
      </c>
      <c r="O51" s="6">
        <v>3</v>
      </c>
      <c r="P51" s="6">
        <v>3</v>
      </c>
      <c r="Q51" s="6">
        <v>4</v>
      </c>
      <c r="X51" s="6">
        <v>51</v>
      </c>
    </row>
    <row r="52" spans="1:24" s="3" customFormat="1" x14ac:dyDescent="0.15">
      <c r="A52" s="3">
        <v>51</v>
      </c>
      <c r="B52" s="3">
        <v>4</v>
      </c>
      <c r="C52" s="3">
        <v>2</v>
      </c>
      <c r="D52" s="3" t="s">
        <v>66</v>
      </c>
      <c r="E52" s="3">
        <v>3</v>
      </c>
      <c r="F52" s="3" t="s">
        <v>21</v>
      </c>
      <c r="L52" s="3" t="s">
        <v>190</v>
      </c>
      <c r="M52" s="3" t="s">
        <v>331</v>
      </c>
      <c r="N52" s="3" t="s">
        <v>358</v>
      </c>
      <c r="O52" s="3">
        <v>3</v>
      </c>
      <c r="P52" s="3">
        <v>3</v>
      </c>
      <c r="Q52" s="3">
        <v>4</v>
      </c>
      <c r="X52" s="3">
        <v>52</v>
      </c>
    </row>
    <row r="53" spans="1:24" s="3" customFormat="1" x14ac:dyDescent="0.15">
      <c r="A53" s="3">
        <v>52</v>
      </c>
      <c r="B53" s="3">
        <v>4</v>
      </c>
      <c r="C53" s="3">
        <v>3</v>
      </c>
      <c r="D53" s="3" t="s">
        <v>67</v>
      </c>
      <c r="E53" s="3">
        <v>3</v>
      </c>
      <c r="F53" s="3" t="s">
        <v>21</v>
      </c>
      <c r="L53" s="3" t="s">
        <v>191</v>
      </c>
      <c r="M53" s="3" t="s">
        <v>192</v>
      </c>
      <c r="N53" s="3" t="s">
        <v>193</v>
      </c>
      <c r="O53" s="3">
        <v>3</v>
      </c>
      <c r="P53" s="3">
        <v>4</v>
      </c>
      <c r="Q53" s="3">
        <v>5</v>
      </c>
      <c r="X53" s="3">
        <v>53</v>
      </c>
    </row>
    <row r="54" spans="1:24" s="3" customFormat="1" x14ac:dyDescent="0.15">
      <c r="A54" s="3">
        <v>53</v>
      </c>
      <c r="B54" s="3">
        <v>4</v>
      </c>
      <c r="C54" s="3">
        <v>4</v>
      </c>
      <c r="D54" s="3" t="s">
        <v>71</v>
      </c>
      <c r="E54" s="3">
        <v>3</v>
      </c>
      <c r="F54" s="3" t="s">
        <v>21</v>
      </c>
      <c r="L54" s="3" t="s">
        <v>216</v>
      </c>
      <c r="M54" s="3" t="s">
        <v>217</v>
      </c>
      <c r="N54" s="3" t="s">
        <v>218</v>
      </c>
      <c r="O54" s="3">
        <v>3</v>
      </c>
      <c r="P54" s="3">
        <v>4</v>
      </c>
      <c r="Q54" s="3">
        <v>4</v>
      </c>
      <c r="X54" s="3">
        <v>54</v>
      </c>
    </row>
    <row r="55" spans="1:24" s="3" customFormat="1" x14ac:dyDescent="0.15">
      <c r="A55" s="3">
        <v>54</v>
      </c>
      <c r="B55" s="3">
        <v>4</v>
      </c>
      <c r="C55" s="3">
        <v>5</v>
      </c>
      <c r="D55" s="3" t="s">
        <v>72</v>
      </c>
      <c r="E55" s="3">
        <v>3</v>
      </c>
      <c r="F55" s="3" t="s">
        <v>87</v>
      </c>
      <c r="L55" s="3" t="s">
        <v>219</v>
      </c>
      <c r="M55" s="3" t="s">
        <v>220</v>
      </c>
      <c r="N55" s="3" t="s">
        <v>221</v>
      </c>
      <c r="O55" s="3">
        <v>3</v>
      </c>
      <c r="P55" s="3">
        <v>4</v>
      </c>
      <c r="Q55" s="3">
        <v>4</v>
      </c>
      <c r="X55" s="3">
        <v>55</v>
      </c>
    </row>
    <row r="56" spans="1:24" s="5" customFormat="1" x14ac:dyDescent="0.15">
      <c r="A56" s="5">
        <v>55</v>
      </c>
      <c r="B56" s="5">
        <v>4</v>
      </c>
      <c r="C56" s="5">
        <v>6</v>
      </c>
      <c r="D56" s="5" t="s">
        <v>26</v>
      </c>
      <c r="E56" s="5">
        <v>3</v>
      </c>
      <c r="F56" s="5" t="s">
        <v>21</v>
      </c>
      <c r="L56" s="5" t="s">
        <v>228</v>
      </c>
      <c r="M56" s="5" t="s">
        <v>229</v>
      </c>
      <c r="N56" s="5" t="s">
        <v>230</v>
      </c>
      <c r="O56" s="5">
        <v>3</v>
      </c>
      <c r="P56" s="5">
        <v>4</v>
      </c>
      <c r="Q56" s="5">
        <v>5</v>
      </c>
      <c r="X56" s="5">
        <v>56</v>
      </c>
    </row>
    <row r="57" spans="1:24" x14ac:dyDescent="0.15">
      <c r="A57">
        <v>56</v>
      </c>
      <c r="B57" s="3">
        <v>4</v>
      </c>
      <c r="C57" s="3">
        <v>7</v>
      </c>
      <c r="D57" t="s">
        <v>26</v>
      </c>
      <c r="E57" s="3">
        <v>3</v>
      </c>
      <c r="F57" s="3" t="s">
        <v>21</v>
      </c>
      <c r="G57" s="3"/>
      <c r="H57" s="3"/>
      <c r="I57" s="3"/>
      <c r="J57" s="3"/>
      <c r="K57" s="3"/>
      <c r="L57" s="3" t="s">
        <v>231</v>
      </c>
      <c r="M57" t="s">
        <v>232</v>
      </c>
      <c r="N57" t="s">
        <v>233</v>
      </c>
      <c r="O57" s="3">
        <v>3</v>
      </c>
      <c r="P57" s="3">
        <v>4</v>
      </c>
      <c r="Q57" s="3">
        <v>5</v>
      </c>
      <c r="X57" s="3">
        <v>57</v>
      </c>
    </row>
    <row r="58" spans="1:24" x14ac:dyDescent="0.15">
      <c r="A58">
        <v>57</v>
      </c>
      <c r="B58" s="3">
        <v>4</v>
      </c>
      <c r="C58" s="3">
        <v>8</v>
      </c>
      <c r="D58" t="s">
        <v>73</v>
      </c>
      <c r="E58" s="3">
        <v>3</v>
      </c>
      <c r="F58" s="3" t="s">
        <v>21</v>
      </c>
      <c r="G58" s="3"/>
      <c r="H58" s="3"/>
      <c r="I58" s="3"/>
      <c r="J58" s="3"/>
      <c r="K58" s="3"/>
      <c r="L58" s="3" t="s">
        <v>222</v>
      </c>
      <c r="M58" s="3" t="s">
        <v>223</v>
      </c>
      <c r="N58" s="3" t="s">
        <v>234</v>
      </c>
      <c r="O58" s="3">
        <v>3</v>
      </c>
      <c r="P58" s="3">
        <v>4</v>
      </c>
      <c r="Q58" s="3">
        <v>5</v>
      </c>
      <c r="X58" s="3">
        <v>58</v>
      </c>
    </row>
    <row r="59" spans="1:24" x14ac:dyDescent="0.15">
      <c r="A59">
        <v>58</v>
      </c>
      <c r="B59" s="3">
        <v>4</v>
      </c>
      <c r="C59" s="3">
        <v>9</v>
      </c>
      <c r="D59" t="s">
        <v>73</v>
      </c>
      <c r="E59" s="3">
        <v>3</v>
      </c>
      <c r="F59" s="3" t="s">
        <v>21</v>
      </c>
      <c r="G59" s="3"/>
      <c r="H59" s="3"/>
      <c r="I59" s="3"/>
      <c r="J59" s="3"/>
      <c r="K59" s="3"/>
      <c r="L59" s="3" t="s">
        <v>224</v>
      </c>
      <c r="M59" s="3" t="s">
        <v>225</v>
      </c>
      <c r="N59" s="3" t="s">
        <v>235</v>
      </c>
      <c r="O59" s="3">
        <v>3</v>
      </c>
      <c r="P59" s="3">
        <v>4</v>
      </c>
      <c r="Q59" s="3">
        <v>5</v>
      </c>
      <c r="X59" s="3">
        <v>59</v>
      </c>
    </row>
    <row r="60" spans="1:24" s="5" customFormat="1" x14ac:dyDescent="0.15">
      <c r="A60" s="5">
        <v>59</v>
      </c>
      <c r="B60" s="5">
        <v>4</v>
      </c>
      <c r="C60" s="5">
        <v>10</v>
      </c>
      <c r="D60" s="5" t="s">
        <v>27</v>
      </c>
      <c r="E60" s="5">
        <v>3</v>
      </c>
      <c r="F60" s="5" t="s">
        <v>21</v>
      </c>
      <c r="L60" s="5" t="s">
        <v>226</v>
      </c>
      <c r="M60" s="5" t="s">
        <v>227</v>
      </c>
      <c r="N60" s="5" t="s">
        <v>236</v>
      </c>
      <c r="O60" s="5">
        <v>3</v>
      </c>
      <c r="P60" s="5">
        <v>4</v>
      </c>
      <c r="Q60" s="5">
        <v>6</v>
      </c>
      <c r="X60" s="5" t="s">
        <v>92</v>
      </c>
    </row>
    <row r="61" spans="1:24" s="6" customFormat="1" x14ac:dyDescent="0.15">
      <c r="A61" s="6">
        <v>60</v>
      </c>
      <c r="B61" s="6">
        <v>5</v>
      </c>
      <c r="C61" s="6">
        <v>1</v>
      </c>
      <c r="D61" s="6" t="s">
        <v>56</v>
      </c>
      <c r="E61" s="6">
        <v>0</v>
      </c>
      <c r="F61" s="6" t="s">
        <v>21</v>
      </c>
      <c r="L61" s="6" t="s">
        <v>161</v>
      </c>
      <c r="M61" s="6" t="s">
        <v>162</v>
      </c>
      <c r="N61" s="6" t="s">
        <v>163</v>
      </c>
      <c r="O61" s="6">
        <v>3</v>
      </c>
      <c r="P61" s="6">
        <v>3</v>
      </c>
      <c r="Q61" s="6">
        <v>4</v>
      </c>
      <c r="X61" s="6">
        <v>61</v>
      </c>
    </row>
    <row r="62" spans="1:24" x14ac:dyDescent="0.15">
      <c r="A62">
        <v>61</v>
      </c>
      <c r="B62" s="3">
        <v>5</v>
      </c>
      <c r="C62" s="3">
        <v>2</v>
      </c>
      <c r="D62" s="3" t="s">
        <v>67</v>
      </c>
      <c r="E62" s="3">
        <v>3</v>
      </c>
      <c r="F62" t="s">
        <v>21</v>
      </c>
      <c r="L62" t="s">
        <v>194</v>
      </c>
      <c r="M62" t="s">
        <v>195</v>
      </c>
      <c r="N62" t="s">
        <v>196</v>
      </c>
      <c r="O62" s="3">
        <v>3</v>
      </c>
      <c r="P62" s="3">
        <v>3</v>
      </c>
      <c r="Q62" s="3">
        <v>4</v>
      </c>
      <c r="X62" s="3">
        <v>62</v>
      </c>
    </row>
    <row r="63" spans="1:24" x14ac:dyDescent="0.15">
      <c r="A63">
        <v>62</v>
      </c>
      <c r="B63" s="3">
        <v>5</v>
      </c>
      <c r="C63" s="3">
        <v>3</v>
      </c>
      <c r="D63" s="3" t="s">
        <v>67</v>
      </c>
      <c r="E63" s="3">
        <v>3</v>
      </c>
      <c r="F63" t="s">
        <v>21</v>
      </c>
      <c r="L63" t="s">
        <v>197</v>
      </c>
      <c r="M63" t="s">
        <v>198</v>
      </c>
      <c r="N63" t="s">
        <v>199</v>
      </c>
      <c r="O63" s="3">
        <v>3</v>
      </c>
      <c r="P63" s="3">
        <v>4</v>
      </c>
      <c r="Q63" s="3">
        <v>5</v>
      </c>
      <c r="X63" s="3">
        <v>63</v>
      </c>
    </row>
    <row r="64" spans="1:24" x14ac:dyDescent="0.15">
      <c r="A64">
        <v>63</v>
      </c>
      <c r="B64" s="3">
        <v>5</v>
      </c>
      <c r="C64" s="3">
        <v>4</v>
      </c>
      <c r="D64" t="s">
        <v>59</v>
      </c>
      <c r="E64" s="3">
        <v>3</v>
      </c>
      <c r="F64" t="s">
        <v>21</v>
      </c>
      <c r="L64" t="s">
        <v>200</v>
      </c>
      <c r="M64" t="s">
        <v>332</v>
      </c>
      <c r="N64" t="s">
        <v>359</v>
      </c>
      <c r="O64" s="3">
        <v>3</v>
      </c>
      <c r="P64" s="3">
        <v>4</v>
      </c>
      <c r="Q64" s="3">
        <v>5</v>
      </c>
      <c r="X64" s="3">
        <v>64</v>
      </c>
    </row>
    <row r="65" spans="1:24" s="5" customFormat="1" x14ac:dyDescent="0.15">
      <c r="A65" s="5">
        <v>64</v>
      </c>
      <c r="B65" s="5">
        <v>5</v>
      </c>
      <c r="C65" s="5">
        <v>5</v>
      </c>
      <c r="D65" s="5" t="s">
        <v>74</v>
      </c>
      <c r="E65" s="5">
        <v>3</v>
      </c>
      <c r="F65" s="5" t="s">
        <v>21</v>
      </c>
      <c r="L65" s="5" t="s">
        <v>237</v>
      </c>
      <c r="M65" s="5" t="s">
        <v>238</v>
      </c>
      <c r="N65" s="5" t="s">
        <v>239</v>
      </c>
      <c r="O65" s="5">
        <v>3</v>
      </c>
      <c r="P65" s="5">
        <v>4</v>
      </c>
      <c r="Q65" s="5">
        <v>5</v>
      </c>
      <c r="W65" s="5">
        <v>68</v>
      </c>
      <c r="X65" s="5">
        <v>65</v>
      </c>
    </row>
    <row r="66" spans="1:24" s="5" customFormat="1" x14ac:dyDescent="0.15">
      <c r="A66" s="5">
        <v>65</v>
      </c>
      <c r="B66" s="5">
        <v>5</v>
      </c>
      <c r="C66" s="5">
        <v>6</v>
      </c>
      <c r="D66" s="5" t="s">
        <v>75</v>
      </c>
      <c r="E66" s="5">
        <v>3</v>
      </c>
      <c r="F66" s="5" t="s">
        <v>21</v>
      </c>
      <c r="L66" s="5" t="s">
        <v>248</v>
      </c>
      <c r="M66" s="5" t="s">
        <v>249</v>
      </c>
      <c r="N66" s="5" t="s">
        <v>250</v>
      </c>
      <c r="O66" s="5">
        <v>3</v>
      </c>
      <c r="P66" s="5">
        <v>4</v>
      </c>
      <c r="Q66" s="5">
        <v>6</v>
      </c>
      <c r="W66" s="5">
        <v>71</v>
      </c>
      <c r="X66" s="5">
        <v>66</v>
      </c>
    </row>
    <row r="67" spans="1:24" x14ac:dyDescent="0.15">
      <c r="A67">
        <v>66</v>
      </c>
      <c r="B67" s="3">
        <v>5</v>
      </c>
      <c r="C67" s="3">
        <v>7</v>
      </c>
      <c r="D67" t="s">
        <v>76</v>
      </c>
      <c r="E67" s="3">
        <v>0</v>
      </c>
      <c r="F67" t="s">
        <v>87</v>
      </c>
      <c r="L67" t="s">
        <v>257</v>
      </c>
      <c r="M67" t="s">
        <v>258</v>
      </c>
      <c r="N67" t="s">
        <v>259</v>
      </c>
      <c r="O67" s="3">
        <v>4</v>
      </c>
      <c r="P67" s="3">
        <v>5</v>
      </c>
      <c r="Q67" s="3">
        <v>6</v>
      </c>
      <c r="X67" s="3">
        <v>67</v>
      </c>
    </row>
    <row r="68" spans="1:24" s="5" customFormat="1" x14ac:dyDescent="0.15">
      <c r="A68" s="5">
        <v>67</v>
      </c>
      <c r="B68" s="5">
        <v>5</v>
      </c>
      <c r="C68" s="5">
        <v>8</v>
      </c>
      <c r="D68" s="5" t="s">
        <v>76</v>
      </c>
      <c r="E68" s="5">
        <v>0</v>
      </c>
      <c r="F68" s="5" t="s">
        <v>21</v>
      </c>
      <c r="L68" s="5" t="s">
        <v>260</v>
      </c>
      <c r="M68" s="5" t="s">
        <v>333</v>
      </c>
      <c r="N68" s="5" t="s">
        <v>261</v>
      </c>
      <c r="O68" s="5">
        <v>4</v>
      </c>
      <c r="P68" s="5">
        <v>5</v>
      </c>
      <c r="Q68" s="5">
        <v>7</v>
      </c>
      <c r="X68" s="5" t="s">
        <v>92</v>
      </c>
    </row>
    <row r="69" spans="1:24" s="4" customFormat="1" x14ac:dyDescent="0.15">
      <c r="A69" s="4">
        <v>68</v>
      </c>
      <c r="B69" s="4">
        <v>5</v>
      </c>
      <c r="C69" s="4">
        <v>9</v>
      </c>
      <c r="D69" s="4" t="s">
        <v>74</v>
      </c>
      <c r="E69" s="4">
        <v>3</v>
      </c>
      <c r="F69" s="4" t="s">
        <v>88</v>
      </c>
      <c r="L69" s="4" t="s">
        <v>240</v>
      </c>
      <c r="M69" s="4" t="s">
        <v>241</v>
      </c>
      <c r="N69" s="4" t="s">
        <v>242</v>
      </c>
      <c r="O69" s="4">
        <v>3</v>
      </c>
      <c r="P69" s="4">
        <v>5</v>
      </c>
      <c r="Q69" s="4">
        <v>7</v>
      </c>
      <c r="X69" s="4">
        <v>69</v>
      </c>
    </row>
    <row r="70" spans="1:24" s="4" customFormat="1" x14ac:dyDescent="0.15">
      <c r="A70" s="4">
        <v>69</v>
      </c>
      <c r="B70" s="4">
        <v>5</v>
      </c>
      <c r="C70" s="4">
        <v>10</v>
      </c>
      <c r="D70" s="4" t="s">
        <v>74</v>
      </c>
      <c r="E70" s="4">
        <v>3</v>
      </c>
      <c r="F70" s="4" t="s">
        <v>21</v>
      </c>
      <c r="L70" s="4" t="s">
        <v>243</v>
      </c>
      <c r="M70" s="4" t="s">
        <v>244</v>
      </c>
      <c r="N70" s="4" t="s">
        <v>245</v>
      </c>
      <c r="O70" s="4">
        <v>4</v>
      </c>
      <c r="P70" s="4">
        <v>5</v>
      </c>
      <c r="Q70" s="4">
        <v>7</v>
      </c>
      <c r="X70" s="4">
        <v>70</v>
      </c>
    </row>
    <row r="71" spans="1:24" s="4" customFormat="1" x14ac:dyDescent="0.15">
      <c r="A71" s="4">
        <v>70</v>
      </c>
      <c r="B71" s="4">
        <v>5</v>
      </c>
      <c r="C71" s="4">
        <v>11</v>
      </c>
      <c r="D71" s="4" t="s">
        <v>74</v>
      </c>
      <c r="E71" s="4">
        <v>3</v>
      </c>
      <c r="F71" s="4" t="s">
        <v>21</v>
      </c>
      <c r="L71" s="4" t="s">
        <v>246</v>
      </c>
      <c r="M71" s="4" t="s">
        <v>247</v>
      </c>
      <c r="N71" s="4" t="s">
        <v>251</v>
      </c>
      <c r="O71" s="4">
        <v>4</v>
      </c>
      <c r="P71" s="4">
        <v>6</v>
      </c>
      <c r="Q71" s="4">
        <v>8</v>
      </c>
      <c r="X71" s="4" t="s">
        <v>89</v>
      </c>
    </row>
    <row r="72" spans="1:24" s="4" customFormat="1" x14ac:dyDescent="0.15">
      <c r="A72" s="4">
        <v>71</v>
      </c>
      <c r="B72" s="4">
        <v>5</v>
      </c>
      <c r="C72" s="4">
        <v>12</v>
      </c>
      <c r="D72" s="4" t="s">
        <v>75</v>
      </c>
      <c r="E72" s="4">
        <v>3</v>
      </c>
      <c r="F72" s="4" t="s">
        <v>37</v>
      </c>
      <c r="L72" s="4" t="s">
        <v>252</v>
      </c>
      <c r="M72" s="4" t="s">
        <v>253</v>
      </c>
      <c r="N72" s="4" t="s">
        <v>254</v>
      </c>
      <c r="O72" s="4">
        <v>3</v>
      </c>
      <c r="P72" s="4">
        <v>4</v>
      </c>
      <c r="Q72" s="4">
        <v>6</v>
      </c>
      <c r="X72" s="4">
        <v>72</v>
      </c>
    </row>
    <row r="73" spans="1:24" s="4" customFormat="1" x14ac:dyDescent="0.15">
      <c r="A73" s="4">
        <v>72</v>
      </c>
      <c r="B73" s="4">
        <v>5</v>
      </c>
      <c r="C73" s="4">
        <v>13</v>
      </c>
      <c r="D73" s="4" t="s">
        <v>75</v>
      </c>
      <c r="E73" s="4">
        <v>3</v>
      </c>
      <c r="F73" s="4" t="s">
        <v>87</v>
      </c>
      <c r="L73" s="4" t="s">
        <v>255</v>
      </c>
      <c r="M73" s="4" t="s">
        <v>334</v>
      </c>
      <c r="N73" s="4" t="s">
        <v>256</v>
      </c>
      <c r="O73" s="4">
        <v>4</v>
      </c>
      <c r="P73" s="4">
        <v>5</v>
      </c>
      <c r="Q73" s="4">
        <v>7</v>
      </c>
      <c r="X73" s="4" t="s">
        <v>89</v>
      </c>
    </row>
    <row r="74" spans="1:24" s="6" customFormat="1" x14ac:dyDescent="0.15">
      <c r="A74" s="6">
        <v>73</v>
      </c>
      <c r="B74" s="6">
        <v>6</v>
      </c>
      <c r="C74" s="6">
        <v>1</v>
      </c>
      <c r="D74" s="6" t="s">
        <v>77</v>
      </c>
      <c r="E74" s="6">
        <v>0</v>
      </c>
      <c r="F74" s="6" t="s">
        <v>21</v>
      </c>
      <c r="L74" s="6" t="s">
        <v>316</v>
      </c>
      <c r="M74" s="6" t="s">
        <v>335</v>
      </c>
      <c r="N74" s="6" t="s">
        <v>360</v>
      </c>
      <c r="O74" s="6">
        <v>4</v>
      </c>
      <c r="P74" s="6">
        <v>4</v>
      </c>
      <c r="Q74" s="6">
        <v>5</v>
      </c>
      <c r="X74" s="6">
        <v>74</v>
      </c>
    </row>
    <row r="75" spans="1:24" s="3" customFormat="1" x14ac:dyDescent="0.15">
      <c r="A75" s="3">
        <v>74</v>
      </c>
      <c r="B75" s="3">
        <v>6</v>
      </c>
      <c r="C75" s="3">
        <v>2</v>
      </c>
      <c r="D75" s="3" t="s">
        <v>78</v>
      </c>
      <c r="E75" s="3">
        <v>3</v>
      </c>
      <c r="F75" s="3" t="s">
        <v>21</v>
      </c>
      <c r="L75" s="3" t="s">
        <v>262</v>
      </c>
      <c r="M75" s="3" t="s">
        <v>263</v>
      </c>
      <c r="N75" s="3" t="s">
        <v>264</v>
      </c>
      <c r="O75" s="3">
        <v>4</v>
      </c>
      <c r="P75" s="3">
        <v>4</v>
      </c>
      <c r="Q75" s="3">
        <v>5</v>
      </c>
      <c r="X75" s="3">
        <v>75</v>
      </c>
    </row>
    <row r="76" spans="1:24" s="3" customFormat="1" x14ac:dyDescent="0.15">
      <c r="A76" s="3">
        <v>75</v>
      </c>
      <c r="B76" s="3">
        <v>6</v>
      </c>
      <c r="C76" s="3">
        <v>3</v>
      </c>
      <c r="D76" s="3" t="s">
        <v>79</v>
      </c>
      <c r="E76" s="3">
        <v>3</v>
      </c>
      <c r="F76" s="3" t="s">
        <v>21</v>
      </c>
      <c r="L76" s="3" t="s">
        <v>265</v>
      </c>
      <c r="M76" s="3" t="s">
        <v>266</v>
      </c>
      <c r="N76" s="3" t="s">
        <v>267</v>
      </c>
      <c r="O76" s="3">
        <v>4</v>
      </c>
      <c r="P76" s="3">
        <v>5</v>
      </c>
      <c r="Q76" s="3">
        <v>6</v>
      </c>
      <c r="X76" s="3">
        <v>76</v>
      </c>
    </row>
    <row r="77" spans="1:24" s="5" customFormat="1" x14ac:dyDescent="0.15">
      <c r="A77" s="5">
        <v>76</v>
      </c>
      <c r="B77" s="5">
        <v>6</v>
      </c>
      <c r="C77" s="5">
        <v>4</v>
      </c>
      <c r="D77" s="5" t="s">
        <v>28</v>
      </c>
      <c r="E77" s="5">
        <v>3</v>
      </c>
      <c r="F77" s="5" t="s">
        <v>21</v>
      </c>
      <c r="L77" s="5" t="s">
        <v>268</v>
      </c>
      <c r="M77" s="5" t="s">
        <v>339</v>
      </c>
      <c r="N77" s="5" t="s">
        <v>269</v>
      </c>
      <c r="O77" s="5">
        <v>4</v>
      </c>
      <c r="P77" s="5">
        <v>5</v>
      </c>
      <c r="Q77" s="5">
        <v>7</v>
      </c>
      <c r="X77" s="5">
        <v>77</v>
      </c>
    </row>
    <row r="78" spans="1:24" x14ac:dyDescent="0.15">
      <c r="A78">
        <v>77</v>
      </c>
      <c r="B78">
        <v>6</v>
      </c>
      <c r="C78">
        <v>5</v>
      </c>
      <c r="D78" t="s">
        <v>80</v>
      </c>
      <c r="E78">
        <v>3</v>
      </c>
      <c r="F78" t="s">
        <v>21</v>
      </c>
      <c r="L78" t="s">
        <v>270</v>
      </c>
      <c r="M78" t="s">
        <v>271</v>
      </c>
      <c r="N78" t="s">
        <v>272</v>
      </c>
      <c r="O78">
        <v>4</v>
      </c>
      <c r="P78">
        <v>5</v>
      </c>
      <c r="Q78">
        <v>6</v>
      </c>
      <c r="X78">
        <v>78</v>
      </c>
    </row>
    <row r="79" spans="1:24" x14ac:dyDescent="0.15">
      <c r="A79">
        <v>78</v>
      </c>
      <c r="B79">
        <v>6</v>
      </c>
      <c r="C79">
        <v>6</v>
      </c>
      <c r="D79" t="s">
        <v>81</v>
      </c>
      <c r="E79">
        <v>3</v>
      </c>
      <c r="F79" t="s">
        <v>21</v>
      </c>
      <c r="L79" t="s">
        <v>273</v>
      </c>
      <c r="M79" t="s">
        <v>336</v>
      </c>
      <c r="N79" t="s">
        <v>274</v>
      </c>
      <c r="O79">
        <v>4</v>
      </c>
      <c r="P79">
        <v>5</v>
      </c>
      <c r="Q79">
        <v>6</v>
      </c>
      <c r="X79">
        <v>79</v>
      </c>
    </row>
    <row r="80" spans="1:24" x14ac:dyDescent="0.15">
      <c r="A80">
        <v>79</v>
      </c>
      <c r="B80">
        <v>6</v>
      </c>
      <c r="C80">
        <v>7</v>
      </c>
      <c r="D80" t="s">
        <v>29</v>
      </c>
      <c r="E80">
        <v>3</v>
      </c>
      <c r="F80" t="s">
        <v>87</v>
      </c>
      <c r="L80" t="s">
        <v>275</v>
      </c>
      <c r="M80" t="s">
        <v>337</v>
      </c>
      <c r="N80" t="s">
        <v>276</v>
      </c>
      <c r="O80">
        <v>4</v>
      </c>
      <c r="P80">
        <v>5</v>
      </c>
      <c r="Q80">
        <v>7</v>
      </c>
      <c r="X80">
        <v>80</v>
      </c>
    </row>
    <row r="81" spans="1:24" s="5" customFormat="1" x14ac:dyDescent="0.15">
      <c r="A81" s="5">
        <v>80</v>
      </c>
      <c r="B81" s="5">
        <v>6</v>
      </c>
      <c r="C81" s="5">
        <v>8</v>
      </c>
      <c r="D81" s="5" t="s">
        <v>82</v>
      </c>
      <c r="E81" s="5">
        <v>3</v>
      </c>
      <c r="F81" s="5" t="s">
        <v>21</v>
      </c>
      <c r="L81" s="5" t="s">
        <v>277</v>
      </c>
      <c r="M81" s="5" t="s">
        <v>338</v>
      </c>
      <c r="N81" s="5" t="s">
        <v>340</v>
      </c>
      <c r="O81" s="5">
        <v>4</v>
      </c>
      <c r="P81" s="5">
        <v>5</v>
      </c>
      <c r="Q81" s="5">
        <v>7</v>
      </c>
      <c r="W81" s="5">
        <v>81</v>
      </c>
      <c r="X81" s="5" t="s">
        <v>89</v>
      </c>
    </row>
    <row r="82" spans="1:24" s="4" customFormat="1" x14ac:dyDescent="0.15">
      <c r="A82" s="4">
        <v>81</v>
      </c>
      <c r="B82" s="4">
        <v>6</v>
      </c>
      <c r="C82" s="4">
        <v>9</v>
      </c>
      <c r="D82" s="4" t="s">
        <v>29</v>
      </c>
      <c r="E82" s="4">
        <v>3</v>
      </c>
      <c r="F82" s="4" t="s">
        <v>37</v>
      </c>
      <c r="L82" s="4" t="s">
        <v>278</v>
      </c>
      <c r="M82" s="4" t="s">
        <v>279</v>
      </c>
      <c r="N82" s="4" t="s">
        <v>280</v>
      </c>
      <c r="O82" s="4">
        <v>3</v>
      </c>
      <c r="P82" s="4">
        <v>4</v>
      </c>
      <c r="Q82" s="4">
        <v>5</v>
      </c>
      <c r="X82" s="4">
        <v>82</v>
      </c>
    </row>
    <row r="83" spans="1:24" s="4" customFormat="1" x14ac:dyDescent="0.15">
      <c r="A83" s="4">
        <v>82</v>
      </c>
      <c r="B83" s="4">
        <v>6</v>
      </c>
      <c r="C83" s="4">
        <v>10</v>
      </c>
      <c r="D83" s="4" t="s">
        <v>29</v>
      </c>
      <c r="E83" s="4">
        <v>3</v>
      </c>
      <c r="F83" s="4" t="s">
        <v>21</v>
      </c>
      <c r="L83" s="4" t="s">
        <v>281</v>
      </c>
      <c r="M83" s="4" t="s">
        <v>282</v>
      </c>
      <c r="N83" s="4" t="s">
        <v>283</v>
      </c>
      <c r="O83" s="4">
        <v>3</v>
      </c>
      <c r="P83" s="4">
        <v>4</v>
      </c>
      <c r="Q83" s="4">
        <v>6</v>
      </c>
      <c r="X83" s="4">
        <v>83</v>
      </c>
    </row>
    <row r="84" spans="1:24" s="4" customFormat="1" x14ac:dyDescent="0.15">
      <c r="A84" s="4">
        <v>83</v>
      </c>
      <c r="B84" s="4">
        <v>6</v>
      </c>
      <c r="C84" s="4">
        <v>11</v>
      </c>
      <c r="D84" s="4" t="s">
        <v>29</v>
      </c>
      <c r="E84" s="4">
        <v>3</v>
      </c>
      <c r="F84" s="4" t="s">
        <v>21</v>
      </c>
      <c r="L84" s="4" t="s">
        <v>284</v>
      </c>
      <c r="M84" s="4" t="s">
        <v>285</v>
      </c>
      <c r="N84" s="4" t="s">
        <v>286</v>
      </c>
      <c r="O84" s="4">
        <v>3</v>
      </c>
      <c r="P84" s="4">
        <v>5</v>
      </c>
      <c r="Q84" s="4">
        <v>7</v>
      </c>
      <c r="X84" s="4" t="s">
        <v>89</v>
      </c>
    </row>
    <row r="85" spans="1:24" s="6" customFormat="1" x14ac:dyDescent="0.15">
      <c r="A85" s="6">
        <v>84</v>
      </c>
      <c r="B85" s="6">
        <v>7</v>
      </c>
      <c r="C85" s="6">
        <v>1</v>
      </c>
      <c r="D85" s="6" t="s">
        <v>83</v>
      </c>
      <c r="E85" s="6">
        <v>3</v>
      </c>
      <c r="F85" s="6" t="s">
        <v>21</v>
      </c>
      <c r="L85" s="6" t="s">
        <v>287</v>
      </c>
      <c r="M85" s="6" t="s">
        <v>288</v>
      </c>
      <c r="N85" s="6" t="s">
        <v>289</v>
      </c>
      <c r="O85" s="6">
        <v>4</v>
      </c>
      <c r="P85" s="6">
        <v>5</v>
      </c>
      <c r="Q85" s="6">
        <v>5</v>
      </c>
      <c r="X85" s="6">
        <v>85</v>
      </c>
    </row>
    <row r="86" spans="1:24" s="3" customFormat="1" x14ac:dyDescent="0.15">
      <c r="A86" s="3">
        <v>85</v>
      </c>
      <c r="B86" s="3">
        <v>7</v>
      </c>
      <c r="C86" s="3">
        <v>2</v>
      </c>
      <c r="D86" s="3" t="s">
        <v>84</v>
      </c>
      <c r="E86" s="3">
        <v>3</v>
      </c>
      <c r="F86" s="3" t="s">
        <v>21</v>
      </c>
      <c r="L86" s="3" t="s">
        <v>290</v>
      </c>
      <c r="M86" s="3" t="s">
        <v>291</v>
      </c>
      <c r="N86" s="3" t="s">
        <v>292</v>
      </c>
      <c r="O86" s="3">
        <v>4</v>
      </c>
      <c r="P86" s="3">
        <v>5</v>
      </c>
      <c r="Q86" s="3">
        <v>5</v>
      </c>
      <c r="X86" s="3">
        <v>86</v>
      </c>
    </row>
    <row r="87" spans="1:24" s="3" customFormat="1" x14ac:dyDescent="0.15">
      <c r="A87" s="3">
        <v>86</v>
      </c>
      <c r="B87" s="3">
        <v>7</v>
      </c>
      <c r="C87" s="3">
        <v>3</v>
      </c>
      <c r="D87" s="3" t="s">
        <v>85</v>
      </c>
      <c r="E87" s="3">
        <v>3</v>
      </c>
      <c r="F87" s="3" t="s">
        <v>21</v>
      </c>
      <c r="L87" s="3" t="s">
        <v>293</v>
      </c>
      <c r="M87" s="3" t="s">
        <v>294</v>
      </c>
      <c r="N87" s="3" t="s">
        <v>295</v>
      </c>
      <c r="O87" s="3">
        <v>4</v>
      </c>
      <c r="P87" s="3">
        <v>5</v>
      </c>
      <c r="Q87" s="3">
        <v>5</v>
      </c>
      <c r="X87" s="3">
        <v>87</v>
      </c>
    </row>
    <row r="88" spans="1:24" s="3" customFormat="1" x14ac:dyDescent="0.15">
      <c r="A88" s="3">
        <v>87</v>
      </c>
      <c r="B88" s="3">
        <v>7</v>
      </c>
      <c r="C88" s="3">
        <v>4</v>
      </c>
      <c r="D88" s="3" t="s">
        <v>86</v>
      </c>
      <c r="E88" s="3">
        <v>3</v>
      </c>
      <c r="F88" s="3" t="s">
        <v>21</v>
      </c>
      <c r="L88" s="3" t="s">
        <v>296</v>
      </c>
      <c r="M88" s="3" t="s">
        <v>297</v>
      </c>
      <c r="N88" s="3" t="s">
        <v>298</v>
      </c>
      <c r="O88" s="3">
        <v>4</v>
      </c>
      <c r="P88" s="3">
        <v>5</v>
      </c>
      <c r="Q88" s="3">
        <v>6</v>
      </c>
      <c r="X88" s="3">
        <v>88</v>
      </c>
    </row>
    <row r="89" spans="1:24" s="3" customFormat="1" x14ac:dyDescent="0.15">
      <c r="A89" s="3">
        <v>88</v>
      </c>
      <c r="B89" s="3">
        <v>7</v>
      </c>
      <c r="C89" s="3">
        <v>5</v>
      </c>
      <c r="D89" s="3" t="s">
        <v>24</v>
      </c>
      <c r="E89" s="3">
        <v>3</v>
      </c>
      <c r="F89" s="3" t="s">
        <v>21</v>
      </c>
      <c r="L89" s="3" t="s">
        <v>299</v>
      </c>
      <c r="M89" s="3" t="s">
        <v>300</v>
      </c>
      <c r="N89" s="3" t="s">
        <v>301</v>
      </c>
      <c r="O89" s="3">
        <v>4</v>
      </c>
      <c r="P89" s="3">
        <v>6</v>
      </c>
      <c r="Q89" s="3">
        <v>6</v>
      </c>
      <c r="X89" s="3">
        <v>89</v>
      </c>
    </row>
    <row r="90" spans="1:24" s="5" customFormat="1" x14ac:dyDescent="0.15">
      <c r="A90" s="5">
        <v>89</v>
      </c>
      <c r="B90" s="5">
        <v>7</v>
      </c>
      <c r="C90" s="5">
        <v>6</v>
      </c>
      <c r="D90" s="5" t="s">
        <v>24</v>
      </c>
      <c r="E90" s="5">
        <v>3</v>
      </c>
      <c r="F90" s="5" t="s">
        <v>21</v>
      </c>
      <c r="L90" s="5" t="s">
        <v>302</v>
      </c>
      <c r="M90" s="5" t="s">
        <v>303</v>
      </c>
      <c r="N90" s="5" t="s">
        <v>304</v>
      </c>
      <c r="O90" s="5">
        <v>4</v>
      </c>
      <c r="P90" s="5">
        <v>6</v>
      </c>
      <c r="Q90" s="5">
        <v>7</v>
      </c>
      <c r="X90" s="5" t="s">
        <v>92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3"/>
  <sheetViews>
    <sheetView workbookViewId="0">
      <selection activeCell="D21" sqref="D21"/>
    </sheetView>
  </sheetViews>
  <sheetFormatPr defaultRowHeight="13.5" x14ac:dyDescent="0.15"/>
  <cols>
    <col min="3" max="3" width="12" customWidth="1"/>
    <col min="7" max="7" width="8.75" customWidth="1"/>
  </cols>
  <sheetData>
    <row r="1" spans="1:11" x14ac:dyDescent="0.15">
      <c r="A1" t="s">
        <v>108</v>
      </c>
      <c r="B1" t="s">
        <v>109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</row>
    <row r="2" spans="1:11" x14ac:dyDescent="0.15">
      <c r="A2" t="str">
        <f>[2]玩家卡牌配置表!$B$2</f>
        <v>C_TangSangzang</v>
      </c>
      <c r="B2" t="str">
        <f>[2]玩家卡牌配置表!$C$2</f>
        <v>唐三藏</v>
      </c>
      <c r="C2">
        <f>[2]卡牌配置表!$B$2</f>
        <v>1</v>
      </c>
      <c r="D2" t="str">
        <f>[2]卡牌配置表!$D$2</f>
        <v>F_Zijinboyu</v>
      </c>
      <c r="E2" t="str">
        <f>[2]卡牌配置表!$F$2</f>
        <v>Fo</v>
      </c>
      <c r="F2" t="str">
        <f>[2]卡牌配置表!$H$2</f>
        <v>Fo</v>
      </c>
      <c r="G2">
        <f>[2]卡牌配置表!$I$2</f>
        <v>1</v>
      </c>
      <c r="H2">
        <f>[2]卡牌配置表!$J$2</f>
        <v>4</v>
      </c>
      <c r="I2">
        <f>[2]卡牌配置表!$K$2</f>
        <v>12</v>
      </c>
      <c r="J2">
        <f>[2]卡牌配置表!$L$2</f>
        <v>20</v>
      </c>
      <c r="K2">
        <f>[2]卡牌配置表!$M$2</f>
        <v>40</v>
      </c>
    </row>
    <row r="3" spans="1:11" x14ac:dyDescent="0.15">
      <c r="A3" t="str">
        <f>[2]玩家卡牌配置表!$B$3</f>
        <v>C_SunWukong</v>
      </c>
      <c r="B3" t="str">
        <f>[2]玩家卡牌配置表!$C$3</f>
        <v>孙悟空</v>
      </c>
      <c r="C3">
        <f>[2]卡牌配置表!$B$3</f>
        <v>1</v>
      </c>
      <c r="D3" t="str">
        <f>[2]卡牌配置表!$D$3</f>
        <v>Fo</v>
      </c>
      <c r="E3" t="str">
        <f>[2]卡牌配置表!$F$3</f>
        <v>F_Jingubang</v>
      </c>
      <c r="F3" t="str">
        <f>[2]卡牌配置表!$H$3</f>
        <v>Sha</v>
      </c>
      <c r="G3">
        <f>[2]卡牌配置表!$I$3</f>
        <v>1</v>
      </c>
      <c r="H3">
        <f>[2]卡牌配置表!$J$3</f>
        <v>4</v>
      </c>
      <c r="I3">
        <f>[2]卡牌配置表!$K$3</f>
        <v>12</v>
      </c>
      <c r="J3">
        <f>[2]卡牌配置表!$L$3</f>
        <v>20</v>
      </c>
      <c r="K3">
        <f>[2]卡牌配置表!$M$3</f>
        <v>40</v>
      </c>
    </row>
    <row r="4" spans="1:11" x14ac:dyDescent="0.15">
      <c r="A4" t="str">
        <f>[2]玩家卡牌配置表!$B$4</f>
        <v>C_ZhuBajie</v>
      </c>
      <c r="B4" t="str">
        <f>[2]玩家卡牌配置表!$C$4</f>
        <v>猪八戒</v>
      </c>
      <c r="C4">
        <f>[2]卡牌配置表!$B$4</f>
        <v>1</v>
      </c>
      <c r="D4" t="str">
        <f>[2]卡牌配置表!$D$4</f>
        <v>F_Jiuchidingpa</v>
      </c>
      <c r="E4" t="str">
        <f>[2]卡牌配置表!$F$4</f>
        <v>Fo</v>
      </c>
      <c r="F4" t="str">
        <f>[2]卡牌配置表!$H$4</f>
        <v>Fo</v>
      </c>
      <c r="G4">
        <f>[2]卡牌配置表!$I$4</f>
        <v>1</v>
      </c>
      <c r="H4">
        <f>[2]卡牌配置表!$J$4</f>
        <v>4</v>
      </c>
      <c r="I4">
        <f>[2]卡牌配置表!$K$4</f>
        <v>12</v>
      </c>
      <c r="J4">
        <f>[2]卡牌配置表!$L$4</f>
        <v>20</v>
      </c>
      <c r="K4">
        <f>[2]卡牌配置表!$M$4</f>
        <v>40</v>
      </c>
    </row>
    <row r="5" spans="1:11" x14ac:dyDescent="0.15">
      <c r="A5" t="str">
        <f>[2]玩家卡牌配置表!$B$5</f>
        <v>C_ShaHeshang</v>
      </c>
      <c r="B5" t="str">
        <f>[2]玩家卡牌配置表!$C$5</f>
        <v>沙和尚</v>
      </c>
      <c r="C5">
        <f>[2]卡牌配置表!$B$5</f>
        <v>1</v>
      </c>
      <c r="D5" t="str">
        <f>[2]卡牌配置表!$D$5</f>
        <v>F_Yueyachan</v>
      </c>
      <c r="E5" t="str">
        <f>[2]卡牌配置表!$F$5</f>
        <v>Xian</v>
      </c>
      <c r="F5" t="str">
        <f>[2]卡牌配置表!$H$5</f>
        <v>Fo</v>
      </c>
      <c r="G5">
        <f>[2]卡牌配置表!$I$5</f>
        <v>1</v>
      </c>
      <c r="H5">
        <f>[2]卡牌配置表!$J$5</f>
        <v>4</v>
      </c>
      <c r="I5">
        <f>[2]卡牌配置表!$K$5</f>
        <v>12</v>
      </c>
      <c r="J5">
        <f>[2]卡牌配置表!$L$5</f>
        <v>20</v>
      </c>
      <c r="K5">
        <f>[2]卡牌配置表!$M$5</f>
        <v>40</v>
      </c>
    </row>
    <row r="6" spans="1:11" x14ac:dyDescent="0.15">
      <c r="A6" t="str">
        <f>[2]玩家卡牌配置表!$B$6</f>
        <v>C_BaiLongma</v>
      </c>
      <c r="B6" t="str">
        <f>[2]玩家卡牌配置表!$C$6</f>
        <v>小白龙</v>
      </c>
      <c r="C6">
        <f>[2]卡牌配置表!$B$6</f>
        <v>1</v>
      </c>
      <c r="D6" t="str">
        <f>[2]卡牌配置表!$D$6</f>
        <v>Fo</v>
      </c>
      <c r="E6" t="str">
        <f>[2]卡牌配置表!$F$6</f>
        <v>Xian</v>
      </c>
      <c r="F6" t="str">
        <f>[2]卡牌配置表!$H$6</f>
        <v>Sha</v>
      </c>
      <c r="G6">
        <f>[2]卡牌配置表!$I$6</f>
        <v>1</v>
      </c>
      <c r="H6">
        <f>[2]卡牌配置表!$J$6</f>
        <v>4</v>
      </c>
      <c r="I6">
        <f>[2]卡牌配置表!$K$6</f>
        <v>12</v>
      </c>
      <c r="J6">
        <f>[2]卡牌配置表!$L$6</f>
        <v>20</v>
      </c>
      <c r="K6">
        <f>[2]卡牌配置表!$M$6</f>
        <v>40</v>
      </c>
    </row>
    <row r="7" spans="1:11" x14ac:dyDescent="0.15">
      <c r="A7" t="str">
        <f>[2]玩家卡牌配置表!$B$7</f>
        <v>C_LiuBoxin</v>
      </c>
      <c r="B7" t="str">
        <f>[2]玩家卡牌配置表!$C$7</f>
        <v>猎户刘伯钦</v>
      </c>
      <c r="C7">
        <f>[2]卡牌配置表!$B$7</f>
        <v>1</v>
      </c>
      <c r="D7" t="str">
        <f>[2]卡牌配置表!$D$7</f>
        <v>Sha</v>
      </c>
      <c r="E7" t="str">
        <f>[2]卡牌配置表!$F$7</f>
        <v>Xian</v>
      </c>
      <c r="F7" t="str">
        <f>[2]卡牌配置表!$H$7</f>
        <v>Sha</v>
      </c>
      <c r="G7">
        <f>[2]卡牌配置表!$I$7</f>
        <v>1</v>
      </c>
      <c r="H7">
        <f>[2]卡牌配置表!$J$7</f>
        <v>4</v>
      </c>
      <c r="I7">
        <f>[2]卡牌配置表!$K$7</f>
        <v>12</v>
      </c>
      <c r="J7">
        <f>[2]卡牌配置表!$L$7</f>
        <v>20</v>
      </c>
      <c r="K7">
        <f>[2]卡牌配置表!$M$7</f>
        <v>40</v>
      </c>
    </row>
    <row r="8" spans="1:11" x14ac:dyDescent="0.15">
      <c r="A8" t="str">
        <f>[2]玩家卡牌配置表!$B$8</f>
        <v>C_WukongLiuyi</v>
      </c>
      <c r="B8" t="str">
        <f>[2]玩家卡牌配置表!$C$8</f>
        <v>悟空六意</v>
      </c>
      <c r="C8">
        <f>[2]卡牌配置表!$B$8</f>
        <v>1</v>
      </c>
      <c r="D8" t="str">
        <f>[2]卡牌配置表!$D$8</f>
        <v>Fo</v>
      </c>
      <c r="E8" t="str">
        <f>[2]卡牌配置表!$F$8</f>
        <v>Xian</v>
      </c>
      <c r="F8" t="str">
        <f>[2]卡牌配置表!$H$8</f>
        <v>Sha</v>
      </c>
      <c r="G8">
        <f>[2]卡牌配置表!$I$8</f>
        <v>1</v>
      </c>
      <c r="H8">
        <f>[2]卡牌配置表!$J$8</f>
        <v>4</v>
      </c>
      <c r="I8">
        <f>[2]卡牌配置表!$K$8</f>
        <v>12</v>
      </c>
      <c r="J8">
        <f>[2]卡牌配置表!$L$8</f>
        <v>20</v>
      </c>
      <c r="K8">
        <f>[2]卡牌配置表!$M$8</f>
        <v>40</v>
      </c>
    </row>
    <row r="9" spans="1:11" x14ac:dyDescent="0.15">
      <c r="A9" t="str">
        <f>[2]玩家卡牌配置表!$B$9</f>
        <v>C_GuiChengxiang</v>
      </c>
      <c r="B9" t="str">
        <f>[2]玩家卡牌配置表!$C$9</f>
        <v>龟丞相</v>
      </c>
      <c r="C9">
        <f>[2]卡牌配置表!$B$9</f>
        <v>1</v>
      </c>
      <c r="D9" t="str">
        <f>[2]卡牌配置表!$D$9</f>
        <v>Xian</v>
      </c>
      <c r="E9" t="str">
        <f>[2]卡牌配置表!$F$9</f>
        <v>Xian</v>
      </c>
      <c r="F9" t="str">
        <f>[2]卡牌配置表!$H$9</f>
        <v>Sha</v>
      </c>
      <c r="G9">
        <f>[2]卡牌配置表!$I$9</f>
        <v>1</v>
      </c>
      <c r="H9">
        <f>[2]卡牌配置表!$J$9</f>
        <v>4</v>
      </c>
      <c r="I9">
        <f>[2]卡牌配置表!$K$9</f>
        <v>12</v>
      </c>
      <c r="J9">
        <f>[2]卡牌配置表!$L$9</f>
        <v>20</v>
      </c>
      <c r="K9">
        <f>[2]卡牌配置表!$M$9</f>
        <v>40</v>
      </c>
    </row>
    <row r="10" spans="1:11" x14ac:dyDescent="0.15">
      <c r="A10" t="str">
        <f>[2]玩家卡牌配置表!$B$10</f>
        <v>C_LingXuzi</v>
      </c>
      <c r="B10" t="str">
        <f>[2]玩家卡牌配置表!$C$10</f>
        <v>凌虚子</v>
      </c>
      <c r="C10">
        <f>[2]卡牌配置表!$B$10</f>
        <v>1</v>
      </c>
      <c r="D10" t="str">
        <f>[2]卡牌配置表!$D$10</f>
        <v>Xian</v>
      </c>
      <c r="E10" t="str">
        <f>[2]卡牌配置表!$F$10</f>
        <v>Xian</v>
      </c>
      <c r="F10" t="str">
        <f>[2]卡牌配置表!$H$10</f>
        <v>Xian</v>
      </c>
      <c r="G10">
        <f>[2]卡牌配置表!$I$10</f>
        <v>1</v>
      </c>
      <c r="H10">
        <f>[2]卡牌配置表!$J$10</f>
        <v>4</v>
      </c>
      <c r="I10">
        <f>[2]卡牌配置表!$K$10</f>
        <v>12</v>
      </c>
      <c r="J10">
        <f>[2]卡牌配置表!$L$10</f>
        <v>20</v>
      </c>
      <c r="K10">
        <f>[2]卡牌配置表!$M$10</f>
        <v>40</v>
      </c>
    </row>
    <row r="11" spans="1:11" x14ac:dyDescent="0.15">
      <c r="A11" t="str">
        <f>[2]玩家卡牌配置表!$B$11</f>
        <v>C_HeiXiongjing</v>
      </c>
      <c r="B11" t="str">
        <f>[2]玩家卡牌配置表!$C$11</f>
        <v>黑熊精</v>
      </c>
      <c r="C11">
        <f>[2]卡牌配置表!$B$11</f>
        <v>1</v>
      </c>
      <c r="D11" t="str">
        <f>[2]卡牌配置表!$D$11</f>
        <v>Mo</v>
      </c>
      <c r="E11" t="str">
        <f>[2]卡牌配置表!$F$11</f>
        <v>Xian</v>
      </c>
      <c r="F11" t="str">
        <f>[2]卡牌配置表!$H$11</f>
        <v>Sha</v>
      </c>
      <c r="G11">
        <f>[2]卡牌配置表!$I$11</f>
        <v>1</v>
      </c>
      <c r="H11">
        <f>[2]卡牌配置表!$J$11</f>
        <v>4</v>
      </c>
      <c r="I11">
        <f>[2]卡牌配置表!$K$11</f>
        <v>12</v>
      </c>
      <c r="J11">
        <f>[2]卡牌配置表!$L$11</f>
        <v>20</v>
      </c>
      <c r="K11">
        <f>[2]卡牌配置表!$M$11</f>
        <v>40</v>
      </c>
    </row>
    <row r="12" spans="1:11" x14ac:dyDescent="0.15">
      <c r="A12" t="str">
        <f>[2]玩家卡牌配置表!$B$12</f>
        <v>C_HuXianfeng</v>
      </c>
      <c r="B12" t="str">
        <f>[2]玩家卡牌配置表!$C$12</f>
        <v>虎先锋</v>
      </c>
      <c r="C12">
        <f>[2]卡牌配置表!$B$12</f>
        <v>1</v>
      </c>
      <c r="D12" t="str">
        <f>[2]卡牌配置表!$D$12</f>
        <v>Sha</v>
      </c>
      <c r="E12" t="str">
        <f>[2]卡牌配置表!$F$12</f>
        <v>Xian</v>
      </c>
      <c r="F12" t="str">
        <f>[2]卡牌配置表!$H$12</f>
        <v>Sha</v>
      </c>
      <c r="G12">
        <f>[2]卡牌配置表!$I$12</f>
        <v>1</v>
      </c>
      <c r="H12">
        <f>[2]卡牌配置表!$J$12</f>
        <v>4</v>
      </c>
      <c r="I12">
        <f>[2]卡牌配置表!$K$12</f>
        <v>12</v>
      </c>
      <c r="J12">
        <f>[2]卡牌配置表!$L$12</f>
        <v>20</v>
      </c>
      <c r="K12">
        <f>[2]卡牌配置表!$M$12</f>
        <v>40</v>
      </c>
    </row>
    <row r="13" spans="1:11" x14ac:dyDescent="0.15">
      <c r="A13" t="str">
        <f>[2]玩家卡牌配置表!$B$13</f>
        <v>C_HuangFengguai</v>
      </c>
      <c r="B13" t="str">
        <f>[2]玩家卡牌配置表!$C$13</f>
        <v>黄风怪</v>
      </c>
      <c r="C13">
        <f>[2]卡牌配置表!$B$13</f>
        <v>1</v>
      </c>
      <c r="D13" t="str">
        <f>[2]卡牌配置表!$D$13</f>
        <v>Mo</v>
      </c>
      <c r="E13" t="str">
        <f>[2]卡牌配置表!$F$13</f>
        <v>Fo</v>
      </c>
      <c r="F13" t="str">
        <f>[2]卡牌配置表!$H$13</f>
        <v>Xian</v>
      </c>
      <c r="G13">
        <f>[2]卡牌配置表!$I$13</f>
        <v>1</v>
      </c>
      <c r="H13">
        <f>[2]卡牌配置表!$J$13</f>
        <v>4</v>
      </c>
      <c r="I13">
        <f>[2]卡牌配置表!$K$13</f>
        <v>12</v>
      </c>
      <c r="J13">
        <f>[2]卡牌配置表!$L$13</f>
        <v>20</v>
      </c>
      <c r="K13">
        <f>[2]卡牌配置表!$M$13</f>
        <v>40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 tint="-0.499984740745262"/>
  </sheetPr>
  <dimension ref="A1:L26"/>
  <sheetViews>
    <sheetView workbookViewId="0">
      <selection activeCell="J2" sqref="J2"/>
    </sheetView>
  </sheetViews>
  <sheetFormatPr defaultRowHeight="13.5" x14ac:dyDescent="0.15"/>
  <cols>
    <col min="6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[3]唐三藏!$C$2</f>
        <v>50</v>
      </c>
      <c r="C2">
        <f>B2-0</f>
        <v>50</v>
      </c>
      <c r="D2">
        <f>[3]唐三藏!$D$2</f>
        <v>27</v>
      </c>
      <c r="E2">
        <f>[3]唐三藏!$E$2</f>
        <v>9</v>
      </c>
      <c r="F2">
        <f>ROUND([3]唐三藏!$F$2 *1000,0)</f>
        <v>100</v>
      </c>
      <c r="G2">
        <f>ROUND([3]唐三藏!$H$2 *100,0)</f>
        <v>100</v>
      </c>
      <c r="H2">
        <f>[3]唐三藏!$I$2</f>
        <v>6</v>
      </c>
      <c r="I2">
        <f>[3]唐三藏!$J$2</f>
        <v>14</v>
      </c>
      <c r="J2">
        <f>[3]唐三藏!$V$2</f>
        <v>1</v>
      </c>
      <c r="K2">
        <f>[3]唐三藏!$Y$2</f>
        <v>1</v>
      </c>
      <c r="L2">
        <f>[3]唐三藏!$Z$2</f>
        <v>5</v>
      </c>
    </row>
    <row r="3" spans="1:12" x14ac:dyDescent="0.15">
      <c r="A3">
        <v>2</v>
      </c>
      <c r="B3">
        <f>[3]唐三藏!$C$3</f>
        <v>100</v>
      </c>
      <c r="C3">
        <f>B3-B2</f>
        <v>50</v>
      </c>
      <c r="D3">
        <f>[3]唐三藏!$D$3</f>
        <v>28</v>
      </c>
      <c r="E3">
        <f>[3]唐三藏!$E$3</f>
        <v>16</v>
      </c>
      <c r="F3">
        <f>ROUND([3]唐三藏!$F$3 *1000,0)</f>
        <v>100</v>
      </c>
      <c r="G3">
        <f>ROUND([3]唐三藏!$H$3 *100,0)</f>
        <v>100</v>
      </c>
      <c r="H3">
        <f>[3]唐三藏!$I$3</f>
        <v>11</v>
      </c>
      <c r="I3">
        <f>[3]唐三藏!$J$3</f>
        <v>14</v>
      </c>
      <c r="J3">
        <f>[3]唐三藏!$V$3</f>
        <v>1</v>
      </c>
      <c r="K3">
        <f>[3]唐三藏!$Y$3</f>
        <v>1</v>
      </c>
      <c r="L3">
        <f>[3]唐三藏!$Z$3</f>
        <v>5</v>
      </c>
    </row>
    <row r="4" spans="1:12" x14ac:dyDescent="0.15">
      <c r="A4">
        <v>3</v>
      </c>
      <c r="B4">
        <f>[3]唐三藏!$C$4</f>
        <v>150</v>
      </c>
      <c r="C4">
        <f t="shared" ref="C4:C26" si="0">B4-B3</f>
        <v>50</v>
      </c>
      <c r="D4">
        <f>[3]唐三藏!$D$4</f>
        <v>35</v>
      </c>
      <c r="E4">
        <f>[3]唐三藏!$E$4</f>
        <v>22</v>
      </c>
      <c r="F4">
        <f>ROUND([3]唐三藏!$F$4 *1000,0)</f>
        <v>100</v>
      </c>
      <c r="G4">
        <f>ROUND([3]唐三藏!$H$4 *100,0)</f>
        <v>100</v>
      </c>
      <c r="H4">
        <f>[3]唐三藏!$I$4</f>
        <v>14</v>
      </c>
      <c r="I4">
        <f>[3]唐三藏!$J$4</f>
        <v>18</v>
      </c>
      <c r="J4">
        <f>[3]唐三藏!$V$4</f>
        <v>1</v>
      </c>
      <c r="K4">
        <f>[3]唐三藏!$Y$4</f>
        <v>1</v>
      </c>
      <c r="L4">
        <f>[3]唐三藏!$Z$4</f>
        <v>10</v>
      </c>
    </row>
    <row r="5" spans="1:12" x14ac:dyDescent="0.15">
      <c r="A5">
        <v>4</v>
      </c>
      <c r="B5">
        <f>[3]唐三藏!$C$5</f>
        <v>250</v>
      </c>
      <c r="C5">
        <f t="shared" si="0"/>
        <v>100</v>
      </c>
      <c r="D5">
        <f>[3]唐三藏!$D$5</f>
        <v>43</v>
      </c>
      <c r="E5">
        <f>[3]唐三藏!$E$5</f>
        <v>33</v>
      </c>
      <c r="F5">
        <f>ROUND([3]唐三藏!$F$5 *1000,0)</f>
        <v>100</v>
      </c>
      <c r="G5">
        <f>ROUND([3]唐三藏!$H$5 *100,0)</f>
        <v>100</v>
      </c>
      <c r="H5">
        <f>[3]唐三藏!$I$5</f>
        <v>18</v>
      </c>
      <c r="I5">
        <f>[3]唐三藏!$J$5</f>
        <v>22</v>
      </c>
      <c r="J5">
        <f>[3]唐三藏!$V$5</f>
        <v>1</v>
      </c>
      <c r="K5">
        <f>[3]唐三藏!$Y$5</f>
        <v>1.02</v>
      </c>
      <c r="L5">
        <f>[3]唐三藏!$Z$5</f>
        <v>10</v>
      </c>
    </row>
    <row r="6" spans="1:12" x14ac:dyDescent="0.15">
      <c r="A6">
        <v>5</v>
      </c>
      <c r="B6">
        <f>[3]唐三藏!$C$6</f>
        <v>350</v>
      </c>
      <c r="C6">
        <f t="shared" si="0"/>
        <v>100</v>
      </c>
      <c r="D6">
        <f>[3]唐三藏!$D$6</f>
        <v>47</v>
      </c>
      <c r="E6">
        <f>[3]唐三藏!$E$6</f>
        <v>45</v>
      </c>
      <c r="F6">
        <f>ROUND([3]唐三藏!$F$6 *1000,0)</f>
        <v>100</v>
      </c>
      <c r="G6">
        <f>ROUND([3]唐三藏!$H$6 *100,0)</f>
        <v>120</v>
      </c>
      <c r="H6">
        <f>[3]唐三藏!$I$6</f>
        <v>23</v>
      </c>
      <c r="I6">
        <f>[3]唐三藏!$J$6</f>
        <v>24</v>
      </c>
      <c r="J6">
        <f>[3]唐三藏!$V$6</f>
        <v>1</v>
      </c>
      <c r="K6">
        <f>[3]唐三藏!$Y$6</f>
        <v>1.04</v>
      </c>
      <c r="L6">
        <f>[3]唐三藏!$Z$6</f>
        <v>15</v>
      </c>
    </row>
    <row r="7" spans="1:12" x14ac:dyDescent="0.15">
      <c r="A7">
        <v>6</v>
      </c>
      <c r="B7">
        <f>[3]唐三藏!$C$7</f>
        <v>500</v>
      </c>
      <c r="C7">
        <f t="shared" si="0"/>
        <v>150</v>
      </c>
      <c r="D7">
        <f>[3]唐三藏!$D$7</f>
        <v>59</v>
      </c>
      <c r="E7">
        <f>[3]唐三藏!$E$7</f>
        <v>64</v>
      </c>
      <c r="F7">
        <f>ROUND([3]唐三藏!$F$7 *1000,0)</f>
        <v>100</v>
      </c>
      <c r="G7">
        <f>ROUND([3]唐三藏!$H$7 *100,0)</f>
        <v>120</v>
      </c>
      <c r="H7">
        <f>[3]唐三藏!$I$7</f>
        <v>29</v>
      </c>
      <c r="I7">
        <f>[3]唐三藏!$J$7</f>
        <v>30</v>
      </c>
      <c r="J7">
        <f>[3]唐三藏!$V$7</f>
        <v>1</v>
      </c>
      <c r="K7">
        <f>[3]唐三藏!$Y$7</f>
        <v>1.07</v>
      </c>
      <c r="L7">
        <f>[3]唐三藏!$Z$7</f>
        <v>15</v>
      </c>
    </row>
    <row r="8" spans="1:12" x14ac:dyDescent="0.15">
      <c r="A8">
        <v>7</v>
      </c>
      <c r="B8">
        <f>[3]唐三藏!$C$8</f>
        <v>650</v>
      </c>
      <c r="C8">
        <f t="shared" si="0"/>
        <v>150</v>
      </c>
      <c r="D8">
        <f>[3]唐三藏!$D$8</f>
        <v>77</v>
      </c>
      <c r="E8">
        <f>[3]唐三藏!$E$8</f>
        <v>78</v>
      </c>
      <c r="F8">
        <f>ROUND([3]唐三藏!$F$8 *1000,0)</f>
        <v>101</v>
      </c>
      <c r="G8">
        <f>ROUND([3]唐三藏!$H$8 *100,0)</f>
        <v>120</v>
      </c>
      <c r="H8">
        <f>[3]唐三藏!$I$8</f>
        <v>36</v>
      </c>
      <c r="I8">
        <f>[3]唐三藏!$J$8</f>
        <v>39</v>
      </c>
      <c r="J8">
        <f>[3]唐三藏!$V$8</f>
        <v>1</v>
      </c>
      <c r="K8">
        <f>[3]唐三藏!$Y$8</f>
        <v>1.1000000000000001</v>
      </c>
      <c r="L8">
        <f>[3]唐三藏!$Z$8</f>
        <v>20</v>
      </c>
    </row>
    <row r="9" spans="1:12" x14ac:dyDescent="0.15">
      <c r="A9">
        <v>8</v>
      </c>
      <c r="B9">
        <f>[3]唐三藏!$C$9</f>
        <v>850</v>
      </c>
      <c r="C9">
        <f t="shared" si="0"/>
        <v>200</v>
      </c>
      <c r="D9">
        <f>[3]唐三藏!$D$9</f>
        <v>146</v>
      </c>
      <c r="E9">
        <f>[3]唐三藏!$E$9</f>
        <v>94</v>
      </c>
      <c r="F9">
        <f>ROUND([3]唐三藏!$F$9 *1000,0)</f>
        <v>101</v>
      </c>
      <c r="G9">
        <f>ROUND([3]唐三藏!$H$9 *100,0)</f>
        <v>120</v>
      </c>
      <c r="H9">
        <f>[3]唐三藏!$I$9</f>
        <v>44</v>
      </c>
      <c r="I9">
        <f>[3]唐三藏!$J$9</f>
        <v>73</v>
      </c>
      <c r="J9">
        <f>[3]唐三藏!$V$9</f>
        <v>1</v>
      </c>
      <c r="K9">
        <f>[3]唐三藏!$Y$9</f>
        <v>1.1400000000000001</v>
      </c>
      <c r="L9">
        <f>[3]唐三藏!$Z$9</f>
        <v>20</v>
      </c>
    </row>
    <row r="10" spans="1:12" x14ac:dyDescent="0.15">
      <c r="A10">
        <v>9</v>
      </c>
      <c r="B10">
        <f>[3]唐三藏!$C$10</f>
        <v>1050</v>
      </c>
      <c r="C10">
        <f t="shared" si="0"/>
        <v>200</v>
      </c>
      <c r="D10">
        <f>[3]唐三藏!$D$10</f>
        <v>180</v>
      </c>
      <c r="E10">
        <f>[3]唐三藏!$E$10</f>
        <v>112</v>
      </c>
      <c r="F10">
        <f>ROUND([3]唐三藏!$F$10*1000,0)</f>
        <v>101</v>
      </c>
      <c r="G10">
        <f>ROUND([3]唐三藏!$H$10*100,0)</f>
        <v>120</v>
      </c>
      <c r="H10">
        <f>[3]唐三藏!$I$10</f>
        <v>53</v>
      </c>
      <c r="I10">
        <f>[3]唐三藏!$J$10</f>
        <v>90</v>
      </c>
      <c r="J10">
        <f>[3]唐三藏!$V$10</f>
        <v>1</v>
      </c>
      <c r="K10">
        <f>[3]唐三藏!$Y$10</f>
        <v>1.1800000000000002</v>
      </c>
      <c r="L10">
        <f>[3]唐三藏!$Z$10</f>
        <v>20</v>
      </c>
    </row>
    <row r="11" spans="1:12" x14ac:dyDescent="0.15">
      <c r="A11">
        <v>10</v>
      </c>
      <c r="B11">
        <f>[3]唐三藏!$C$11</f>
        <v>1250</v>
      </c>
      <c r="C11">
        <f t="shared" si="0"/>
        <v>200</v>
      </c>
      <c r="D11">
        <f>[3]唐三藏!$D$11</f>
        <v>200</v>
      </c>
      <c r="E11">
        <f>[3]唐三藏!$E$11</f>
        <v>132</v>
      </c>
      <c r="F11">
        <f>ROUND([3]唐三藏!$F$11*1000,0)</f>
        <v>101</v>
      </c>
      <c r="G11">
        <f>ROUND([3]唐三藏!$H$11*100,0)</f>
        <v>130</v>
      </c>
      <c r="H11">
        <f>[3]唐三藏!$I$11</f>
        <v>63</v>
      </c>
      <c r="I11">
        <f>[3]唐三藏!$J$11</f>
        <v>100</v>
      </c>
      <c r="J11">
        <f>[3]唐三藏!$V$11</f>
        <v>1</v>
      </c>
      <c r="K11">
        <f>[3]唐三藏!$Y$11</f>
        <v>1.2200000000000002</v>
      </c>
      <c r="L11">
        <f>[3]唐三藏!$Z$11</f>
        <v>25</v>
      </c>
    </row>
    <row r="12" spans="1:12" x14ac:dyDescent="0.15">
      <c r="A12">
        <v>11</v>
      </c>
      <c r="B12">
        <f>[3]唐三藏!$C$12</f>
        <v>1500</v>
      </c>
      <c r="C12">
        <f t="shared" si="0"/>
        <v>250</v>
      </c>
      <c r="D12">
        <f>[3]唐三藏!$D$12</f>
        <v>309</v>
      </c>
      <c r="E12">
        <f>[3]唐三藏!$E$12</f>
        <v>154</v>
      </c>
      <c r="F12">
        <f>ROUND([3]唐三藏!$F$12*1000,0)</f>
        <v>101</v>
      </c>
      <c r="G12">
        <f>ROUND([3]唐三藏!$H$12*100,0)</f>
        <v>130</v>
      </c>
      <c r="H12">
        <f>[3]唐三藏!$I$12</f>
        <v>74</v>
      </c>
      <c r="I12">
        <f>[3]唐三藏!$J$12</f>
        <v>155</v>
      </c>
      <c r="J12">
        <f>[3]唐三藏!$V$12</f>
        <v>1</v>
      </c>
      <c r="K12">
        <f>[3]唐三藏!$Y$12</f>
        <v>1.2700000000000002</v>
      </c>
      <c r="L12">
        <f>[3]唐三藏!$Z$12</f>
        <v>25</v>
      </c>
    </row>
    <row r="13" spans="1:12" x14ac:dyDescent="0.15">
      <c r="A13">
        <v>12</v>
      </c>
      <c r="B13">
        <f>[3]唐三藏!$C$13</f>
        <v>1750</v>
      </c>
      <c r="C13">
        <f t="shared" si="0"/>
        <v>250</v>
      </c>
      <c r="D13">
        <f>[3]唐三藏!$D$13</f>
        <v>357</v>
      </c>
      <c r="E13">
        <f>[3]唐三藏!$E$13</f>
        <v>178</v>
      </c>
      <c r="F13">
        <f>ROUND([3]唐三藏!$F$13*1000,0)</f>
        <v>102</v>
      </c>
      <c r="G13">
        <f>ROUND([3]唐三藏!$H$13*100,0)</f>
        <v>130</v>
      </c>
      <c r="H13">
        <f>[3]唐三藏!$I$13</f>
        <v>86</v>
      </c>
      <c r="I13">
        <f>[3]唐三藏!$J$13</f>
        <v>179</v>
      </c>
      <c r="J13">
        <f>[3]唐三藏!$V$13</f>
        <v>1</v>
      </c>
      <c r="K13">
        <f>[3]唐三藏!$Y$13</f>
        <v>1.3200000000000003</v>
      </c>
      <c r="L13">
        <f>[3]唐三藏!$Z$13</f>
        <v>30</v>
      </c>
    </row>
    <row r="14" spans="1:12" x14ac:dyDescent="0.15">
      <c r="A14">
        <v>13</v>
      </c>
      <c r="B14">
        <f>[3]唐三藏!$C$14</f>
        <v>2050</v>
      </c>
      <c r="C14">
        <f t="shared" si="0"/>
        <v>300</v>
      </c>
      <c r="D14">
        <f>[3]唐三藏!$D$14</f>
        <v>419</v>
      </c>
      <c r="E14">
        <f>[3]唐三藏!$E$14</f>
        <v>205</v>
      </c>
      <c r="F14">
        <f>ROUND([3]唐三藏!$F$14*1000,0)</f>
        <v>102</v>
      </c>
      <c r="G14">
        <f>ROUND([3]唐三藏!$H$14*100,0)</f>
        <v>130</v>
      </c>
      <c r="H14">
        <f>[3]唐三藏!$I$14</f>
        <v>99</v>
      </c>
      <c r="I14">
        <f>[3]唐三藏!$J$14</f>
        <v>210</v>
      </c>
      <c r="J14">
        <f>[3]唐三藏!$V$14</f>
        <v>1</v>
      </c>
      <c r="K14">
        <f>[3]唐三藏!$Y$14</f>
        <v>1.3800000000000003</v>
      </c>
      <c r="L14">
        <f>[3]唐三藏!$Z$14</f>
        <v>35</v>
      </c>
    </row>
    <row r="15" spans="1:12" x14ac:dyDescent="0.15">
      <c r="A15">
        <v>14</v>
      </c>
      <c r="B15">
        <f>[3]唐三藏!$C$15</f>
        <v>2400</v>
      </c>
      <c r="C15">
        <f t="shared" si="0"/>
        <v>350</v>
      </c>
      <c r="D15">
        <f>[3]唐三藏!$D$15</f>
        <v>600</v>
      </c>
      <c r="E15">
        <f>[3]唐三藏!$E$15</f>
        <v>235</v>
      </c>
      <c r="F15">
        <f>ROUND([3]唐三藏!$F$15*1000,0)</f>
        <v>102</v>
      </c>
      <c r="G15">
        <f>ROUND([3]唐三藏!$H$15*100,0)</f>
        <v>130</v>
      </c>
      <c r="H15">
        <f>[3]唐三藏!$I$15</f>
        <v>114</v>
      </c>
      <c r="I15">
        <f>[3]唐三藏!$J$15</f>
        <v>300</v>
      </c>
      <c r="J15">
        <f>[3]唐三藏!$V$15</f>
        <v>1</v>
      </c>
      <c r="K15">
        <f>[3]唐三藏!$Y$15</f>
        <v>1.4500000000000004</v>
      </c>
      <c r="L15">
        <f>[3]唐三藏!$Z$15</f>
        <v>45</v>
      </c>
    </row>
    <row r="16" spans="1:12" x14ac:dyDescent="0.15">
      <c r="A16">
        <v>15</v>
      </c>
      <c r="B16">
        <f>[3]唐三藏!$C$16</f>
        <v>2850</v>
      </c>
      <c r="C16">
        <f t="shared" si="0"/>
        <v>450</v>
      </c>
      <c r="D16">
        <f>[3]唐三藏!$D$16</f>
        <v>708</v>
      </c>
      <c r="E16">
        <f>[3]唐三藏!$E$16</f>
        <v>268</v>
      </c>
      <c r="F16">
        <f>ROUND([3]唐三藏!$F$16*1000,0)</f>
        <v>103</v>
      </c>
      <c r="G16">
        <f>ROUND([3]唐三藏!$H$16*100,0)</f>
        <v>140</v>
      </c>
      <c r="H16">
        <f>[3]唐三藏!$I$16</f>
        <v>131</v>
      </c>
      <c r="I16">
        <f>[3]唐三藏!$J$16</f>
        <v>354</v>
      </c>
      <c r="J16">
        <f>[3]唐三藏!$V$16</f>
        <v>1</v>
      </c>
      <c r="K16">
        <f>[3]唐三藏!$Y$16</f>
        <v>1.5400000000000005</v>
      </c>
      <c r="L16">
        <f>[3]唐三藏!$Z$16</f>
        <v>50</v>
      </c>
    </row>
    <row r="17" spans="1:12" x14ac:dyDescent="0.15">
      <c r="A17">
        <v>16</v>
      </c>
      <c r="B17">
        <f>[3]唐三藏!$C$17</f>
        <v>3350</v>
      </c>
      <c r="C17">
        <f t="shared" si="0"/>
        <v>500</v>
      </c>
      <c r="D17">
        <f>[3]唐三藏!$D$17</f>
        <v>992</v>
      </c>
      <c r="E17">
        <f>[3]唐三藏!$E$17</f>
        <v>305</v>
      </c>
      <c r="F17">
        <f>ROUND([3]唐三藏!$F$17*1000,0)</f>
        <v>103</v>
      </c>
      <c r="G17">
        <f>ROUND([3]唐三藏!$H$17*100,0)</f>
        <v>140</v>
      </c>
      <c r="H17">
        <f>[3]唐三藏!$I$17</f>
        <v>150</v>
      </c>
      <c r="I17">
        <f>[3]唐三藏!$J$17</f>
        <v>496</v>
      </c>
      <c r="J17">
        <f>[3]唐三藏!$V$17</f>
        <v>1</v>
      </c>
      <c r="K17">
        <f>[3]唐三藏!$Y$17</f>
        <v>1.6400000000000006</v>
      </c>
      <c r="L17">
        <f>[3]唐三藏!$Z$17</f>
        <v>55</v>
      </c>
    </row>
    <row r="18" spans="1:12" x14ac:dyDescent="0.15">
      <c r="A18">
        <v>17</v>
      </c>
      <c r="B18">
        <f>[3]唐三藏!$C$18</f>
        <v>3900</v>
      </c>
      <c r="C18">
        <f t="shared" si="0"/>
        <v>550</v>
      </c>
      <c r="D18">
        <f>[3]唐三藏!$D$18</f>
        <v>1165</v>
      </c>
      <c r="E18">
        <f>[3]唐三藏!$E$18</f>
        <v>346</v>
      </c>
      <c r="F18">
        <f>ROUND([3]唐三藏!$F$18*1000,0)</f>
        <v>104</v>
      </c>
      <c r="G18">
        <f>ROUND([3]唐三藏!$H$18*100,0)</f>
        <v>140</v>
      </c>
      <c r="H18">
        <f>[3]唐三藏!$I$18</f>
        <v>171</v>
      </c>
      <c r="I18">
        <f>[3]唐三藏!$J$18</f>
        <v>583</v>
      </c>
      <c r="J18">
        <f>[3]唐三藏!$V$18</f>
        <v>1</v>
      </c>
      <c r="K18">
        <f>[3]唐三藏!$Y$18</f>
        <v>1.7500000000000007</v>
      </c>
      <c r="L18">
        <f>[3]唐三藏!$Z$18</f>
        <v>65</v>
      </c>
    </row>
    <row r="19" spans="1:12" x14ac:dyDescent="0.15">
      <c r="A19">
        <v>18</v>
      </c>
      <c r="B19">
        <f>[3]唐三藏!$C$19</f>
        <v>4550</v>
      </c>
      <c r="C19">
        <f t="shared" si="0"/>
        <v>650</v>
      </c>
      <c r="D19">
        <f>[3]唐三藏!$D$19</f>
        <v>1374</v>
      </c>
      <c r="E19">
        <f>[3]唐三藏!$E$19</f>
        <v>392</v>
      </c>
      <c r="F19">
        <f>ROUND([3]唐三藏!$F$19*1000,0)</f>
        <v>105</v>
      </c>
      <c r="G19">
        <f>ROUND([3]唐三藏!$H$19*100,0)</f>
        <v>140</v>
      </c>
      <c r="H19">
        <f>[3]唐三藏!$I$19</f>
        <v>195</v>
      </c>
      <c r="I19">
        <f>[3]唐三藏!$J$19</f>
        <v>687</v>
      </c>
      <c r="J19">
        <f>[3]唐三藏!$V$19</f>
        <v>1</v>
      </c>
      <c r="K19">
        <f>[3]唐三藏!$Y$19</f>
        <v>1.8800000000000008</v>
      </c>
      <c r="L19">
        <f>[3]唐三藏!$Z$19</f>
        <v>95</v>
      </c>
    </row>
    <row r="20" spans="1:12" x14ac:dyDescent="0.15">
      <c r="A20">
        <v>19</v>
      </c>
      <c r="B20">
        <f>[3]唐三藏!$C$20</f>
        <v>5500</v>
      </c>
      <c r="C20">
        <f t="shared" si="0"/>
        <v>950</v>
      </c>
      <c r="D20">
        <f>[3]唐三藏!$D$20</f>
        <v>1954</v>
      </c>
      <c r="E20">
        <f>[3]唐三藏!$E$20</f>
        <v>443</v>
      </c>
      <c r="F20">
        <f>ROUND([3]唐三藏!$F$20*1000,0)</f>
        <v>105</v>
      </c>
      <c r="G20">
        <f>ROUND([3]唐三藏!$H$20*100,0)</f>
        <v>140</v>
      </c>
      <c r="H20">
        <f>[3]唐三藏!$I$20</f>
        <v>221</v>
      </c>
      <c r="I20">
        <f>[3]唐三藏!$J$20</f>
        <v>977</v>
      </c>
      <c r="J20">
        <f>[3]唐三藏!$V$20</f>
        <v>1</v>
      </c>
      <c r="K20">
        <f>[3]唐三藏!$Y$20</f>
        <v>2.0699999999999994</v>
      </c>
      <c r="L20">
        <f>[3]唐三藏!$Z$20</f>
        <v>160</v>
      </c>
    </row>
    <row r="21" spans="1:12" x14ac:dyDescent="0.15">
      <c r="A21">
        <v>20</v>
      </c>
      <c r="B21">
        <f>[3]唐三藏!$C$21</f>
        <v>7100</v>
      </c>
      <c r="C21">
        <f t="shared" si="0"/>
        <v>1600</v>
      </c>
      <c r="D21">
        <f>[3]唐三藏!$D$21</f>
        <v>2547</v>
      </c>
      <c r="E21">
        <f>[3]唐三藏!$E$21</f>
        <v>550</v>
      </c>
      <c r="F21">
        <f>ROUND([3]唐三藏!$F$21*1000,0)</f>
        <v>107</v>
      </c>
      <c r="G21">
        <f>ROUND([3]唐三藏!$H$21*100,0)</f>
        <v>150</v>
      </c>
      <c r="H21">
        <f>[3]唐三藏!$I$21</f>
        <v>250</v>
      </c>
      <c r="I21">
        <f>[3]唐三藏!$J$21</f>
        <v>1274</v>
      </c>
      <c r="J21">
        <f>[3]唐三藏!$V$21</f>
        <v>1</v>
      </c>
      <c r="K21">
        <f>[3]唐三藏!$Y$21</f>
        <v>2.3899999999999926</v>
      </c>
      <c r="L21">
        <f>[3]唐三藏!$Z$21</f>
        <v>235</v>
      </c>
    </row>
    <row r="22" spans="1:12" x14ac:dyDescent="0.15">
      <c r="A22">
        <v>21</v>
      </c>
      <c r="B22">
        <f>[3]唐三藏!$C$22</f>
        <v>9450</v>
      </c>
      <c r="C22">
        <f t="shared" si="0"/>
        <v>2350</v>
      </c>
      <c r="D22">
        <f>[3]唐三藏!$D$22</f>
        <v>3375</v>
      </c>
      <c r="E22">
        <f>[3]唐三藏!$E$22</f>
        <v>764</v>
      </c>
      <c r="F22">
        <f>ROUND([3]唐三藏!$F$22*1000,0)</f>
        <v>109</v>
      </c>
      <c r="G22">
        <f>ROUND([3]唐三藏!$H$22*100,0)</f>
        <v>150</v>
      </c>
      <c r="H22">
        <f>[3]唐三藏!$I$22</f>
        <v>288</v>
      </c>
      <c r="I22">
        <f>[3]唐三藏!$J$22</f>
        <v>1688</v>
      </c>
      <c r="J22">
        <f>[3]唐三藏!$V$22</f>
        <v>1</v>
      </c>
      <c r="K22">
        <f>[3]唐三藏!$Y$22</f>
        <v>2.8599999999999826</v>
      </c>
      <c r="L22">
        <f>[3]唐三藏!$Z$22</f>
        <v>335</v>
      </c>
    </row>
    <row r="23" spans="1:12" x14ac:dyDescent="0.15">
      <c r="A23">
        <v>22</v>
      </c>
      <c r="B23">
        <f>[3]唐三藏!$C$23</f>
        <v>12800</v>
      </c>
      <c r="C23">
        <f t="shared" si="0"/>
        <v>3350</v>
      </c>
      <c r="D23">
        <f>[3]唐三藏!$D$23</f>
        <v>5167</v>
      </c>
      <c r="E23">
        <f>[3]唐三藏!$E$23</f>
        <v>1032</v>
      </c>
      <c r="F23">
        <f>ROUND([3]唐三藏!$F$23*1000,0)</f>
        <v>113</v>
      </c>
      <c r="G23">
        <f>ROUND([3]唐三藏!$H$23*100,0)</f>
        <v>150</v>
      </c>
      <c r="H23">
        <f>[3]唐三藏!$I$23</f>
        <v>337</v>
      </c>
      <c r="I23">
        <f>[3]唐三藏!$J$23</f>
        <v>2584</v>
      </c>
      <c r="J23">
        <f>[3]唐三藏!$V$23</f>
        <v>1</v>
      </c>
      <c r="K23">
        <f>[3]唐三藏!$Y$23</f>
        <v>3.5299999999999683</v>
      </c>
      <c r="L23">
        <f>[3]唐三藏!$Z$23</f>
        <v>460</v>
      </c>
    </row>
    <row r="24" spans="1:12" x14ac:dyDescent="0.15">
      <c r="A24">
        <v>23</v>
      </c>
      <c r="B24">
        <f>[3]唐三藏!$C$24</f>
        <v>17400</v>
      </c>
      <c r="C24">
        <f t="shared" si="0"/>
        <v>4600</v>
      </c>
      <c r="D24">
        <f>[3]唐三藏!$D$24</f>
        <v>7078</v>
      </c>
      <c r="E24">
        <f>[3]唐三藏!$E$24</f>
        <v>1400</v>
      </c>
      <c r="F24">
        <f>ROUND([3]唐三藏!$F$24*1000,0)</f>
        <v>117</v>
      </c>
      <c r="G24">
        <f>ROUND([3]唐三藏!$H$24*100,0)</f>
        <v>150</v>
      </c>
      <c r="H24">
        <f>[3]唐三藏!$I$24</f>
        <v>401</v>
      </c>
      <c r="I24">
        <f>[3]唐三藏!$J$24</f>
        <v>3539</v>
      </c>
      <c r="J24">
        <f>[3]唐三藏!$V$24</f>
        <v>1</v>
      </c>
      <c r="K24">
        <f>[3]唐三藏!$Y$24</f>
        <v>4.4499999999999487</v>
      </c>
      <c r="L24">
        <f>[3]唐三藏!$Z$24</f>
        <v>585</v>
      </c>
    </row>
    <row r="25" spans="1:12" x14ac:dyDescent="0.15">
      <c r="A25">
        <v>24</v>
      </c>
      <c r="B25">
        <f>[3]唐三藏!$C$25</f>
        <v>23250</v>
      </c>
      <c r="C25">
        <f t="shared" si="0"/>
        <v>5850</v>
      </c>
      <c r="D25">
        <f>[3]唐三藏!$D$25</f>
        <v>9384</v>
      </c>
      <c r="E25">
        <f>[3]唐三藏!$E$25</f>
        <v>1868</v>
      </c>
      <c r="F25">
        <f>ROUND([3]唐三藏!$F$25*1000,0)</f>
        <v>123</v>
      </c>
      <c r="G25">
        <f>ROUND([3]唐三藏!$H$25*100,0)</f>
        <v>160</v>
      </c>
      <c r="H25">
        <f>[3]唐三藏!$I$25</f>
        <v>484</v>
      </c>
      <c r="I25">
        <f>[3]唐三藏!$J$25</f>
        <v>4692</v>
      </c>
      <c r="J25">
        <f>[3]唐三藏!$V$25</f>
        <v>1</v>
      </c>
      <c r="K25">
        <f>[3]唐三藏!$Y$25</f>
        <v>5.6199999999999237</v>
      </c>
      <c r="L25">
        <f>[3]唐三藏!$Z$25</f>
        <v>750</v>
      </c>
    </row>
    <row r="26" spans="1:12" x14ac:dyDescent="0.15">
      <c r="A26">
        <v>25</v>
      </c>
      <c r="B26">
        <f>[3]唐三藏!$C$26</f>
        <v>30750</v>
      </c>
      <c r="C26">
        <f t="shared" si="0"/>
        <v>7500</v>
      </c>
      <c r="D26">
        <f>[3]唐三藏!$D$26</f>
        <v>12458</v>
      </c>
      <c r="E26">
        <f>[3]唐三藏!$E$26</f>
        <v>2468</v>
      </c>
      <c r="F26">
        <f>ROUND([3]唐三藏!$F$26*1000,0)</f>
        <v>131</v>
      </c>
      <c r="G26">
        <f>ROUND([3]唐三藏!$H$26*100,0)</f>
        <v>160</v>
      </c>
      <c r="H26">
        <f>[3]唐三藏!$I$26</f>
        <v>592</v>
      </c>
      <c r="I26">
        <f>[3]唐三藏!$J$26</f>
        <v>6229</v>
      </c>
      <c r="J26">
        <f>[3]唐三藏!$V$26</f>
        <v>1</v>
      </c>
      <c r="K26">
        <f>[3]唐三藏!$Y$26</f>
        <v>7.1199999999998917</v>
      </c>
      <c r="L26">
        <f>[3]唐三藏!$Z$26</f>
        <v>1000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-0.499984740745262"/>
  </sheetPr>
  <dimension ref="A1:L26"/>
  <sheetViews>
    <sheetView workbookViewId="0">
      <selection activeCell="J2" sqref="J2"/>
    </sheetView>
  </sheetViews>
  <sheetFormatPr defaultRowHeight="13.5" x14ac:dyDescent="0.15"/>
  <cols>
    <col min="6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[3]孙悟空!$C$2</f>
        <v>50</v>
      </c>
      <c r="C2">
        <f>B2-0</f>
        <v>50</v>
      </c>
      <c r="D2">
        <f>[3]孙悟空!$D$2</f>
        <v>35</v>
      </c>
      <c r="E2">
        <f>[3]孙悟空!$E$2</f>
        <v>14</v>
      </c>
      <c r="F2">
        <f>ROUND([3]孙悟空!$F$2 *1000,0)</f>
        <v>0</v>
      </c>
      <c r="G2">
        <f>ROUND([3]孙悟空!$H$2 *100,0)</f>
        <v>100</v>
      </c>
      <c r="H2">
        <f>[3]孙悟空!$I$2</f>
        <v>5</v>
      </c>
      <c r="I2">
        <f>[3]孙悟空!$J$2</f>
        <v>7</v>
      </c>
      <c r="J2">
        <f>[3]孙悟空!$V$2</f>
        <v>1</v>
      </c>
      <c r="K2">
        <f>[3]孙悟空!$Y$2</f>
        <v>1</v>
      </c>
      <c r="L2">
        <f>[3]孙悟空!$Z$2</f>
        <v>0</v>
      </c>
    </row>
    <row r="3" spans="1:12" x14ac:dyDescent="0.15">
      <c r="A3">
        <v>2</v>
      </c>
      <c r="B3">
        <f>[3]孙悟空!$C$3</f>
        <v>100</v>
      </c>
      <c r="C3">
        <f>B3-B2</f>
        <v>50</v>
      </c>
      <c r="D3">
        <f>[3]孙悟空!$D$3</f>
        <v>40</v>
      </c>
      <c r="E3">
        <f>[3]孙悟空!$E$3</f>
        <v>23</v>
      </c>
      <c r="F3">
        <f>ROUND([3]孙悟空!$F$3 *1000,0)</f>
        <v>0</v>
      </c>
      <c r="G3">
        <f>ROUND([3]孙悟空!$H$3 *100,0)</f>
        <v>100</v>
      </c>
      <c r="H3">
        <f>[3]孙悟空!$I$3</f>
        <v>7</v>
      </c>
      <c r="I3">
        <f>[3]孙悟空!$J$3</f>
        <v>8</v>
      </c>
      <c r="J3">
        <f>[3]孙悟空!$V$3</f>
        <v>1</v>
      </c>
      <c r="K3">
        <f>[3]孙悟空!$Y$3</f>
        <v>1</v>
      </c>
      <c r="L3">
        <f>[3]孙悟空!$Z$3</f>
        <v>0</v>
      </c>
    </row>
    <row r="4" spans="1:12" x14ac:dyDescent="0.15">
      <c r="A4">
        <v>3</v>
      </c>
      <c r="B4">
        <f>[3]孙悟空!$C$4</f>
        <v>150</v>
      </c>
      <c r="C4">
        <f t="shared" ref="C4:C26" si="0">B4-B3</f>
        <v>50</v>
      </c>
      <c r="D4">
        <f>[3]孙悟空!$D$4</f>
        <v>47</v>
      </c>
      <c r="E4">
        <f>[3]孙悟空!$E$4</f>
        <v>28</v>
      </c>
      <c r="F4">
        <f>ROUND([3]孙悟空!$F$4 *1000,0)</f>
        <v>3</v>
      </c>
      <c r="G4">
        <f>ROUND([3]孙悟空!$H$4 *100,0)</f>
        <v>100</v>
      </c>
      <c r="H4">
        <f>[3]孙悟空!$I$4</f>
        <v>11</v>
      </c>
      <c r="I4">
        <f>[3]孙悟空!$J$4</f>
        <v>9</v>
      </c>
      <c r="J4">
        <f>[3]孙悟空!$V$4</f>
        <v>1</v>
      </c>
      <c r="K4">
        <f>[3]孙悟空!$Y$4</f>
        <v>1</v>
      </c>
      <c r="L4">
        <f>[3]孙悟空!$Z$4</f>
        <v>0</v>
      </c>
    </row>
    <row r="5" spans="1:12" x14ac:dyDescent="0.15">
      <c r="A5">
        <v>4</v>
      </c>
      <c r="B5">
        <f>[3]孙悟空!$C$5</f>
        <v>250</v>
      </c>
      <c r="C5">
        <f t="shared" si="0"/>
        <v>100</v>
      </c>
      <c r="D5">
        <f>[3]孙悟空!$D$5</f>
        <v>68</v>
      </c>
      <c r="E5">
        <f>[3]孙悟空!$E$5</f>
        <v>37</v>
      </c>
      <c r="F5">
        <f>ROUND([3]孙悟空!$F$5 *1000,0)</f>
        <v>3</v>
      </c>
      <c r="G5">
        <f>ROUND([3]孙悟空!$H$5 *100,0)</f>
        <v>100</v>
      </c>
      <c r="H5">
        <f>[3]孙悟空!$I$5</f>
        <v>16</v>
      </c>
      <c r="I5">
        <f>[3]孙悟空!$J$5</f>
        <v>14</v>
      </c>
      <c r="J5">
        <f>[3]孙悟空!$V$5</f>
        <v>1</v>
      </c>
      <c r="K5">
        <f>[3]孙悟空!$Y$5</f>
        <v>1.02</v>
      </c>
      <c r="L5">
        <f>[3]孙悟空!$Z$5</f>
        <v>0</v>
      </c>
    </row>
    <row r="6" spans="1:12" x14ac:dyDescent="0.15">
      <c r="A6">
        <v>5</v>
      </c>
      <c r="B6">
        <f>[3]孙悟空!$C$6</f>
        <v>350</v>
      </c>
      <c r="C6">
        <f t="shared" si="0"/>
        <v>100</v>
      </c>
      <c r="D6">
        <f>[3]孙悟空!$D$6</f>
        <v>82</v>
      </c>
      <c r="E6">
        <f>[3]孙悟空!$E$6</f>
        <v>49</v>
      </c>
      <c r="F6">
        <f>ROUND([3]孙悟空!$F$6 *1000,0)</f>
        <v>5</v>
      </c>
      <c r="G6">
        <f>ROUND([3]孙悟空!$H$6 *100,0)</f>
        <v>100</v>
      </c>
      <c r="H6">
        <f>[3]孙悟空!$I$6</f>
        <v>23</v>
      </c>
      <c r="I6">
        <f>[3]孙悟空!$J$6</f>
        <v>16</v>
      </c>
      <c r="J6">
        <f>[3]孙悟空!$V$6</f>
        <v>1</v>
      </c>
      <c r="K6">
        <f>[3]孙悟空!$Y$6</f>
        <v>1.04</v>
      </c>
      <c r="L6">
        <f>[3]孙悟空!$Z$6</f>
        <v>0</v>
      </c>
    </row>
    <row r="7" spans="1:12" x14ac:dyDescent="0.15">
      <c r="A7">
        <v>6</v>
      </c>
      <c r="B7">
        <f>[3]孙悟空!$C$7</f>
        <v>500</v>
      </c>
      <c r="C7">
        <f t="shared" si="0"/>
        <v>150</v>
      </c>
      <c r="D7">
        <f>[3]孙悟空!$D$7</f>
        <v>100</v>
      </c>
      <c r="E7">
        <f>[3]孙悟空!$E$7</f>
        <v>68</v>
      </c>
      <c r="F7">
        <f>ROUND([3]孙悟空!$F$7 *1000,0)</f>
        <v>10</v>
      </c>
      <c r="G7">
        <f>ROUND([3]孙悟空!$H$7 *100,0)</f>
        <v>100</v>
      </c>
      <c r="H7">
        <f>[3]孙悟空!$I$7</f>
        <v>33</v>
      </c>
      <c r="I7">
        <f>[3]孙悟空!$J$7</f>
        <v>20</v>
      </c>
      <c r="J7">
        <f>[3]孙悟空!$V$7</f>
        <v>1</v>
      </c>
      <c r="K7">
        <f>[3]孙悟空!$Y$7</f>
        <v>1.07</v>
      </c>
      <c r="L7">
        <f>[3]孙悟空!$Z$7</f>
        <v>0</v>
      </c>
    </row>
    <row r="8" spans="1:12" x14ac:dyDescent="0.15">
      <c r="A8">
        <v>7</v>
      </c>
      <c r="B8">
        <f>[3]孙悟空!$C$8</f>
        <v>650</v>
      </c>
      <c r="C8">
        <f t="shared" si="0"/>
        <v>150</v>
      </c>
      <c r="D8">
        <f>[3]孙悟空!$D$8</f>
        <v>123</v>
      </c>
      <c r="E8">
        <f>[3]孙悟空!$E$8</f>
        <v>90</v>
      </c>
      <c r="F8">
        <f>ROUND([3]孙悟空!$F$8 *1000,0)</f>
        <v>15</v>
      </c>
      <c r="G8">
        <f>ROUND([3]孙悟空!$H$8 *100,0)</f>
        <v>100</v>
      </c>
      <c r="H8">
        <f>[3]孙悟空!$I$8</f>
        <v>37</v>
      </c>
      <c r="I8">
        <f>[3]孙悟空!$J$8</f>
        <v>25</v>
      </c>
      <c r="J8">
        <f>[3]孙悟空!$V$8</f>
        <v>1</v>
      </c>
      <c r="K8">
        <f>[3]孙悟空!$Y$8</f>
        <v>1.1000000000000001</v>
      </c>
      <c r="L8">
        <f>[3]孙悟空!$Z$8</f>
        <v>0</v>
      </c>
    </row>
    <row r="9" spans="1:12" x14ac:dyDescent="0.15">
      <c r="A9">
        <v>8</v>
      </c>
      <c r="B9">
        <f>[3]孙悟空!$C$9</f>
        <v>850</v>
      </c>
      <c r="C9">
        <f t="shared" si="0"/>
        <v>200</v>
      </c>
      <c r="D9">
        <f>[3]孙悟空!$D$9</f>
        <v>174</v>
      </c>
      <c r="E9">
        <f>[3]孙悟空!$E$9</f>
        <v>131</v>
      </c>
      <c r="F9">
        <f>ROUND([3]孙悟空!$F$9 *1000,0)</f>
        <v>25</v>
      </c>
      <c r="G9">
        <f>ROUND([3]孙悟空!$H$9 *100,0)</f>
        <v>100</v>
      </c>
      <c r="H9">
        <f>[3]孙悟空!$I$9</f>
        <v>54</v>
      </c>
      <c r="I9">
        <f>[3]孙悟空!$J$9</f>
        <v>35</v>
      </c>
      <c r="J9">
        <f>[3]孙悟空!$V$9</f>
        <v>1</v>
      </c>
      <c r="K9">
        <f>[3]孙悟空!$Y$9</f>
        <v>1.1400000000000001</v>
      </c>
      <c r="L9">
        <f>[3]孙悟空!$Z$9</f>
        <v>0</v>
      </c>
    </row>
    <row r="10" spans="1:12" x14ac:dyDescent="0.15">
      <c r="A10">
        <v>9</v>
      </c>
      <c r="B10">
        <f>[3]孙悟空!$C$10</f>
        <v>1050</v>
      </c>
      <c r="C10">
        <f t="shared" si="0"/>
        <v>200</v>
      </c>
      <c r="D10">
        <f>[3]孙悟空!$D$10</f>
        <v>201</v>
      </c>
      <c r="E10">
        <f>[3]孙悟空!$E$10</f>
        <v>165</v>
      </c>
      <c r="F10">
        <f>ROUND([3]孙悟空!$F$10*1000,0)</f>
        <v>29</v>
      </c>
      <c r="G10">
        <f>ROUND([3]孙悟空!$H$10*100,0)</f>
        <v>100</v>
      </c>
      <c r="H10">
        <f>[3]孙悟空!$I$10</f>
        <v>65</v>
      </c>
      <c r="I10">
        <f>[3]孙悟空!$J$10</f>
        <v>40</v>
      </c>
      <c r="J10">
        <f>[3]孙悟空!$V$10</f>
        <v>1</v>
      </c>
      <c r="K10">
        <f>[3]孙悟空!$Y$10</f>
        <v>1.1800000000000002</v>
      </c>
      <c r="L10">
        <f>[3]孙悟空!$Z$10</f>
        <v>0</v>
      </c>
    </row>
    <row r="11" spans="1:12" x14ac:dyDescent="0.15">
      <c r="A11">
        <v>10</v>
      </c>
      <c r="B11">
        <f>[3]孙悟空!$C$11</f>
        <v>1250</v>
      </c>
      <c r="C11">
        <f t="shared" si="0"/>
        <v>200</v>
      </c>
      <c r="D11">
        <f>[3]孙悟空!$D$11</f>
        <v>230</v>
      </c>
      <c r="E11">
        <f>[3]孙悟空!$E$11</f>
        <v>195</v>
      </c>
      <c r="F11">
        <f>ROUND([3]孙悟空!$F$11*1000,0)</f>
        <v>37</v>
      </c>
      <c r="G11">
        <f>ROUND([3]孙悟空!$H$11*100,0)</f>
        <v>100</v>
      </c>
      <c r="H11">
        <f>[3]孙悟空!$I$11</f>
        <v>77</v>
      </c>
      <c r="I11">
        <f>[3]孙悟空!$J$11</f>
        <v>46</v>
      </c>
      <c r="J11">
        <f>[3]孙悟空!$V$11</f>
        <v>1</v>
      </c>
      <c r="K11">
        <f>[3]孙悟空!$Y$11</f>
        <v>1.2200000000000002</v>
      </c>
      <c r="L11">
        <f>[3]孙悟空!$Z$11</f>
        <v>0</v>
      </c>
    </row>
    <row r="12" spans="1:12" x14ac:dyDescent="0.15">
      <c r="A12">
        <v>11</v>
      </c>
      <c r="B12">
        <f>[3]孙悟空!$C$12</f>
        <v>1500</v>
      </c>
      <c r="C12">
        <f t="shared" si="0"/>
        <v>250</v>
      </c>
      <c r="D12">
        <f>[3]孙悟空!$D$12</f>
        <v>342</v>
      </c>
      <c r="E12">
        <f>[3]孙悟空!$E$12</f>
        <v>245</v>
      </c>
      <c r="F12">
        <f>ROUND([3]孙悟空!$F$12*1000,0)</f>
        <v>46</v>
      </c>
      <c r="G12">
        <f>ROUND([3]孙悟空!$H$12*100,0)</f>
        <v>100</v>
      </c>
      <c r="H12">
        <f>[3]孙悟空!$I$12</f>
        <v>90</v>
      </c>
      <c r="I12">
        <f>[3]孙悟空!$J$12</f>
        <v>68</v>
      </c>
      <c r="J12">
        <f>[3]孙悟空!$V$12</f>
        <v>1</v>
      </c>
      <c r="K12">
        <f>[3]孙悟空!$Y$12</f>
        <v>1.2700000000000002</v>
      </c>
      <c r="L12">
        <f>[3]孙悟空!$Z$12</f>
        <v>0</v>
      </c>
    </row>
    <row r="13" spans="1:12" x14ac:dyDescent="0.15">
      <c r="A13">
        <v>12</v>
      </c>
      <c r="B13">
        <f>[3]孙悟空!$C$13</f>
        <v>1750</v>
      </c>
      <c r="C13">
        <f t="shared" si="0"/>
        <v>250</v>
      </c>
      <c r="D13">
        <f>[3]孙悟空!$D$13</f>
        <v>389</v>
      </c>
      <c r="E13">
        <f>[3]孙悟空!$E$13</f>
        <v>285</v>
      </c>
      <c r="F13">
        <f>ROUND([3]孙悟空!$F$13*1000,0)</f>
        <v>55</v>
      </c>
      <c r="G13">
        <f>ROUND([3]孙悟空!$H$13*100,0)</f>
        <v>100</v>
      </c>
      <c r="H13">
        <f>[3]孙悟空!$I$13</f>
        <v>104</v>
      </c>
      <c r="I13">
        <f>[3]孙悟空!$J$13</f>
        <v>78</v>
      </c>
      <c r="J13">
        <f>[3]孙悟空!$V$13</f>
        <v>1</v>
      </c>
      <c r="K13">
        <f>[3]孙悟空!$Y$13</f>
        <v>1.3200000000000003</v>
      </c>
      <c r="L13">
        <f>[3]孙悟空!$Z$13</f>
        <v>0</v>
      </c>
    </row>
    <row r="14" spans="1:12" x14ac:dyDescent="0.15">
      <c r="A14">
        <v>13</v>
      </c>
      <c r="B14">
        <f>[3]孙悟空!$C$14</f>
        <v>2050</v>
      </c>
      <c r="C14">
        <f t="shared" si="0"/>
        <v>300</v>
      </c>
      <c r="D14">
        <f>[3]孙悟空!$D$14</f>
        <v>450</v>
      </c>
      <c r="E14">
        <f>[3]孙悟空!$E$14</f>
        <v>330</v>
      </c>
      <c r="F14">
        <f>ROUND([3]孙悟空!$F$14*1000,0)</f>
        <v>65</v>
      </c>
      <c r="G14">
        <f>ROUND([3]孙悟空!$H$14*100,0)</f>
        <v>100</v>
      </c>
      <c r="H14">
        <f>[3]孙悟空!$I$14</f>
        <v>120</v>
      </c>
      <c r="I14">
        <f>[3]孙悟空!$J$14</f>
        <v>90</v>
      </c>
      <c r="J14">
        <f>[3]孙悟空!$V$14</f>
        <v>1</v>
      </c>
      <c r="K14">
        <f>[3]孙悟空!$Y$14</f>
        <v>1.3800000000000003</v>
      </c>
      <c r="L14">
        <f>[3]孙悟空!$Z$14</f>
        <v>0</v>
      </c>
    </row>
    <row r="15" spans="1:12" x14ac:dyDescent="0.15">
      <c r="A15">
        <v>14</v>
      </c>
      <c r="B15">
        <f>[3]孙悟空!$C$15</f>
        <v>2400</v>
      </c>
      <c r="C15">
        <f t="shared" si="0"/>
        <v>350</v>
      </c>
      <c r="D15">
        <f>[3]孙悟空!$D$15</f>
        <v>667</v>
      </c>
      <c r="E15">
        <f>[3]孙悟空!$E$15</f>
        <v>380</v>
      </c>
      <c r="F15">
        <f>ROUND([3]孙悟空!$F$15*1000,0)</f>
        <v>76</v>
      </c>
      <c r="G15">
        <f>ROUND([3]孙悟空!$H$15*100,0)</f>
        <v>100</v>
      </c>
      <c r="H15">
        <f>[3]孙悟空!$I$15</f>
        <v>138</v>
      </c>
      <c r="I15">
        <f>[3]孙悟空!$J$15</f>
        <v>133</v>
      </c>
      <c r="J15">
        <f>[3]孙悟空!$V$15</f>
        <v>1</v>
      </c>
      <c r="K15">
        <f>[3]孙悟空!$Y$15</f>
        <v>1.4500000000000004</v>
      </c>
      <c r="L15">
        <f>[3]孙悟空!$Z$15</f>
        <v>0</v>
      </c>
    </row>
    <row r="16" spans="1:12" x14ac:dyDescent="0.15">
      <c r="A16">
        <v>15</v>
      </c>
      <c r="B16">
        <f>[3]孙悟空!$C$16</f>
        <v>2850</v>
      </c>
      <c r="C16">
        <f t="shared" si="0"/>
        <v>450</v>
      </c>
      <c r="D16">
        <f>[3]孙悟空!$D$16</f>
        <v>805</v>
      </c>
      <c r="E16">
        <f>[3]孙悟空!$E$16</f>
        <v>436</v>
      </c>
      <c r="F16">
        <f>ROUND([3]孙悟空!$F$16*1000,0)</f>
        <v>89</v>
      </c>
      <c r="G16">
        <f>ROUND([3]孙悟空!$H$16*100,0)</f>
        <v>100</v>
      </c>
      <c r="H16">
        <f>[3]孙悟空!$I$16</f>
        <v>158</v>
      </c>
      <c r="I16">
        <f>[3]孙悟空!$J$16</f>
        <v>161</v>
      </c>
      <c r="J16">
        <f>[3]孙悟空!$V$16</f>
        <v>1</v>
      </c>
      <c r="K16">
        <f>[3]孙悟空!$Y$16</f>
        <v>1.5400000000000005</v>
      </c>
      <c r="L16">
        <f>[3]孙悟空!$Z$16</f>
        <v>0</v>
      </c>
    </row>
    <row r="17" spans="1:12" x14ac:dyDescent="0.15">
      <c r="A17">
        <v>16</v>
      </c>
      <c r="B17">
        <f>[3]孙悟空!$C$17</f>
        <v>3350</v>
      </c>
      <c r="C17">
        <f t="shared" si="0"/>
        <v>500</v>
      </c>
      <c r="D17">
        <f>[3]孙悟空!$D$17</f>
        <v>1155</v>
      </c>
      <c r="E17">
        <f>[3]孙悟空!$E$17</f>
        <v>498</v>
      </c>
      <c r="F17">
        <f>ROUND([3]孙悟空!$F$17*1000,0)</f>
        <v>100</v>
      </c>
      <c r="G17">
        <f>ROUND([3]孙悟空!$H$17*100,0)</f>
        <v>100</v>
      </c>
      <c r="H17">
        <f>[3]孙悟空!$I$17</f>
        <v>180</v>
      </c>
      <c r="I17">
        <f>[3]孙悟空!$J$17</f>
        <v>231</v>
      </c>
      <c r="J17">
        <f>[3]孙悟空!$V$17</f>
        <v>1</v>
      </c>
      <c r="K17">
        <f>[3]孙悟空!$Y$17</f>
        <v>1.6400000000000006</v>
      </c>
      <c r="L17">
        <f>[3]孙悟空!$Z$17</f>
        <v>0</v>
      </c>
    </row>
    <row r="18" spans="1:12" x14ac:dyDescent="0.15">
      <c r="A18">
        <v>17</v>
      </c>
      <c r="B18">
        <f>[3]孙悟空!$C$18</f>
        <v>3900</v>
      </c>
      <c r="C18">
        <f t="shared" si="0"/>
        <v>550</v>
      </c>
      <c r="D18">
        <f>[3]孙悟空!$D$18</f>
        <v>1350</v>
      </c>
      <c r="E18">
        <f>[3]孙悟空!$E$18</f>
        <v>567</v>
      </c>
      <c r="F18">
        <f>ROUND([3]孙悟空!$F$18*1000,0)</f>
        <v>111</v>
      </c>
      <c r="G18">
        <f>ROUND([3]孙悟空!$H$18*100,0)</f>
        <v>100</v>
      </c>
      <c r="H18">
        <f>[3]孙悟空!$I$18</f>
        <v>205</v>
      </c>
      <c r="I18">
        <f>[3]孙悟空!$J$18</f>
        <v>270</v>
      </c>
      <c r="J18">
        <f>[3]孙悟空!$V$18</f>
        <v>1</v>
      </c>
      <c r="K18">
        <f>[3]孙悟空!$Y$18</f>
        <v>1.7500000000000007</v>
      </c>
      <c r="L18">
        <f>[3]孙悟空!$Z$18</f>
        <v>0</v>
      </c>
    </row>
    <row r="19" spans="1:12" x14ac:dyDescent="0.15">
      <c r="A19">
        <v>18</v>
      </c>
      <c r="B19">
        <f>[3]孙悟空!$C$19</f>
        <v>4550</v>
      </c>
      <c r="C19">
        <f t="shared" si="0"/>
        <v>650</v>
      </c>
      <c r="D19">
        <f>[3]孙悟空!$D$19</f>
        <v>1590</v>
      </c>
      <c r="E19">
        <f>[3]孙悟空!$E$19</f>
        <v>644</v>
      </c>
      <c r="F19">
        <f>ROUND([3]孙悟空!$F$19*1000,0)</f>
        <v>125</v>
      </c>
      <c r="G19">
        <f>ROUND([3]孙悟空!$H$19*100,0)</f>
        <v>100</v>
      </c>
      <c r="H19">
        <f>[3]孙悟空!$I$19</f>
        <v>233</v>
      </c>
      <c r="I19">
        <f>[3]孙悟空!$J$19</f>
        <v>318</v>
      </c>
      <c r="J19">
        <f>[3]孙悟空!$V$19</f>
        <v>1</v>
      </c>
      <c r="K19">
        <f>[3]孙悟空!$Y$19</f>
        <v>1.8800000000000008</v>
      </c>
      <c r="L19">
        <f>[3]孙悟空!$Z$19</f>
        <v>0</v>
      </c>
    </row>
    <row r="20" spans="1:12" x14ac:dyDescent="0.15">
      <c r="A20">
        <v>19</v>
      </c>
      <c r="B20">
        <f>[3]孙悟空!$C$20</f>
        <v>5500</v>
      </c>
      <c r="C20">
        <f t="shared" si="0"/>
        <v>950</v>
      </c>
      <c r="D20">
        <f>[3]孙悟空!$D$20</f>
        <v>2324</v>
      </c>
      <c r="E20">
        <f>[3]孙悟空!$E$20</f>
        <v>730</v>
      </c>
      <c r="F20">
        <f>ROUND([3]孙悟空!$F$20*1000,0)</f>
        <v>130</v>
      </c>
      <c r="G20">
        <f>ROUND([3]孙悟空!$H$20*100,0)</f>
        <v>100</v>
      </c>
      <c r="H20">
        <f>[3]孙悟空!$I$20</f>
        <v>265</v>
      </c>
      <c r="I20">
        <f>[3]孙悟空!$J$20</f>
        <v>465</v>
      </c>
      <c r="J20">
        <f>[3]孙悟空!$V$20</f>
        <v>1</v>
      </c>
      <c r="K20">
        <f>[3]孙悟空!$Y$20</f>
        <v>2.0699999999999994</v>
      </c>
      <c r="L20">
        <f>[3]孙悟空!$Z$20</f>
        <v>0</v>
      </c>
    </row>
    <row r="21" spans="1:12" x14ac:dyDescent="0.15">
      <c r="A21">
        <v>20</v>
      </c>
      <c r="B21">
        <f>[3]孙悟空!$C$21</f>
        <v>6600</v>
      </c>
      <c r="C21">
        <f t="shared" si="0"/>
        <v>1100</v>
      </c>
      <c r="D21">
        <f>[3]孙悟空!$D$21</f>
        <v>3078</v>
      </c>
      <c r="E21">
        <f>[3]孙悟空!$E$21</f>
        <v>880</v>
      </c>
      <c r="F21">
        <f>ROUND([3]孙悟空!$F$21*1000,0)</f>
        <v>180</v>
      </c>
      <c r="G21">
        <f>ROUND([3]孙悟空!$H$21*100,0)</f>
        <v>100</v>
      </c>
      <c r="H21">
        <f>[3]孙悟空!$I$21</f>
        <v>300</v>
      </c>
      <c r="I21">
        <f>[3]孙悟空!$J$21</f>
        <v>616</v>
      </c>
      <c r="J21">
        <f>[3]孙悟空!$V$21</f>
        <v>1</v>
      </c>
      <c r="K21">
        <f>[3]孙悟空!$Y$21</f>
        <v>2.3899999999999926</v>
      </c>
      <c r="L21">
        <f>[3]孙悟空!$Z$21</f>
        <v>0</v>
      </c>
    </row>
    <row r="22" spans="1:12" x14ac:dyDescent="0.15">
      <c r="A22">
        <v>21</v>
      </c>
      <c r="B22">
        <f>[3]孙悟空!$C$22</f>
        <v>9450</v>
      </c>
      <c r="C22">
        <f t="shared" si="0"/>
        <v>2850</v>
      </c>
      <c r="D22">
        <f>[3]孙悟空!$D$22</f>
        <v>4293</v>
      </c>
      <c r="E22">
        <f>[3]孙悟空!$E$22</f>
        <v>1083</v>
      </c>
      <c r="F22">
        <f>ROUND([3]孙悟空!$F$22*1000,0)</f>
        <v>180</v>
      </c>
      <c r="G22">
        <f>ROUND([3]孙悟空!$H$22*100,0)</f>
        <v>100</v>
      </c>
      <c r="H22">
        <f>[3]孙悟空!$I$22</f>
        <v>353</v>
      </c>
      <c r="I22">
        <f>[3]孙悟空!$J$22</f>
        <v>859</v>
      </c>
      <c r="J22">
        <f>[3]孙悟空!$V$22</f>
        <v>1</v>
      </c>
      <c r="K22">
        <f>[3]孙悟空!$Y$22</f>
        <v>2.8599999999999826</v>
      </c>
      <c r="L22">
        <f>[3]孙悟空!$Z$22</f>
        <v>335</v>
      </c>
    </row>
    <row r="23" spans="1:12" x14ac:dyDescent="0.15">
      <c r="A23">
        <v>22</v>
      </c>
      <c r="B23">
        <f>[3]孙悟空!$C$23</f>
        <v>12800</v>
      </c>
      <c r="C23">
        <f t="shared" si="0"/>
        <v>3350</v>
      </c>
      <c r="D23">
        <f>[3]孙悟空!$D$23</f>
        <v>6778</v>
      </c>
      <c r="E23">
        <f>[3]孙悟空!$E$23</f>
        <v>1357</v>
      </c>
      <c r="F23">
        <f>ROUND([3]孙悟空!$F$23*1000,0)</f>
        <v>180</v>
      </c>
      <c r="G23">
        <f>ROUND([3]孙悟空!$H$23*100,0)</f>
        <v>100</v>
      </c>
      <c r="H23">
        <f>[3]孙悟空!$I$23</f>
        <v>433</v>
      </c>
      <c r="I23">
        <f>[3]孙悟空!$J$23</f>
        <v>1356</v>
      </c>
      <c r="J23">
        <f>[3]孙悟空!$V$23</f>
        <v>1</v>
      </c>
      <c r="K23">
        <f>[3]孙悟空!$Y$23</f>
        <v>3.5299999999999683</v>
      </c>
      <c r="L23">
        <f>[3]孙悟空!$Z$23</f>
        <v>460</v>
      </c>
    </row>
    <row r="24" spans="1:12" x14ac:dyDescent="0.15">
      <c r="A24">
        <v>23</v>
      </c>
      <c r="B24">
        <f>[3]孙悟空!$C$24</f>
        <v>17400</v>
      </c>
      <c r="C24">
        <f t="shared" si="0"/>
        <v>4600</v>
      </c>
      <c r="D24">
        <f>[3]孙悟空!$D$24</f>
        <v>9400</v>
      </c>
      <c r="E24">
        <f>[3]孙悟空!$E$24</f>
        <v>1727</v>
      </c>
      <c r="F24">
        <f>ROUND([3]孙悟空!$F$24*1000,0)</f>
        <v>200</v>
      </c>
      <c r="G24">
        <f>ROUND([3]孙悟空!$H$24*100,0)</f>
        <v>100</v>
      </c>
      <c r="H24">
        <f>[3]孙悟空!$I$24</f>
        <v>553</v>
      </c>
      <c r="I24">
        <f>[3]孙悟空!$J$24</f>
        <v>1880</v>
      </c>
      <c r="J24">
        <f>[3]孙悟空!$V$24</f>
        <v>1</v>
      </c>
      <c r="K24">
        <f>[3]孙悟空!$Y$24</f>
        <v>4.4499999999999487</v>
      </c>
      <c r="L24">
        <f>[3]孙悟空!$Z$24</f>
        <v>585</v>
      </c>
    </row>
    <row r="25" spans="1:12" x14ac:dyDescent="0.15">
      <c r="A25">
        <v>24</v>
      </c>
      <c r="B25">
        <f>[3]孙悟空!$C$25</f>
        <v>23250</v>
      </c>
      <c r="C25">
        <f t="shared" si="0"/>
        <v>5850</v>
      </c>
      <c r="D25">
        <f>[3]孙悟空!$D$25</f>
        <v>12707</v>
      </c>
      <c r="E25">
        <f>[3]孙悟空!$E$25</f>
        <v>2227</v>
      </c>
      <c r="F25">
        <f>ROUND([3]孙悟空!$F$25*1000,0)</f>
        <v>200</v>
      </c>
      <c r="G25">
        <f>ROUND([3]孙悟空!$H$25*100,0)</f>
        <v>100</v>
      </c>
      <c r="H25">
        <f>[3]孙悟空!$I$25</f>
        <v>733</v>
      </c>
      <c r="I25">
        <f>[3]孙悟空!$J$25</f>
        <v>2541</v>
      </c>
      <c r="J25">
        <f>[3]孙悟空!$V$25</f>
        <v>1</v>
      </c>
      <c r="K25">
        <f>[3]孙悟空!$Y$25</f>
        <v>5.6199999999999237</v>
      </c>
      <c r="L25">
        <f>[3]孙悟空!$Z$25</f>
        <v>750</v>
      </c>
    </row>
    <row r="26" spans="1:12" x14ac:dyDescent="0.15">
      <c r="A26">
        <v>25</v>
      </c>
      <c r="B26">
        <f>[3]孙悟空!$C$26</f>
        <v>30750</v>
      </c>
      <c r="C26">
        <f t="shared" si="0"/>
        <v>7500</v>
      </c>
      <c r="D26">
        <f>[3]孙悟空!$D$26</f>
        <v>16851</v>
      </c>
      <c r="E26">
        <f>[3]孙悟空!$E$26</f>
        <v>2902</v>
      </c>
      <c r="F26">
        <f>ROUND([3]孙悟空!$F$26*1000,0)</f>
        <v>200</v>
      </c>
      <c r="G26">
        <f>ROUND([3]孙悟空!$H$26*100,0)</f>
        <v>100</v>
      </c>
      <c r="H26">
        <f>[3]孙悟空!$I$26</f>
        <v>1003</v>
      </c>
      <c r="I26">
        <f>[3]孙悟空!$J$26</f>
        <v>3370</v>
      </c>
      <c r="J26">
        <f>[3]孙悟空!$V$26</f>
        <v>1</v>
      </c>
      <c r="K26">
        <f>[3]孙悟空!$Y$26</f>
        <v>7.1199999999998917</v>
      </c>
      <c r="L26">
        <f>[3]孙悟空!$Z$26</f>
        <v>1000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-0.499984740745262"/>
  </sheetPr>
  <dimension ref="A1:L26"/>
  <sheetViews>
    <sheetView workbookViewId="0">
      <selection activeCell="J1" sqref="J1:L1048576"/>
    </sheetView>
  </sheetViews>
  <sheetFormatPr defaultRowHeight="13.5" x14ac:dyDescent="0.15"/>
  <cols>
    <col min="6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[3]猪八戒!$C$2</f>
        <v>50</v>
      </c>
      <c r="C2">
        <f>B2-0</f>
        <v>50</v>
      </c>
      <c r="D2">
        <f>[3]猪八戒!$D$2</f>
        <v>30</v>
      </c>
      <c r="E2">
        <f>[3]猪八戒!$E$2</f>
        <v>9</v>
      </c>
      <c r="F2">
        <f>ROUND([3]猪八戒!$F$2 *1000,0)</f>
        <v>0</v>
      </c>
      <c r="G2">
        <f>ROUND([3]猪八戒!$H$2 *100,0)</f>
        <v>70</v>
      </c>
      <c r="H2">
        <f>[3]猪八戒!$I$2</f>
        <v>9</v>
      </c>
      <c r="I2">
        <f>[3]猪八戒!$J$2</f>
        <v>9</v>
      </c>
      <c r="J2">
        <f>[3]猪八戒!$V$2</f>
        <v>1</v>
      </c>
      <c r="K2">
        <f>[3]猪八戒!$Y$2</f>
        <v>1</v>
      </c>
      <c r="L2">
        <f>[3]猪八戒!$Z$2</f>
        <v>0</v>
      </c>
    </row>
    <row r="3" spans="1:12" x14ac:dyDescent="0.15">
      <c r="A3">
        <v>2</v>
      </c>
      <c r="B3">
        <f>[3]猪八戒!$C$3</f>
        <v>100</v>
      </c>
      <c r="C3">
        <f>B3-B2</f>
        <v>50</v>
      </c>
      <c r="D3">
        <f>[3]猪八戒!$D$3</f>
        <v>34</v>
      </c>
      <c r="E3">
        <f>[3]猪八戒!$E$3</f>
        <v>17</v>
      </c>
      <c r="F3">
        <f>ROUND([3]猪八戒!$F$3 *1000,0)</f>
        <v>0</v>
      </c>
      <c r="G3">
        <f>ROUND([3]猪八戒!$H$3 *100,0)</f>
        <v>70</v>
      </c>
      <c r="H3">
        <f>[3]猪八戒!$I$3</f>
        <v>12</v>
      </c>
      <c r="I3">
        <f>[3]猪八戒!$J$3</f>
        <v>10</v>
      </c>
      <c r="J3">
        <f>[3]猪八戒!$V$3</f>
        <v>1</v>
      </c>
      <c r="K3">
        <f>[3]猪八戒!$Y$3</f>
        <v>1</v>
      </c>
      <c r="L3">
        <f>[3]猪八戒!$Z$3</f>
        <v>0</v>
      </c>
    </row>
    <row r="4" spans="1:12" x14ac:dyDescent="0.15">
      <c r="A4">
        <v>3</v>
      </c>
      <c r="B4">
        <f>[3]猪八戒!$C$4</f>
        <v>150</v>
      </c>
      <c r="C4">
        <f t="shared" ref="C4:C26" si="0">B4-B3</f>
        <v>50</v>
      </c>
      <c r="D4">
        <f>[3]猪八戒!$D$4</f>
        <v>38</v>
      </c>
      <c r="E4">
        <f>[3]猪八戒!$E$4</f>
        <v>26</v>
      </c>
      <c r="F4">
        <f>ROUND([3]猪八戒!$F$4 *1000,0)</f>
        <v>0</v>
      </c>
      <c r="G4">
        <f>ROUND([3]猪八戒!$H$4 *100,0)</f>
        <v>70</v>
      </c>
      <c r="H4">
        <f>[3]猪八戒!$I$4</f>
        <v>15</v>
      </c>
      <c r="I4">
        <f>[3]猪八戒!$J$4</f>
        <v>11</v>
      </c>
      <c r="J4">
        <f>[3]猪八戒!$V$4</f>
        <v>1</v>
      </c>
      <c r="K4">
        <f>[3]猪八戒!$Y$4</f>
        <v>1</v>
      </c>
      <c r="L4">
        <f>[3]猪八戒!$Z$4</f>
        <v>0</v>
      </c>
    </row>
    <row r="5" spans="1:12" x14ac:dyDescent="0.15">
      <c r="A5">
        <v>4</v>
      </c>
      <c r="B5">
        <f>[3]猪八戒!$C$5</f>
        <v>250</v>
      </c>
      <c r="C5">
        <f t="shared" si="0"/>
        <v>100</v>
      </c>
      <c r="D5">
        <f>[3]猪八戒!$D$5</f>
        <v>48</v>
      </c>
      <c r="E5">
        <f>[3]猪八戒!$E$5</f>
        <v>40</v>
      </c>
      <c r="F5">
        <f>ROUND([3]猪八戒!$F$5 *1000,0)</f>
        <v>0</v>
      </c>
      <c r="G5">
        <f>ROUND([3]猪八戒!$H$5 *100,0)</f>
        <v>70</v>
      </c>
      <c r="H5">
        <f>[3]猪八戒!$I$5</f>
        <v>21</v>
      </c>
      <c r="I5">
        <f>[3]猪八戒!$J$5</f>
        <v>14</v>
      </c>
      <c r="J5">
        <f>[3]猪八戒!$V$5</f>
        <v>1</v>
      </c>
      <c r="K5">
        <f>[3]猪八戒!$Y$5</f>
        <v>1.02</v>
      </c>
      <c r="L5">
        <f>[3]猪八戒!$Z$5</f>
        <v>0</v>
      </c>
    </row>
    <row r="6" spans="1:12" x14ac:dyDescent="0.15">
      <c r="A6">
        <v>5</v>
      </c>
      <c r="B6">
        <f>[3]猪八戒!$C$6</f>
        <v>350</v>
      </c>
      <c r="C6">
        <f t="shared" si="0"/>
        <v>100</v>
      </c>
      <c r="D6">
        <f>[3]猪八戒!$D$6</f>
        <v>53</v>
      </c>
      <c r="E6">
        <f>[3]猪八戒!$E$6</f>
        <v>58</v>
      </c>
      <c r="F6">
        <f>ROUND([3]猪八戒!$F$6 *1000,0)</f>
        <v>0</v>
      </c>
      <c r="G6">
        <f>ROUND([3]猪八戒!$H$6 *100,0)</f>
        <v>70</v>
      </c>
      <c r="H6">
        <f>[3]猪八戒!$I$6</f>
        <v>28</v>
      </c>
      <c r="I6">
        <f>[3]猪八戒!$J$6</f>
        <v>16</v>
      </c>
      <c r="J6">
        <f>[3]猪八戒!$V$6</f>
        <v>1</v>
      </c>
      <c r="K6">
        <f>[3]猪八戒!$Y$6</f>
        <v>1.04</v>
      </c>
      <c r="L6">
        <f>[3]猪八戒!$Z$6</f>
        <v>0</v>
      </c>
    </row>
    <row r="7" spans="1:12" x14ac:dyDescent="0.15">
      <c r="A7">
        <v>6</v>
      </c>
      <c r="B7">
        <f>[3]猪八戒!$C$7</f>
        <v>500</v>
      </c>
      <c r="C7">
        <f t="shared" si="0"/>
        <v>150</v>
      </c>
      <c r="D7">
        <f>[3]猪八戒!$D$7</f>
        <v>65</v>
      </c>
      <c r="E7">
        <f>[3]猪八戒!$E$7</f>
        <v>84</v>
      </c>
      <c r="F7">
        <f>ROUND([3]猪八戒!$F$7 *1000,0)</f>
        <v>0</v>
      </c>
      <c r="G7">
        <f>ROUND([3]猪八戒!$H$7 *100,0)</f>
        <v>70</v>
      </c>
      <c r="H7">
        <f>[3]猪八戒!$I$7</f>
        <v>36</v>
      </c>
      <c r="I7">
        <f>[3]猪八戒!$J$7</f>
        <v>20</v>
      </c>
      <c r="J7">
        <f>[3]猪八戒!$V$7</f>
        <v>1</v>
      </c>
      <c r="K7">
        <f>[3]猪八戒!$Y$7</f>
        <v>1.07</v>
      </c>
      <c r="L7">
        <f>[3]猪八戒!$Z$7</f>
        <v>0</v>
      </c>
    </row>
    <row r="8" spans="1:12" x14ac:dyDescent="0.15">
      <c r="A8">
        <v>7</v>
      </c>
      <c r="B8">
        <f>[3]猪八戒!$C$8</f>
        <v>650</v>
      </c>
      <c r="C8">
        <f t="shared" si="0"/>
        <v>150</v>
      </c>
      <c r="D8">
        <f>[3]猪八戒!$D$8</f>
        <v>81</v>
      </c>
      <c r="E8">
        <f>[3]猪八戒!$E$8</f>
        <v>106</v>
      </c>
      <c r="F8">
        <f>ROUND([3]猪八戒!$F$8 *1000,0)</f>
        <v>0</v>
      </c>
      <c r="G8">
        <f>ROUND([3]猪八戒!$H$8 *100,0)</f>
        <v>70</v>
      </c>
      <c r="H8">
        <f>[3]猪八戒!$I$8</f>
        <v>45</v>
      </c>
      <c r="I8">
        <f>[3]猪八戒!$J$8</f>
        <v>24</v>
      </c>
      <c r="J8">
        <f>[3]猪八戒!$V$8</f>
        <v>1</v>
      </c>
      <c r="K8">
        <f>[3]猪八戒!$Y$8</f>
        <v>1.1000000000000001</v>
      </c>
      <c r="L8">
        <f>[3]猪八戒!$Z$8</f>
        <v>0</v>
      </c>
    </row>
    <row r="9" spans="1:12" x14ac:dyDescent="0.15">
      <c r="A9">
        <v>8</v>
      </c>
      <c r="B9">
        <f>[3]猪八戒!$C$9</f>
        <v>850</v>
      </c>
      <c r="C9">
        <f t="shared" si="0"/>
        <v>200</v>
      </c>
      <c r="D9">
        <f>[3]猪八戒!$D$9</f>
        <v>155</v>
      </c>
      <c r="E9">
        <f>[3]猪八戒!$E$9</f>
        <v>130</v>
      </c>
      <c r="F9">
        <f>ROUND([3]猪八戒!$F$9 *1000,0)</f>
        <v>0</v>
      </c>
      <c r="G9">
        <f>ROUND([3]猪八戒!$H$9 *100,0)</f>
        <v>70</v>
      </c>
      <c r="H9">
        <f>[3]猪八戒!$I$9</f>
        <v>55</v>
      </c>
      <c r="I9">
        <f>[3]猪八戒!$J$9</f>
        <v>47</v>
      </c>
      <c r="J9">
        <f>[3]猪八戒!$V$9</f>
        <v>1</v>
      </c>
      <c r="K9">
        <f>[3]猪八戒!$Y$9</f>
        <v>1.1400000000000001</v>
      </c>
      <c r="L9">
        <f>[3]猪八戒!$Z$9</f>
        <v>0</v>
      </c>
    </row>
    <row r="10" spans="1:12" x14ac:dyDescent="0.15">
      <c r="A10">
        <v>9</v>
      </c>
      <c r="B10">
        <f>[3]猪八戒!$C$10</f>
        <v>1050</v>
      </c>
      <c r="C10">
        <f t="shared" si="0"/>
        <v>200</v>
      </c>
      <c r="D10">
        <f>[3]猪八戒!$D$10</f>
        <v>189</v>
      </c>
      <c r="E10">
        <f>[3]猪八戒!$E$10</f>
        <v>157</v>
      </c>
      <c r="F10">
        <f>ROUND([3]猪八戒!$F$10*1000,0)</f>
        <v>0</v>
      </c>
      <c r="G10">
        <f>ROUND([3]猪八戒!$H$10*100,0)</f>
        <v>70</v>
      </c>
      <c r="H10">
        <f>[3]猪八戒!$I$10</f>
        <v>66</v>
      </c>
      <c r="I10">
        <f>[3]猪八戒!$J$10</f>
        <v>57</v>
      </c>
      <c r="J10">
        <f>[3]猪八戒!$V$10</f>
        <v>1</v>
      </c>
      <c r="K10">
        <f>[3]猪八戒!$Y$10</f>
        <v>1.1800000000000002</v>
      </c>
      <c r="L10">
        <f>[3]猪八戒!$Z$10</f>
        <v>0</v>
      </c>
    </row>
    <row r="11" spans="1:12" x14ac:dyDescent="0.15">
      <c r="A11">
        <v>10</v>
      </c>
      <c r="B11">
        <f>[3]猪八戒!$C$11</f>
        <v>1250</v>
      </c>
      <c r="C11">
        <f t="shared" si="0"/>
        <v>200</v>
      </c>
      <c r="D11">
        <f>[3]猪八戒!$D$11</f>
        <v>218</v>
      </c>
      <c r="E11">
        <f>[3]猪八戒!$E$11</f>
        <v>187</v>
      </c>
      <c r="F11">
        <f>ROUND([3]猪八戒!$F$11*1000,0)</f>
        <v>0</v>
      </c>
      <c r="G11">
        <f>ROUND([3]猪八戒!$H$11*100,0)</f>
        <v>70</v>
      </c>
      <c r="H11">
        <f>[3]猪八戒!$I$11</f>
        <v>78</v>
      </c>
      <c r="I11">
        <f>[3]猪八戒!$J$11</f>
        <v>65</v>
      </c>
      <c r="J11">
        <f>[3]猪八戒!$V$11</f>
        <v>1</v>
      </c>
      <c r="K11">
        <f>[3]猪八戒!$Y$11</f>
        <v>1.2200000000000002</v>
      </c>
      <c r="L11">
        <f>[3]猪八戒!$Z$11</f>
        <v>0</v>
      </c>
    </row>
    <row r="12" spans="1:12" x14ac:dyDescent="0.15">
      <c r="A12">
        <v>11</v>
      </c>
      <c r="B12">
        <f>[3]猪八戒!$C$12</f>
        <v>1500</v>
      </c>
      <c r="C12">
        <f t="shared" si="0"/>
        <v>250</v>
      </c>
      <c r="D12">
        <f>[3]猪八戒!$D$12</f>
        <v>339</v>
      </c>
      <c r="E12">
        <f>[3]猪八戒!$E$12</f>
        <v>220</v>
      </c>
      <c r="F12">
        <f>ROUND([3]猪八戒!$F$12*1000,0)</f>
        <v>0</v>
      </c>
      <c r="G12">
        <f>ROUND([3]猪八戒!$H$12*100,0)</f>
        <v>70</v>
      </c>
      <c r="H12">
        <f>[3]猪八戒!$I$12</f>
        <v>91</v>
      </c>
      <c r="I12">
        <f>[3]猪八戒!$J$12</f>
        <v>102</v>
      </c>
      <c r="J12">
        <f>[3]猪八戒!$V$12</f>
        <v>1</v>
      </c>
      <c r="K12">
        <f>[3]猪八戒!$Y$12</f>
        <v>1.2700000000000002</v>
      </c>
      <c r="L12">
        <f>[3]猪八戒!$Z$12</f>
        <v>0</v>
      </c>
    </row>
    <row r="13" spans="1:12" x14ac:dyDescent="0.15">
      <c r="A13">
        <v>12</v>
      </c>
      <c r="B13">
        <f>[3]猪八戒!$C$13</f>
        <v>1750</v>
      </c>
      <c r="C13">
        <f t="shared" si="0"/>
        <v>250</v>
      </c>
      <c r="D13">
        <f>[3]猪八戒!$D$13</f>
        <v>389</v>
      </c>
      <c r="E13">
        <f>[3]猪八戒!$E$13</f>
        <v>257</v>
      </c>
      <c r="F13">
        <f>ROUND([3]猪八戒!$F$13*1000,0)</f>
        <v>0</v>
      </c>
      <c r="G13">
        <f>ROUND([3]猪八戒!$H$13*100,0)</f>
        <v>70</v>
      </c>
      <c r="H13">
        <f>[3]猪八戒!$I$13</f>
        <v>105</v>
      </c>
      <c r="I13">
        <f>[3]猪八戒!$J$13</f>
        <v>117</v>
      </c>
      <c r="J13">
        <f>[3]猪八戒!$V$13</f>
        <v>1</v>
      </c>
      <c r="K13">
        <f>[3]猪八戒!$Y$13</f>
        <v>1.3200000000000003</v>
      </c>
      <c r="L13">
        <f>[3]猪八戒!$Z$13</f>
        <v>0</v>
      </c>
    </row>
    <row r="14" spans="1:12" x14ac:dyDescent="0.15">
      <c r="A14">
        <v>13</v>
      </c>
      <c r="B14">
        <f>[3]猪八戒!$C$14</f>
        <v>2050</v>
      </c>
      <c r="C14">
        <f t="shared" si="0"/>
        <v>300</v>
      </c>
      <c r="D14">
        <f>[3]猪八戒!$D$14</f>
        <v>454</v>
      </c>
      <c r="E14">
        <f>[3]猪八戒!$E$14</f>
        <v>298</v>
      </c>
      <c r="F14">
        <f>ROUND([3]猪八戒!$F$14*1000,0)</f>
        <v>0</v>
      </c>
      <c r="G14">
        <f>ROUND([3]猪八戒!$H$14*100,0)</f>
        <v>70</v>
      </c>
      <c r="H14">
        <f>[3]猪八戒!$I$14</f>
        <v>121</v>
      </c>
      <c r="I14">
        <f>[3]猪八戒!$J$14</f>
        <v>136</v>
      </c>
      <c r="J14">
        <f>[3]猪八戒!$V$14</f>
        <v>1</v>
      </c>
      <c r="K14">
        <f>[3]猪八戒!$Y$14</f>
        <v>1.3800000000000003</v>
      </c>
      <c r="L14">
        <f>[3]猪八戒!$Z$14</f>
        <v>0</v>
      </c>
    </row>
    <row r="15" spans="1:12" x14ac:dyDescent="0.15">
      <c r="A15">
        <v>14</v>
      </c>
      <c r="B15">
        <f>[3]猪八戒!$C$15</f>
        <v>2400</v>
      </c>
      <c r="C15">
        <f t="shared" si="0"/>
        <v>350</v>
      </c>
      <c r="D15">
        <f>[3]猪八戒!$D$15</f>
        <v>653</v>
      </c>
      <c r="E15">
        <f>[3]猪八戒!$E$15</f>
        <v>344</v>
      </c>
      <c r="F15">
        <f>ROUND([3]猪八戒!$F$15*1000,0)</f>
        <v>0</v>
      </c>
      <c r="G15">
        <f>ROUND([3]猪八戒!$H$15*100,0)</f>
        <v>70</v>
      </c>
      <c r="H15">
        <f>[3]猪八戒!$I$15</f>
        <v>139</v>
      </c>
      <c r="I15">
        <f>[3]猪八戒!$J$15</f>
        <v>196</v>
      </c>
      <c r="J15">
        <f>[3]猪八戒!$V$15</f>
        <v>1</v>
      </c>
      <c r="K15">
        <f>[3]猪八戒!$Y$15</f>
        <v>1.4500000000000004</v>
      </c>
      <c r="L15">
        <f>[3]猪八戒!$Z$15</f>
        <v>0</v>
      </c>
    </row>
    <row r="16" spans="1:12" x14ac:dyDescent="0.15">
      <c r="A16">
        <v>15</v>
      </c>
      <c r="B16">
        <f>[3]猪八戒!$C$16</f>
        <v>2850</v>
      </c>
      <c r="C16">
        <f t="shared" si="0"/>
        <v>450</v>
      </c>
      <c r="D16">
        <f>[3]猪八戒!$D$16</f>
        <v>790</v>
      </c>
      <c r="E16">
        <f>[3]猪八戒!$E$16</f>
        <v>395</v>
      </c>
      <c r="F16">
        <f>ROUND([3]猪八戒!$F$16*1000,0)</f>
        <v>0</v>
      </c>
      <c r="G16">
        <f>ROUND([3]猪八戒!$H$16*100,0)</f>
        <v>70</v>
      </c>
      <c r="H16">
        <f>[3]猪八戒!$I$16</f>
        <v>159</v>
      </c>
      <c r="I16">
        <f>[3]猪八戒!$J$16</f>
        <v>237</v>
      </c>
      <c r="J16">
        <f>[3]猪八戒!$V$16</f>
        <v>1</v>
      </c>
      <c r="K16">
        <f>[3]猪八戒!$Y$16</f>
        <v>1.5400000000000005</v>
      </c>
      <c r="L16">
        <f>[3]猪八戒!$Z$16</f>
        <v>0</v>
      </c>
    </row>
    <row r="17" spans="1:12" x14ac:dyDescent="0.15">
      <c r="A17">
        <v>16</v>
      </c>
      <c r="B17">
        <f>[3]猪八戒!$C$17</f>
        <v>3350</v>
      </c>
      <c r="C17">
        <f t="shared" si="0"/>
        <v>500</v>
      </c>
      <c r="D17">
        <f>[3]猪八戒!$D$17</f>
        <v>1108</v>
      </c>
      <c r="E17">
        <f>[3]猪八戒!$E$17</f>
        <v>452</v>
      </c>
      <c r="F17">
        <f>ROUND([3]猪八戒!$F$17*1000,0)</f>
        <v>0</v>
      </c>
      <c r="G17">
        <f>ROUND([3]猪八戒!$H$17*100,0)</f>
        <v>70</v>
      </c>
      <c r="H17">
        <f>[3]猪八戒!$I$17</f>
        <v>181</v>
      </c>
      <c r="I17">
        <f>[3]猪八戒!$J$17</f>
        <v>332</v>
      </c>
      <c r="J17">
        <f>[3]猪八戒!$V$17</f>
        <v>1</v>
      </c>
      <c r="K17">
        <f>[3]猪八戒!$Y$17</f>
        <v>1.6400000000000006</v>
      </c>
      <c r="L17">
        <f>[3]猪八戒!$Z$17</f>
        <v>0</v>
      </c>
    </row>
    <row r="18" spans="1:12" x14ac:dyDescent="0.15">
      <c r="A18">
        <v>17</v>
      </c>
      <c r="B18">
        <f>[3]猪八戒!$C$18</f>
        <v>3900</v>
      </c>
      <c r="C18">
        <f t="shared" si="0"/>
        <v>550</v>
      </c>
      <c r="D18">
        <f>[3]猪八戒!$D$18</f>
        <v>1300</v>
      </c>
      <c r="E18">
        <f>[3]猪八戒!$E$18</f>
        <v>515</v>
      </c>
      <c r="F18">
        <f>ROUND([3]猪八戒!$F$18*1000,0)</f>
        <v>0</v>
      </c>
      <c r="G18">
        <f>ROUND([3]猪八戒!$H$18*100,0)</f>
        <v>70</v>
      </c>
      <c r="H18">
        <f>[3]猪八戒!$I$18</f>
        <v>206</v>
      </c>
      <c r="I18">
        <f>[3]猪八戒!$J$18</f>
        <v>390</v>
      </c>
      <c r="J18">
        <f>[3]猪八戒!$V$18</f>
        <v>1</v>
      </c>
      <c r="K18">
        <f>[3]猪八戒!$Y$18</f>
        <v>1.7500000000000007</v>
      </c>
      <c r="L18">
        <f>[3]猪八戒!$Z$18</f>
        <v>0</v>
      </c>
    </row>
    <row r="19" spans="1:12" x14ac:dyDescent="0.15">
      <c r="A19">
        <v>18</v>
      </c>
      <c r="B19">
        <f>[3]猪八戒!$C$19</f>
        <v>4550</v>
      </c>
      <c r="C19">
        <f t="shared" si="0"/>
        <v>650</v>
      </c>
      <c r="D19">
        <f>[3]猪八戒!$D$19</f>
        <v>1535</v>
      </c>
      <c r="E19">
        <f>[3]猪八戒!$E$19</f>
        <v>585</v>
      </c>
      <c r="F19">
        <f>ROUND([3]猪八戒!$F$19*1000,0)</f>
        <v>0</v>
      </c>
      <c r="G19">
        <f>ROUND([3]猪八戒!$H$19*100,0)</f>
        <v>70</v>
      </c>
      <c r="H19">
        <f>[3]猪八戒!$I$19</f>
        <v>234</v>
      </c>
      <c r="I19">
        <f>[3]猪八戒!$J$19</f>
        <v>461</v>
      </c>
      <c r="J19">
        <f>[3]猪八戒!$V$19</f>
        <v>1</v>
      </c>
      <c r="K19">
        <f>[3]猪八戒!$Y$19</f>
        <v>1.8800000000000008</v>
      </c>
      <c r="L19">
        <f>[3]猪八戒!$Z$19</f>
        <v>0</v>
      </c>
    </row>
    <row r="20" spans="1:12" x14ac:dyDescent="0.15">
      <c r="A20">
        <v>19</v>
      </c>
      <c r="B20">
        <f>[3]猪八戒!$C$20</f>
        <v>5500</v>
      </c>
      <c r="C20">
        <f t="shared" si="0"/>
        <v>950</v>
      </c>
      <c r="D20">
        <f>[3]猪八戒!$D$20</f>
        <v>2188</v>
      </c>
      <c r="E20">
        <f>[3]猪八戒!$E$20</f>
        <v>663</v>
      </c>
      <c r="F20">
        <f>ROUND([3]猪八戒!$F$20*1000,0)</f>
        <v>0</v>
      </c>
      <c r="G20">
        <f>ROUND([3]猪八戒!$H$20*100,0)</f>
        <v>70</v>
      </c>
      <c r="H20">
        <f>[3]猪八戒!$I$20</f>
        <v>265</v>
      </c>
      <c r="I20">
        <f>[3]猪八戒!$J$20</f>
        <v>656</v>
      </c>
      <c r="J20">
        <f>[3]猪八戒!$V$20</f>
        <v>1</v>
      </c>
      <c r="K20">
        <f>[3]猪八戒!$Y$20</f>
        <v>2.0699999999999994</v>
      </c>
      <c r="L20">
        <f>[3]猪八戒!$Z$20</f>
        <v>0</v>
      </c>
    </row>
    <row r="21" spans="1:12" x14ac:dyDescent="0.15">
      <c r="A21">
        <v>20</v>
      </c>
      <c r="B21">
        <f>[3]猪八戒!$C$21</f>
        <v>6600</v>
      </c>
      <c r="C21">
        <f t="shared" si="0"/>
        <v>1100</v>
      </c>
      <c r="D21">
        <f>[3]猪八戒!$D$21</f>
        <v>2928</v>
      </c>
      <c r="E21">
        <f>[3]猪八戒!$E$21</f>
        <v>800</v>
      </c>
      <c r="F21">
        <f>ROUND([3]猪八戒!$F$21*1000,0)</f>
        <v>0</v>
      </c>
      <c r="G21">
        <f>ROUND([3]猪八戒!$H$21*100,0)</f>
        <v>70</v>
      </c>
      <c r="H21">
        <f>[3]猪八戒!$I$21</f>
        <v>300</v>
      </c>
      <c r="I21">
        <f>[3]猪八戒!$J$21</f>
        <v>878</v>
      </c>
      <c r="J21">
        <f>[3]猪八戒!$V$21</f>
        <v>1</v>
      </c>
      <c r="K21">
        <f>[3]猪八戒!$Y$21</f>
        <v>2.3899999999999926</v>
      </c>
      <c r="L21">
        <f>[3]猪八戒!$Z$21</f>
        <v>0</v>
      </c>
    </row>
    <row r="22" spans="1:12" x14ac:dyDescent="0.15">
      <c r="A22">
        <v>21</v>
      </c>
      <c r="B22">
        <f>[3]猪八戒!$C$22</f>
        <v>9450</v>
      </c>
      <c r="C22">
        <f t="shared" si="0"/>
        <v>2850</v>
      </c>
      <c r="D22">
        <f>[3]猪八戒!$D$22</f>
        <v>4053</v>
      </c>
      <c r="E22">
        <f>[3]猪八戒!$E$22</f>
        <v>971</v>
      </c>
      <c r="F22">
        <f>ROUND([3]猪八戒!$F$22*1000,0)</f>
        <v>0</v>
      </c>
      <c r="G22">
        <f>ROUND([3]猪八戒!$H$22*100,0)</f>
        <v>70</v>
      </c>
      <c r="H22">
        <f>[3]猪八戒!$I$22</f>
        <v>349</v>
      </c>
      <c r="I22">
        <f>[3]猪八戒!$J$22</f>
        <v>1216</v>
      </c>
      <c r="J22">
        <f>[3]猪八戒!$V$22</f>
        <v>1</v>
      </c>
      <c r="K22">
        <f>[3]猪八戒!$Y$22</f>
        <v>2.8599999999999826</v>
      </c>
      <c r="L22">
        <f>[3]猪八戒!$Z$22</f>
        <v>335</v>
      </c>
    </row>
    <row r="23" spans="1:12" x14ac:dyDescent="0.15">
      <c r="A23">
        <v>22</v>
      </c>
      <c r="B23">
        <f>[3]猪八戒!$C$23</f>
        <v>12800</v>
      </c>
      <c r="C23">
        <f t="shared" si="0"/>
        <v>3350</v>
      </c>
      <c r="D23">
        <f>[3]猪八戒!$D$23</f>
        <v>6315</v>
      </c>
      <c r="E23">
        <f>[3]猪八戒!$E$23</f>
        <v>1185</v>
      </c>
      <c r="F23">
        <f>ROUND([3]猪八戒!$F$23*1000,0)</f>
        <v>0</v>
      </c>
      <c r="G23">
        <f>ROUND([3]猪八戒!$H$23*100,0)</f>
        <v>70</v>
      </c>
      <c r="H23">
        <f>[3]猪八戒!$I$23</f>
        <v>418</v>
      </c>
      <c r="I23">
        <f>[3]猪八戒!$J$23</f>
        <v>1895</v>
      </c>
      <c r="J23">
        <f>[3]猪八戒!$V$23</f>
        <v>1</v>
      </c>
      <c r="K23">
        <f>[3]猪八戒!$Y$23</f>
        <v>3.5299999999999683</v>
      </c>
      <c r="L23">
        <f>[3]猪八戒!$Z$23</f>
        <v>460</v>
      </c>
    </row>
    <row r="24" spans="1:12" x14ac:dyDescent="0.15">
      <c r="A24">
        <v>23</v>
      </c>
      <c r="B24">
        <f>[3]猪八戒!$C$24</f>
        <v>17400</v>
      </c>
      <c r="C24">
        <f t="shared" si="0"/>
        <v>4600</v>
      </c>
      <c r="D24">
        <f>[3]猪八戒!$D$24</f>
        <v>8824</v>
      </c>
      <c r="E24">
        <f>[3]猪八戒!$E$24</f>
        <v>1453</v>
      </c>
      <c r="F24">
        <f>ROUND([3]猪八戒!$F$24*1000,0)</f>
        <v>0</v>
      </c>
      <c r="G24">
        <f>ROUND([3]猪八戒!$H$24*100,0)</f>
        <v>70</v>
      </c>
      <c r="H24">
        <f>[3]猪八戒!$I$24</f>
        <v>515</v>
      </c>
      <c r="I24">
        <f>[3]猪八戒!$J$24</f>
        <v>2647</v>
      </c>
      <c r="J24">
        <f>[3]猪八戒!$V$24</f>
        <v>1</v>
      </c>
      <c r="K24">
        <f>[3]猪八戒!$Y$24</f>
        <v>4.4499999999999487</v>
      </c>
      <c r="L24">
        <f>[3]猪八戒!$Z$24</f>
        <v>585</v>
      </c>
    </row>
    <row r="25" spans="1:12" x14ac:dyDescent="0.15">
      <c r="A25">
        <v>24</v>
      </c>
      <c r="B25">
        <f>[3]猪八戒!$C$25</f>
        <v>23250</v>
      </c>
      <c r="C25">
        <f t="shared" si="0"/>
        <v>5850</v>
      </c>
      <c r="D25">
        <f>[3]猪八戒!$D$25</f>
        <v>12014</v>
      </c>
      <c r="E25">
        <f>[3]猪八戒!$E$25</f>
        <v>1788</v>
      </c>
      <c r="F25">
        <f>ROUND([3]猪八戒!$F$25*1000,0)</f>
        <v>0</v>
      </c>
      <c r="G25">
        <f>ROUND([3]猪八戒!$H$25*100,0)</f>
        <v>70</v>
      </c>
      <c r="H25">
        <f>[3]猪八戒!$I$25</f>
        <v>651</v>
      </c>
      <c r="I25">
        <f>[3]猪八戒!$J$25</f>
        <v>3604</v>
      </c>
      <c r="J25">
        <f>[3]猪八戒!$V$25</f>
        <v>1</v>
      </c>
      <c r="K25">
        <f>[3]猪八戒!$Y$25</f>
        <v>5.6199999999999237</v>
      </c>
      <c r="L25">
        <f>[3]猪八戒!$Z$25</f>
        <v>750</v>
      </c>
    </row>
    <row r="26" spans="1:12" x14ac:dyDescent="0.15">
      <c r="A26">
        <v>25</v>
      </c>
      <c r="B26">
        <f>[3]猪八戒!$C$26</f>
        <v>30750</v>
      </c>
      <c r="C26">
        <f t="shared" si="0"/>
        <v>7500</v>
      </c>
      <c r="D26">
        <f>[3]猪八戒!$D$26</f>
        <v>16110</v>
      </c>
      <c r="E26">
        <f>[3]猪八戒!$E$26</f>
        <v>2207</v>
      </c>
      <c r="F26">
        <f>ROUND([3]猪八戒!$F$26*1000,0)</f>
        <v>0</v>
      </c>
      <c r="G26">
        <f>ROUND([3]猪八戒!$H$26*100,0)</f>
        <v>70</v>
      </c>
      <c r="H26">
        <f>[3]猪八戒!$I$26</f>
        <v>841</v>
      </c>
      <c r="I26">
        <f>[3]猪八戒!$J$26</f>
        <v>4833</v>
      </c>
      <c r="J26">
        <f>[3]猪八戒!$V$26</f>
        <v>1</v>
      </c>
      <c r="K26">
        <f>[3]猪八戒!$Y$26</f>
        <v>7.1199999999998917</v>
      </c>
      <c r="L26">
        <f>[3]猪八戒!$Z$26</f>
        <v>1000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-0.499984740745262"/>
  </sheetPr>
  <dimension ref="A1:L26"/>
  <sheetViews>
    <sheetView topLeftCell="A13" workbookViewId="0">
      <selection activeCell="J13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[3]沙和尚!$C$2</f>
        <v>50</v>
      </c>
      <c r="C2">
        <f>B2-0</f>
        <v>50</v>
      </c>
      <c r="D2">
        <f>[3]沙和尚!$D$2</f>
        <v>30</v>
      </c>
      <c r="E2">
        <f>[3]沙和尚!$E$2</f>
        <v>9</v>
      </c>
      <c r="F2">
        <f>ROUND([3]沙和尚!$F$2 *1000,0)</f>
        <v>0</v>
      </c>
      <c r="G2">
        <f>ROUND([3]沙和尚!$H$2 *100,0)</f>
        <v>100</v>
      </c>
      <c r="H2">
        <f>[3]沙和尚!$I$2</f>
        <v>8</v>
      </c>
      <c r="I2">
        <f>[3]沙和尚!$J$2</f>
        <v>9</v>
      </c>
      <c r="J2">
        <f>[3]沙和尚!$V$2</f>
        <v>1</v>
      </c>
      <c r="K2">
        <f>[3]沙和尚!$Y$2</f>
        <v>1</v>
      </c>
      <c r="L2">
        <f>[3]沙和尚!$Z$2</f>
        <v>0</v>
      </c>
    </row>
    <row r="3" spans="1:12" x14ac:dyDescent="0.15">
      <c r="A3">
        <v>2</v>
      </c>
      <c r="B3">
        <f>[3]沙和尚!$C$3</f>
        <v>100</v>
      </c>
      <c r="C3">
        <f>B3-B2</f>
        <v>50</v>
      </c>
      <c r="D3">
        <f>[3]沙和尚!$D$3</f>
        <v>33</v>
      </c>
      <c r="E3">
        <f>[3]沙和尚!$E$3</f>
        <v>15</v>
      </c>
      <c r="F3">
        <f>ROUND([3]沙和尚!$F$3 *1000,0)</f>
        <v>0</v>
      </c>
      <c r="G3">
        <f>ROUND([3]沙和尚!$H$3 *100,0)</f>
        <v>100</v>
      </c>
      <c r="H3">
        <f>[3]沙和尚!$I$3</f>
        <v>13</v>
      </c>
      <c r="I3">
        <f>[3]沙和尚!$J$3</f>
        <v>10</v>
      </c>
      <c r="J3">
        <f>[3]沙和尚!$V$3</f>
        <v>1</v>
      </c>
      <c r="K3">
        <f>[3]沙和尚!$Y$3</f>
        <v>1</v>
      </c>
      <c r="L3">
        <f>[3]沙和尚!$Z$3</f>
        <v>0</v>
      </c>
    </row>
    <row r="4" spans="1:12" x14ac:dyDescent="0.15">
      <c r="A4">
        <v>3</v>
      </c>
      <c r="B4">
        <f>[3]沙和尚!$C$4</f>
        <v>150</v>
      </c>
      <c r="C4">
        <f t="shared" ref="C4:C26" si="0">B4-B3</f>
        <v>50</v>
      </c>
      <c r="D4">
        <f>[3]沙和尚!$D$4</f>
        <v>35</v>
      </c>
      <c r="E4">
        <f>[3]沙和尚!$E$4</f>
        <v>19</v>
      </c>
      <c r="F4">
        <f>ROUND([3]沙和尚!$F$4 *1000,0)</f>
        <v>0</v>
      </c>
      <c r="G4">
        <f>ROUND([3]沙和尚!$H$4 *100,0)</f>
        <v>100</v>
      </c>
      <c r="H4">
        <f>[3]沙和尚!$I$4</f>
        <v>20</v>
      </c>
      <c r="I4">
        <f>[3]沙和尚!$J$4</f>
        <v>11</v>
      </c>
      <c r="J4">
        <f>[3]沙和尚!$V$4</f>
        <v>1</v>
      </c>
      <c r="K4">
        <f>[3]沙和尚!$Y$4</f>
        <v>1</v>
      </c>
      <c r="L4">
        <f>[3]沙和尚!$Z$4</f>
        <v>0</v>
      </c>
    </row>
    <row r="5" spans="1:12" x14ac:dyDescent="0.15">
      <c r="A5">
        <v>4</v>
      </c>
      <c r="B5">
        <f>[3]沙和尚!$C$5</f>
        <v>250</v>
      </c>
      <c r="C5">
        <f t="shared" si="0"/>
        <v>100</v>
      </c>
      <c r="D5">
        <f>[3]沙和尚!$D$5</f>
        <v>43</v>
      </c>
      <c r="E5">
        <f>[3]沙和尚!$E$5</f>
        <v>31</v>
      </c>
      <c r="F5">
        <f>ROUND([3]沙和尚!$F$5 *1000,0)</f>
        <v>0</v>
      </c>
      <c r="G5">
        <f>ROUND([3]沙和尚!$H$5 *100,0)</f>
        <v>100</v>
      </c>
      <c r="H5">
        <f>[3]沙和尚!$I$5</f>
        <v>28</v>
      </c>
      <c r="I5">
        <f>[3]沙和尚!$J$5</f>
        <v>13</v>
      </c>
      <c r="J5">
        <f>[3]沙和尚!$V$5</f>
        <v>1</v>
      </c>
      <c r="K5">
        <f>[3]沙和尚!$Y$5</f>
        <v>1.02</v>
      </c>
      <c r="L5">
        <f>[3]沙和尚!$Z$5</f>
        <v>0</v>
      </c>
    </row>
    <row r="6" spans="1:12" x14ac:dyDescent="0.15">
      <c r="A6">
        <v>5</v>
      </c>
      <c r="B6">
        <f>[3]沙和尚!$C$6</f>
        <v>350</v>
      </c>
      <c r="C6">
        <f t="shared" si="0"/>
        <v>100</v>
      </c>
      <c r="D6">
        <f>[3]沙和尚!$D$6</f>
        <v>52</v>
      </c>
      <c r="E6">
        <f>[3]沙和尚!$E$6</f>
        <v>40</v>
      </c>
      <c r="F6">
        <f>ROUND([3]沙和尚!$F$6 *1000,0)</f>
        <v>0</v>
      </c>
      <c r="G6">
        <f>ROUND([3]沙和尚!$H$6 *100,0)</f>
        <v>100</v>
      </c>
      <c r="H6">
        <f>[3]沙和尚!$I$6</f>
        <v>38</v>
      </c>
      <c r="I6">
        <f>[3]沙和尚!$J$6</f>
        <v>16</v>
      </c>
      <c r="J6">
        <f>[3]沙和尚!$V$6</f>
        <v>1</v>
      </c>
      <c r="K6">
        <f>[3]沙和尚!$Y$6</f>
        <v>1.04</v>
      </c>
      <c r="L6">
        <f>[3]沙和尚!$Z$6</f>
        <v>0</v>
      </c>
    </row>
    <row r="7" spans="1:12" x14ac:dyDescent="0.15">
      <c r="A7">
        <v>6</v>
      </c>
      <c r="B7">
        <f>[3]沙和尚!$C$7</f>
        <v>500</v>
      </c>
      <c r="C7">
        <f t="shared" si="0"/>
        <v>150</v>
      </c>
      <c r="D7">
        <f>[3]沙和尚!$D$7</f>
        <v>62</v>
      </c>
      <c r="E7">
        <f>[3]沙和尚!$E$7</f>
        <v>60</v>
      </c>
      <c r="F7">
        <f>ROUND([3]沙和尚!$F$7 *1000,0)</f>
        <v>0</v>
      </c>
      <c r="G7">
        <f>ROUND([3]沙和尚!$H$7 *100,0)</f>
        <v>100</v>
      </c>
      <c r="H7">
        <f>[3]沙和尚!$I$7</f>
        <v>50</v>
      </c>
      <c r="I7">
        <f>[3]沙和尚!$J$7</f>
        <v>19</v>
      </c>
      <c r="J7">
        <f>[3]沙和尚!$V$7</f>
        <v>1</v>
      </c>
      <c r="K7">
        <f>[3]沙和尚!$Y$7</f>
        <v>1.07</v>
      </c>
      <c r="L7">
        <f>[3]沙和尚!$Z$7</f>
        <v>0</v>
      </c>
    </row>
    <row r="8" spans="1:12" x14ac:dyDescent="0.15">
      <c r="A8">
        <v>7</v>
      </c>
      <c r="B8">
        <f>[3]沙和尚!$C$8</f>
        <v>650</v>
      </c>
      <c r="C8">
        <f t="shared" si="0"/>
        <v>150</v>
      </c>
      <c r="D8">
        <f>[3]沙和尚!$D$8</f>
        <v>78</v>
      </c>
      <c r="E8">
        <f>[3]沙和尚!$E$8</f>
        <v>75</v>
      </c>
      <c r="F8">
        <f>ROUND([3]沙和尚!$F$8 *1000,0)</f>
        <v>0</v>
      </c>
      <c r="G8">
        <f>ROUND([3]沙和尚!$H$8 *100,0)</f>
        <v>100</v>
      </c>
      <c r="H8">
        <f>[3]沙和尚!$I$8</f>
        <v>62</v>
      </c>
      <c r="I8">
        <f>[3]沙和尚!$J$8</f>
        <v>23</v>
      </c>
      <c r="J8">
        <f>[3]沙和尚!$V$8</f>
        <v>1</v>
      </c>
      <c r="K8">
        <f>[3]沙和尚!$Y$8</f>
        <v>1.1000000000000001</v>
      </c>
      <c r="L8">
        <f>[3]沙和尚!$Z$8</f>
        <v>0</v>
      </c>
    </row>
    <row r="9" spans="1:12" x14ac:dyDescent="0.15">
      <c r="A9">
        <v>8</v>
      </c>
      <c r="B9">
        <f>[3]沙和尚!$C$9</f>
        <v>850</v>
      </c>
      <c r="C9">
        <f t="shared" si="0"/>
        <v>200</v>
      </c>
      <c r="D9">
        <f>[3]沙和尚!$D$9</f>
        <v>119</v>
      </c>
      <c r="E9">
        <f>[3]沙和尚!$E$9</f>
        <v>117</v>
      </c>
      <c r="F9">
        <f>ROUND([3]沙和尚!$F$9 *1000,0)</f>
        <v>0</v>
      </c>
      <c r="G9">
        <f>ROUND([3]沙和尚!$H$9 *100,0)</f>
        <v>100</v>
      </c>
      <c r="H9">
        <f>[3]沙和尚!$I$9</f>
        <v>75</v>
      </c>
      <c r="I9">
        <f>[3]沙和尚!$J$9</f>
        <v>36</v>
      </c>
      <c r="J9">
        <f>[3]沙和尚!$V$9</f>
        <v>1</v>
      </c>
      <c r="K9">
        <f>[3]沙和尚!$Y$9</f>
        <v>1.1400000000000001</v>
      </c>
      <c r="L9">
        <f>[3]沙和尚!$Z$9</f>
        <v>0</v>
      </c>
    </row>
    <row r="10" spans="1:12" x14ac:dyDescent="0.15">
      <c r="A10">
        <v>9</v>
      </c>
      <c r="B10">
        <f>[3]沙和尚!$C$10</f>
        <v>1050</v>
      </c>
      <c r="C10">
        <f t="shared" si="0"/>
        <v>200</v>
      </c>
      <c r="D10">
        <f>[3]沙和尚!$D$10</f>
        <v>142</v>
      </c>
      <c r="E10">
        <f>[3]沙和尚!$E$10</f>
        <v>140</v>
      </c>
      <c r="F10">
        <f>ROUND([3]沙和尚!$F$10*1000,0)</f>
        <v>0</v>
      </c>
      <c r="G10">
        <f>ROUND([3]沙和尚!$H$10*100,0)</f>
        <v>100</v>
      </c>
      <c r="H10">
        <f>[3]沙和尚!$I$10</f>
        <v>95</v>
      </c>
      <c r="I10">
        <f>[3]沙和尚!$J$10</f>
        <v>43</v>
      </c>
      <c r="J10">
        <f>[3]沙和尚!$V$10</f>
        <v>1</v>
      </c>
      <c r="K10">
        <f>[3]沙和尚!$Y$10</f>
        <v>1.1800000000000002</v>
      </c>
      <c r="L10">
        <f>[3]沙和尚!$Z$10</f>
        <v>0</v>
      </c>
    </row>
    <row r="11" spans="1:12" x14ac:dyDescent="0.15">
      <c r="A11">
        <v>10</v>
      </c>
      <c r="B11">
        <f>[3]沙和尚!$C$11</f>
        <v>1250</v>
      </c>
      <c r="C11">
        <f t="shared" si="0"/>
        <v>200</v>
      </c>
      <c r="D11">
        <f>[3]沙和尚!$D$11</f>
        <v>174</v>
      </c>
      <c r="E11">
        <f>[3]沙和尚!$E$11</f>
        <v>160</v>
      </c>
      <c r="F11">
        <f>ROUND([3]沙和尚!$F$11*1000,0)</f>
        <v>0</v>
      </c>
      <c r="G11">
        <f>ROUND([3]沙和尚!$H$11*100,0)</f>
        <v>100</v>
      </c>
      <c r="H11">
        <f>[3]沙和尚!$I$11</f>
        <v>110</v>
      </c>
      <c r="I11">
        <f>[3]沙和尚!$J$11</f>
        <v>52</v>
      </c>
      <c r="J11">
        <f>[3]沙和尚!$V$11</f>
        <v>1</v>
      </c>
      <c r="K11">
        <f>[3]沙和尚!$Y$11</f>
        <v>1.2200000000000002</v>
      </c>
      <c r="L11">
        <f>[3]沙和尚!$Z$11</f>
        <v>0</v>
      </c>
    </row>
    <row r="12" spans="1:12" x14ac:dyDescent="0.15">
      <c r="A12">
        <v>11</v>
      </c>
      <c r="B12">
        <f>[3]沙和尚!$C$12</f>
        <v>1500</v>
      </c>
      <c r="C12">
        <f t="shared" si="0"/>
        <v>250</v>
      </c>
      <c r="D12">
        <f>[3]沙和尚!$D$12</f>
        <v>276</v>
      </c>
      <c r="E12">
        <f>[3]沙和尚!$E$12</f>
        <v>195</v>
      </c>
      <c r="F12">
        <f>ROUND([3]沙和尚!$F$12*1000,0)</f>
        <v>0</v>
      </c>
      <c r="G12">
        <f>ROUND([3]沙和尚!$H$12*100,0)</f>
        <v>100</v>
      </c>
      <c r="H12">
        <f>[3]沙和尚!$I$12</f>
        <v>130</v>
      </c>
      <c r="I12">
        <f>[3]沙和尚!$J$12</f>
        <v>83</v>
      </c>
      <c r="J12">
        <f>[3]沙和尚!$V$12</f>
        <v>1</v>
      </c>
      <c r="K12">
        <f>[3]沙和尚!$Y$12</f>
        <v>1.2700000000000002</v>
      </c>
      <c r="L12">
        <f>[3]沙和尚!$Z$12</f>
        <v>0</v>
      </c>
    </row>
    <row r="13" spans="1:12" x14ac:dyDescent="0.15">
      <c r="A13">
        <v>12</v>
      </c>
      <c r="B13">
        <f>[3]沙和尚!$C$13</f>
        <v>1750</v>
      </c>
      <c r="C13">
        <f t="shared" si="0"/>
        <v>250</v>
      </c>
      <c r="D13">
        <f>[3]沙和尚!$D$13</f>
        <v>311</v>
      </c>
      <c r="E13">
        <f>[3]沙和尚!$E$13</f>
        <v>227</v>
      </c>
      <c r="F13">
        <f>ROUND([3]沙和尚!$F$13*1000,0)</f>
        <v>0</v>
      </c>
      <c r="G13">
        <f>ROUND([3]沙和尚!$H$13*100,0)</f>
        <v>100</v>
      </c>
      <c r="H13">
        <f>[3]沙和尚!$I$13</f>
        <v>155</v>
      </c>
      <c r="I13">
        <f>[3]沙和尚!$J$13</f>
        <v>93</v>
      </c>
      <c r="J13">
        <f>[3]沙和尚!$V$13</f>
        <v>1</v>
      </c>
      <c r="K13">
        <f>[3]沙和尚!$Y$13</f>
        <v>1.3200000000000003</v>
      </c>
      <c r="L13">
        <f>[3]沙和尚!$Z$13</f>
        <v>0</v>
      </c>
    </row>
    <row r="14" spans="1:12" x14ac:dyDescent="0.15">
      <c r="A14">
        <v>13</v>
      </c>
      <c r="B14">
        <f>[3]沙和尚!$C$14</f>
        <v>2050</v>
      </c>
      <c r="C14">
        <f t="shared" si="0"/>
        <v>300</v>
      </c>
      <c r="D14">
        <f>[3]沙和尚!$D$14</f>
        <v>360</v>
      </c>
      <c r="E14">
        <f>[3]沙和尚!$E$14</f>
        <v>260</v>
      </c>
      <c r="F14">
        <f>ROUND([3]沙和尚!$F$14*1000,0)</f>
        <v>0</v>
      </c>
      <c r="G14">
        <f>ROUND([3]沙和尚!$H$14*100,0)</f>
        <v>100</v>
      </c>
      <c r="H14">
        <f>[3]沙和尚!$I$14</f>
        <v>185</v>
      </c>
      <c r="I14">
        <f>[3]沙和尚!$J$14</f>
        <v>108</v>
      </c>
      <c r="J14">
        <f>[3]沙和尚!$V$14</f>
        <v>1</v>
      </c>
      <c r="K14">
        <f>[3]沙和尚!$Y$14</f>
        <v>1.3800000000000003</v>
      </c>
      <c r="L14">
        <f>[3]沙和尚!$Z$14</f>
        <v>0</v>
      </c>
    </row>
    <row r="15" spans="1:12" x14ac:dyDescent="0.15">
      <c r="A15">
        <v>14</v>
      </c>
      <c r="B15">
        <f>[3]沙和尚!$C$15</f>
        <v>2400</v>
      </c>
      <c r="C15">
        <f t="shared" si="0"/>
        <v>350</v>
      </c>
      <c r="D15">
        <f>[3]沙和尚!$D$15</f>
        <v>542</v>
      </c>
      <c r="E15">
        <f>[3]沙和尚!$E$15</f>
        <v>303</v>
      </c>
      <c r="F15">
        <f>ROUND([3]沙和尚!$F$15*1000,0)</f>
        <v>0</v>
      </c>
      <c r="G15">
        <f>ROUND([3]沙和尚!$H$15*100,0)</f>
        <v>100</v>
      </c>
      <c r="H15">
        <f>[3]沙和尚!$I$15</f>
        <v>212</v>
      </c>
      <c r="I15">
        <f>[3]沙和尚!$J$15</f>
        <v>163</v>
      </c>
      <c r="J15">
        <f>[3]沙和尚!$V$15</f>
        <v>1</v>
      </c>
      <c r="K15">
        <f>[3]沙和尚!$Y$15</f>
        <v>1.4500000000000004</v>
      </c>
      <c r="L15">
        <f>[3]沙和尚!$Z$15</f>
        <v>0</v>
      </c>
    </row>
    <row r="16" spans="1:12" x14ac:dyDescent="0.15">
      <c r="A16">
        <v>15</v>
      </c>
      <c r="B16">
        <f>[3]沙和尚!$C$16</f>
        <v>2850</v>
      </c>
      <c r="C16">
        <f t="shared" si="0"/>
        <v>450</v>
      </c>
      <c r="D16">
        <f>[3]沙和尚!$D$16</f>
        <v>674</v>
      </c>
      <c r="E16">
        <f>[3]沙和尚!$E$16</f>
        <v>340</v>
      </c>
      <c r="F16">
        <f>ROUND([3]沙和尚!$F$16*1000,0)</f>
        <v>0</v>
      </c>
      <c r="G16">
        <f>ROUND([3]沙和尚!$H$16*100,0)</f>
        <v>100</v>
      </c>
      <c r="H16">
        <f>[3]沙和尚!$I$16</f>
        <v>242</v>
      </c>
      <c r="I16">
        <f>[3]沙和尚!$J$16</f>
        <v>202</v>
      </c>
      <c r="J16">
        <f>[3]沙和尚!$V$16</f>
        <v>1</v>
      </c>
      <c r="K16">
        <f>[3]沙和尚!$Y$16</f>
        <v>1.5400000000000005</v>
      </c>
      <c r="L16">
        <f>[3]沙和尚!$Z$16</f>
        <v>0</v>
      </c>
    </row>
    <row r="17" spans="1:12" x14ac:dyDescent="0.15">
      <c r="A17">
        <v>16</v>
      </c>
      <c r="B17">
        <f>[3]沙和尚!$C$17</f>
        <v>3350</v>
      </c>
      <c r="C17">
        <f t="shared" si="0"/>
        <v>500</v>
      </c>
      <c r="D17">
        <f>[3]沙和尚!$D$17</f>
        <v>970</v>
      </c>
      <c r="E17">
        <f>[3]沙和尚!$E$17</f>
        <v>394</v>
      </c>
      <c r="F17">
        <f>ROUND([3]沙和尚!$F$17*1000,0)</f>
        <v>0</v>
      </c>
      <c r="G17">
        <f>ROUND([3]沙和尚!$H$17*100,0)</f>
        <v>100</v>
      </c>
      <c r="H17">
        <f>[3]沙和尚!$I$17</f>
        <v>275</v>
      </c>
      <c r="I17">
        <f>[3]沙和尚!$J$17</f>
        <v>291</v>
      </c>
      <c r="J17">
        <f>[3]沙和尚!$V$17</f>
        <v>1</v>
      </c>
      <c r="K17">
        <f>[3]沙和尚!$Y$17</f>
        <v>1.6400000000000006</v>
      </c>
      <c r="L17">
        <f>[3]沙和尚!$Z$17</f>
        <v>0</v>
      </c>
    </row>
    <row r="18" spans="1:12" x14ac:dyDescent="0.15">
      <c r="A18">
        <v>17</v>
      </c>
      <c r="B18">
        <f>[3]沙和尚!$C$18</f>
        <v>3900</v>
      </c>
      <c r="C18">
        <f t="shared" si="0"/>
        <v>550</v>
      </c>
      <c r="D18">
        <f>[3]沙和尚!$D$18</f>
        <v>1160</v>
      </c>
      <c r="E18">
        <f>[3]沙和尚!$E$18</f>
        <v>437</v>
      </c>
      <c r="F18">
        <f>ROUND([3]沙和尚!$F$18*1000,0)</f>
        <v>0</v>
      </c>
      <c r="G18">
        <f>ROUND([3]沙和尚!$H$18*100,0)</f>
        <v>100</v>
      </c>
      <c r="H18">
        <f>[3]沙和尚!$I$18</f>
        <v>312</v>
      </c>
      <c r="I18">
        <f>[3]沙和尚!$J$18</f>
        <v>348</v>
      </c>
      <c r="J18">
        <f>[3]沙和尚!$V$18</f>
        <v>1</v>
      </c>
      <c r="K18">
        <f>[3]沙和尚!$Y$18</f>
        <v>1.7500000000000007</v>
      </c>
      <c r="L18">
        <f>[3]沙和尚!$Z$18</f>
        <v>0</v>
      </c>
    </row>
    <row r="19" spans="1:12" x14ac:dyDescent="0.15">
      <c r="A19">
        <v>18</v>
      </c>
      <c r="B19">
        <f>[3]沙和尚!$C$19</f>
        <v>4550</v>
      </c>
      <c r="C19">
        <f t="shared" si="0"/>
        <v>650</v>
      </c>
      <c r="D19">
        <f>[3]沙和尚!$D$19</f>
        <v>1373</v>
      </c>
      <c r="E19">
        <f>[3]沙和尚!$E$19</f>
        <v>500</v>
      </c>
      <c r="F19">
        <f>ROUND([3]沙和尚!$F$19*1000,0)</f>
        <v>0</v>
      </c>
      <c r="G19">
        <f>ROUND([3]沙和尚!$H$19*100,0)</f>
        <v>100</v>
      </c>
      <c r="H19">
        <f>[3]沙和尚!$I$19</f>
        <v>353</v>
      </c>
      <c r="I19">
        <f>[3]沙和尚!$J$19</f>
        <v>412</v>
      </c>
      <c r="J19">
        <f>[3]沙和尚!$V$19</f>
        <v>1</v>
      </c>
      <c r="K19">
        <f>[3]沙和尚!$Y$19</f>
        <v>1.8800000000000008</v>
      </c>
      <c r="L19">
        <f>[3]沙和尚!$Z$19</f>
        <v>0</v>
      </c>
    </row>
    <row r="20" spans="1:12" x14ac:dyDescent="0.15">
      <c r="A20">
        <v>19</v>
      </c>
      <c r="B20">
        <f>[3]沙和尚!$C$20</f>
        <v>5500</v>
      </c>
      <c r="C20">
        <f t="shared" si="0"/>
        <v>950</v>
      </c>
      <c r="D20">
        <f>[3]沙和尚!$D$20</f>
        <v>2000</v>
      </c>
      <c r="E20">
        <f>[3]沙和尚!$E$20</f>
        <v>571</v>
      </c>
      <c r="F20">
        <f>ROUND([3]沙和尚!$F$20*1000,0)</f>
        <v>0</v>
      </c>
      <c r="G20">
        <f>ROUND([3]沙和尚!$H$20*100,0)</f>
        <v>100</v>
      </c>
      <c r="H20">
        <f>[3]沙和尚!$I$20</f>
        <v>399</v>
      </c>
      <c r="I20">
        <f>[3]沙和尚!$J$20</f>
        <v>600</v>
      </c>
      <c r="J20">
        <f>[3]沙和尚!$V$20</f>
        <v>1</v>
      </c>
      <c r="K20">
        <f>[3]沙和尚!$Y$20</f>
        <v>2.0699999999999994</v>
      </c>
      <c r="L20">
        <f>[3]沙和尚!$Z$20</f>
        <v>0</v>
      </c>
    </row>
    <row r="21" spans="1:12" x14ac:dyDescent="0.15">
      <c r="A21">
        <v>20</v>
      </c>
      <c r="B21">
        <f>[3]沙和尚!$C$21</f>
        <v>6600</v>
      </c>
      <c r="C21">
        <f t="shared" si="0"/>
        <v>1100</v>
      </c>
      <c r="D21">
        <f>[3]沙和尚!$D$21</f>
        <v>2688</v>
      </c>
      <c r="E21">
        <f>[3]沙和尚!$E$21</f>
        <v>690</v>
      </c>
      <c r="F21">
        <f>ROUND([3]沙和尚!$F$21*1000,0)</f>
        <v>0</v>
      </c>
      <c r="G21">
        <f>ROUND([3]沙和尚!$H$21*100,0)</f>
        <v>100</v>
      </c>
      <c r="H21">
        <f>[3]沙和尚!$I$21</f>
        <v>470</v>
      </c>
      <c r="I21">
        <f>[3]沙和尚!$J$21</f>
        <v>806</v>
      </c>
      <c r="J21">
        <f>[3]沙和尚!$V$21</f>
        <v>1</v>
      </c>
      <c r="K21">
        <f>[3]沙和尚!$Y$21</f>
        <v>2.3899999999999926</v>
      </c>
      <c r="L21">
        <f>[3]沙和尚!$Z$21</f>
        <v>0</v>
      </c>
    </row>
    <row r="22" spans="1:12" x14ac:dyDescent="0.15">
      <c r="A22">
        <v>21</v>
      </c>
      <c r="B22">
        <f>[3]沙和尚!$C$22</f>
        <v>9450</v>
      </c>
      <c r="C22">
        <f t="shared" si="0"/>
        <v>2850</v>
      </c>
      <c r="D22">
        <f>[3]沙和尚!$D$22</f>
        <v>3846</v>
      </c>
      <c r="E22">
        <f>[3]沙和尚!$E$22</f>
        <v>764</v>
      </c>
      <c r="F22">
        <f>ROUND([3]沙和尚!$F$22*1000,0)</f>
        <v>0</v>
      </c>
      <c r="G22">
        <f>ROUND([3]沙和尚!$H$22*100,0)</f>
        <v>100</v>
      </c>
      <c r="H22">
        <f>[3]沙和尚!$I$22</f>
        <v>566</v>
      </c>
      <c r="I22">
        <f>[3]沙和尚!$J$22</f>
        <v>1154</v>
      </c>
      <c r="J22">
        <f>[3]沙和尚!$V$22</f>
        <v>1</v>
      </c>
      <c r="K22">
        <f>[3]沙和尚!$Y$22</f>
        <v>2.8599999999999826</v>
      </c>
      <c r="L22">
        <f>[3]沙和尚!$Z$22</f>
        <v>335</v>
      </c>
    </row>
    <row r="23" spans="1:12" x14ac:dyDescent="0.15">
      <c r="A23">
        <v>22</v>
      </c>
      <c r="B23">
        <f>[3]沙和尚!$C$23</f>
        <v>12800</v>
      </c>
      <c r="C23">
        <f t="shared" si="0"/>
        <v>3350</v>
      </c>
      <c r="D23">
        <f>[3]沙和尚!$D$23</f>
        <v>5913</v>
      </c>
      <c r="E23">
        <f>[3]沙和尚!$E$23</f>
        <v>1032</v>
      </c>
      <c r="F23">
        <f>ROUND([3]沙和尚!$F$23*1000,0)</f>
        <v>0</v>
      </c>
      <c r="G23">
        <f>ROUND([3]沙和尚!$H$23*100,0)</f>
        <v>100</v>
      </c>
      <c r="H23">
        <f>[3]沙和尚!$I$23</f>
        <v>696</v>
      </c>
      <c r="I23">
        <f>[3]沙和尚!$J$23</f>
        <v>1774</v>
      </c>
      <c r="J23">
        <f>[3]沙和尚!$V$23</f>
        <v>1</v>
      </c>
      <c r="K23">
        <f>[3]沙和尚!$Y$23</f>
        <v>3.5299999999999683</v>
      </c>
      <c r="L23">
        <f>[3]沙和尚!$Z$23</f>
        <v>460</v>
      </c>
    </row>
    <row r="24" spans="1:12" x14ac:dyDescent="0.15">
      <c r="A24">
        <v>23</v>
      </c>
      <c r="B24">
        <f>[3]沙和尚!$C$24</f>
        <v>17400</v>
      </c>
      <c r="C24">
        <f t="shared" si="0"/>
        <v>4600</v>
      </c>
      <c r="D24">
        <f>[3]沙和尚!$D$24</f>
        <v>8130</v>
      </c>
      <c r="E24">
        <f>[3]沙和尚!$E$24</f>
        <v>1400</v>
      </c>
      <c r="F24">
        <f>ROUND([3]沙和尚!$F$24*1000,0)</f>
        <v>0</v>
      </c>
      <c r="G24">
        <f>ROUND([3]沙和尚!$H$24*100,0)</f>
        <v>100</v>
      </c>
      <c r="H24">
        <f>[3]沙和尚!$I$24</f>
        <v>872</v>
      </c>
      <c r="I24">
        <f>[3]沙和尚!$J$24</f>
        <v>2439</v>
      </c>
      <c r="J24">
        <f>[3]沙和尚!$V$24</f>
        <v>1</v>
      </c>
      <c r="K24">
        <f>[3]沙和尚!$Y$24</f>
        <v>4.4499999999999487</v>
      </c>
      <c r="L24">
        <f>[3]沙和尚!$Z$24</f>
        <v>585</v>
      </c>
    </row>
    <row r="25" spans="1:12" x14ac:dyDescent="0.15">
      <c r="A25">
        <v>24</v>
      </c>
      <c r="B25">
        <f>[3]沙和尚!$C$25</f>
        <v>23250</v>
      </c>
      <c r="C25">
        <f t="shared" si="0"/>
        <v>5850</v>
      </c>
      <c r="D25">
        <f>[3]沙和尚!$D$25</f>
        <v>10941</v>
      </c>
      <c r="E25">
        <f>[3]沙和尚!$E$25</f>
        <v>1868</v>
      </c>
      <c r="F25">
        <f>ROUND([3]沙和尚!$F$25*1000,0)</f>
        <v>0</v>
      </c>
      <c r="G25">
        <f>ROUND([3]沙和尚!$H$25*100,0)</f>
        <v>100</v>
      </c>
      <c r="H25">
        <f>[3]沙和尚!$I$25</f>
        <v>1110</v>
      </c>
      <c r="I25">
        <f>[3]沙和尚!$J$25</f>
        <v>3282</v>
      </c>
      <c r="J25">
        <f>[3]沙和尚!$V$25</f>
        <v>1</v>
      </c>
      <c r="K25">
        <f>[3]沙和尚!$Y$25</f>
        <v>5.6199999999999237</v>
      </c>
      <c r="L25">
        <f>[3]沙和尚!$Z$25</f>
        <v>750</v>
      </c>
    </row>
    <row r="26" spans="1:12" x14ac:dyDescent="0.15">
      <c r="A26">
        <v>25</v>
      </c>
      <c r="B26">
        <f>[3]沙和尚!$C$26</f>
        <v>30750</v>
      </c>
      <c r="C26">
        <f t="shared" si="0"/>
        <v>7500</v>
      </c>
      <c r="D26">
        <f>[3]沙和尚!$D$26</f>
        <v>14540</v>
      </c>
      <c r="E26">
        <f>[3]沙和尚!$E$26</f>
        <v>2468</v>
      </c>
      <c r="F26">
        <f>ROUND([3]沙和尚!$F$26*1000,0)</f>
        <v>0</v>
      </c>
      <c r="G26">
        <f>ROUND([3]沙和尚!$H$26*100,0)</f>
        <v>100</v>
      </c>
      <c r="H26">
        <f>[3]沙和尚!$I$26</f>
        <v>1431</v>
      </c>
      <c r="I26">
        <f>[3]沙和尚!$J$26</f>
        <v>4362</v>
      </c>
      <c r="J26">
        <f>[3]沙和尚!$V$26</f>
        <v>1</v>
      </c>
      <c r="K26">
        <f>[3]沙和尚!$Y$26</f>
        <v>7.1199999999998917</v>
      </c>
      <c r="L26">
        <f>[3]沙和尚!$Z$26</f>
        <v>1000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3" tint="-0.499984740745262"/>
  </sheetPr>
  <dimension ref="A1:L26"/>
  <sheetViews>
    <sheetView topLeftCell="A13" workbookViewId="0">
      <selection activeCell="J13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[3]白龙马!$C$2</f>
        <v>50</v>
      </c>
      <c r="C2">
        <f>B2-0</f>
        <v>50</v>
      </c>
      <c r="D2">
        <f>[3]白龙马!$D$2</f>
        <v>32</v>
      </c>
      <c r="E2">
        <f>[3]白龙马!$E$2</f>
        <v>9</v>
      </c>
      <c r="F2">
        <f>ROUND([3]白龙马!$F$2 *1000,0)</f>
        <v>0</v>
      </c>
      <c r="G2">
        <f>ROUND([3]白龙马!$H$2 *100,0)</f>
        <v>100</v>
      </c>
      <c r="H2">
        <f>[3]白龙马!$I$2</f>
        <v>6</v>
      </c>
      <c r="I2">
        <f>[3]白龙马!$J$2</f>
        <v>10</v>
      </c>
      <c r="J2">
        <f>[3]白龙马!$V$2</f>
        <v>1</v>
      </c>
      <c r="K2">
        <f>[3]白龙马!$Y$2</f>
        <v>1</v>
      </c>
      <c r="L2">
        <f>[3]白龙马!$Z$2</f>
        <v>0</v>
      </c>
    </row>
    <row r="3" spans="1:12" x14ac:dyDescent="0.15">
      <c r="A3">
        <v>2</v>
      </c>
      <c r="B3">
        <f>[3]白龙马!$C$3</f>
        <v>100</v>
      </c>
      <c r="C3">
        <f>B3-B2</f>
        <v>50</v>
      </c>
      <c r="D3">
        <f>[3]白龙马!$D$3</f>
        <v>39</v>
      </c>
      <c r="E3">
        <f>[3]白龙马!$E$3</f>
        <v>17</v>
      </c>
      <c r="F3">
        <f>ROUND([3]白龙马!$F$3 *1000,0)</f>
        <v>0</v>
      </c>
      <c r="G3">
        <f>ROUND([3]白龙马!$H$3 *100,0)</f>
        <v>100</v>
      </c>
      <c r="H3">
        <f>[3]白龙马!$I$3</f>
        <v>6</v>
      </c>
      <c r="I3">
        <f>[3]白龙马!$J$3</f>
        <v>12</v>
      </c>
      <c r="J3">
        <f>[3]白龙马!$V$3</f>
        <v>1</v>
      </c>
      <c r="K3">
        <f>[3]白龙马!$Y$3</f>
        <v>1</v>
      </c>
      <c r="L3">
        <f>[3]白龙马!$Z$3</f>
        <v>0</v>
      </c>
    </row>
    <row r="4" spans="1:12" x14ac:dyDescent="0.15">
      <c r="A4">
        <v>3</v>
      </c>
      <c r="B4">
        <f>[3]白龙马!$C$4</f>
        <v>150</v>
      </c>
      <c r="C4">
        <f t="shared" ref="C4:C26" si="0">B4-B3</f>
        <v>50</v>
      </c>
      <c r="D4">
        <f>[3]白龙马!$D$4</f>
        <v>43</v>
      </c>
      <c r="E4">
        <f>[3]白龙马!$E$4</f>
        <v>25</v>
      </c>
      <c r="F4">
        <f>ROUND([3]白龙马!$F$4 *1000,0)</f>
        <v>3</v>
      </c>
      <c r="G4">
        <f>ROUND([3]白龙马!$H$4 *100,0)</f>
        <v>100</v>
      </c>
      <c r="H4">
        <f>[3]白龙马!$I$4</f>
        <v>8</v>
      </c>
      <c r="I4">
        <f>[3]白龙马!$J$4</f>
        <v>13</v>
      </c>
      <c r="J4">
        <f>[3]白龙马!$V$4</f>
        <v>1</v>
      </c>
      <c r="K4">
        <f>[3]白龙马!$Y$4</f>
        <v>1</v>
      </c>
      <c r="L4">
        <f>[3]白龙马!$Z$4</f>
        <v>0</v>
      </c>
    </row>
    <row r="5" spans="1:12" x14ac:dyDescent="0.15">
      <c r="A5">
        <v>4</v>
      </c>
      <c r="B5">
        <f>[3]白龙马!$C$5</f>
        <v>250</v>
      </c>
      <c r="C5">
        <f t="shared" si="0"/>
        <v>100</v>
      </c>
      <c r="D5">
        <f>[3]白龙马!$D$5</f>
        <v>53</v>
      </c>
      <c r="E5">
        <f>[3]白龙马!$E$5</f>
        <v>37</v>
      </c>
      <c r="F5">
        <f>ROUND([3]白龙马!$F$5 *1000,0)</f>
        <v>3</v>
      </c>
      <c r="G5">
        <f>ROUND([3]白龙马!$H$5 *100,0)</f>
        <v>100</v>
      </c>
      <c r="H5">
        <f>[3]白龙马!$I$5</f>
        <v>14</v>
      </c>
      <c r="I5">
        <f>[3]白龙马!$J$5</f>
        <v>16</v>
      </c>
      <c r="J5">
        <f>[3]白龙马!$V$5</f>
        <v>1</v>
      </c>
      <c r="K5">
        <f>[3]白龙马!$Y$5</f>
        <v>1.02</v>
      </c>
      <c r="L5">
        <f>[3]白龙马!$Z$5</f>
        <v>0</v>
      </c>
    </row>
    <row r="6" spans="1:12" x14ac:dyDescent="0.15">
      <c r="A6">
        <v>5</v>
      </c>
      <c r="B6">
        <f>[3]白龙马!$C$6</f>
        <v>350</v>
      </c>
      <c r="C6">
        <f t="shared" si="0"/>
        <v>100</v>
      </c>
      <c r="D6">
        <f>[3]白龙马!$D$6</f>
        <v>58</v>
      </c>
      <c r="E6">
        <f>[3]白龙马!$E$6</f>
        <v>50</v>
      </c>
      <c r="F6">
        <f>ROUND([3]白龙马!$F$6 *1000,0)</f>
        <v>5</v>
      </c>
      <c r="G6">
        <f>ROUND([3]白龙马!$H$6 *100,0)</f>
        <v>120</v>
      </c>
      <c r="H6">
        <f>[3]白龙马!$I$6</f>
        <v>19</v>
      </c>
      <c r="I6">
        <f>[3]白龙马!$J$6</f>
        <v>17</v>
      </c>
      <c r="J6">
        <f>[3]白龙马!$V$6</f>
        <v>1</v>
      </c>
      <c r="K6">
        <f>[3]白龙马!$Y$6</f>
        <v>1.04</v>
      </c>
      <c r="L6">
        <f>[3]白龙马!$Z$6</f>
        <v>0</v>
      </c>
    </row>
    <row r="7" spans="1:12" x14ac:dyDescent="0.15">
      <c r="A7">
        <v>6</v>
      </c>
      <c r="B7">
        <f>[3]白龙马!$C$7</f>
        <v>500</v>
      </c>
      <c r="C7">
        <f t="shared" si="0"/>
        <v>150</v>
      </c>
      <c r="D7">
        <f>[3]白龙马!$D$7</f>
        <v>72</v>
      </c>
      <c r="E7">
        <f>[3]白龙马!$E$7</f>
        <v>70</v>
      </c>
      <c r="F7">
        <f>ROUND([3]白龙马!$F$7 *1000,0)</f>
        <v>10</v>
      </c>
      <c r="G7">
        <f>ROUND([3]白龙马!$H$7 *100,0)</f>
        <v>120</v>
      </c>
      <c r="H7">
        <f>[3]白龙马!$I$7</f>
        <v>24</v>
      </c>
      <c r="I7">
        <f>[3]白龙马!$J$7</f>
        <v>22</v>
      </c>
      <c r="J7">
        <f>[3]白龙马!$V$7</f>
        <v>1</v>
      </c>
      <c r="K7">
        <f>[3]白龙马!$Y$7</f>
        <v>1.07</v>
      </c>
      <c r="L7">
        <f>[3]白龙马!$Z$7</f>
        <v>0</v>
      </c>
    </row>
    <row r="8" spans="1:12" x14ac:dyDescent="0.15">
      <c r="A8">
        <v>7</v>
      </c>
      <c r="B8">
        <f>[3]白龙马!$C$8</f>
        <v>650</v>
      </c>
      <c r="C8">
        <f t="shared" si="0"/>
        <v>150</v>
      </c>
      <c r="D8">
        <f>[3]白龙马!$D$8</f>
        <v>78</v>
      </c>
      <c r="E8">
        <f>[3]白龙马!$E$8</f>
        <v>96</v>
      </c>
      <c r="F8">
        <f>ROUND([3]白龙马!$F$8 *1000,0)</f>
        <v>15</v>
      </c>
      <c r="G8">
        <f>ROUND([3]白龙马!$H$8 *100,0)</f>
        <v>120</v>
      </c>
      <c r="H8">
        <f>[3]白龙马!$I$8</f>
        <v>30</v>
      </c>
      <c r="I8">
        <f>[3]白龙马!$J$8</f>
        <v>23</v>
      </c>
      <c r="J8">
        <f>[3]白龙马!$V$8</f>
        <v>1</v>
      </c>
      <c r="K8">
        <f>[3]白龙马!$Y$8</f>
        <v>1.1000000000000001</v>
      </c>
      <c r="L8">
        <f>[3]白龙马!$Z$8</f>
        <v>0</v>
      </c>
    </row>
    <row r="9" spans="1:12" x14ac:dyDescent="0.15">
      <c r="A9">
        <v>8</v>
      </c>
      <c r="B9">
        <f>[3]白龙马!$C$9</f>
        <v>850</v>
      </c>
      <c r="C9">
        <f t="shared" si="0"/>
        <v>200</v>
      </c>
      <c r="D9">
        <f>[3]白龙马!$D$9</f>
        <v>150</v>
      </c>
      <c r="E9">
        <f>[3]白龙马!$E$9</f>
        <v>117</v>
      </c>
      <c r="F9">
        <f>ROUND([3]白龙马!$F$9 *1000,0)</f>
        <v>25</v>
      </c>
      <c r="G9">
        <f>ROUND([3]白龙马!$H$9 *100,0)</f>
        <v>120</v>
      </c>
      <c r="H9">
        <f>[3]白龙马!$I$9</f>
        <v>37</v>
      </c>
      <c r="I9">
        <f>[3]白龙马!$J$9</f>
        <v>45</v>
      </c>
      <c r="J9">
        <f>[3]白龙马!$V$9</f>
        <v>1</v>
      </c>
      <c r="K9">
        <f>[3]白龙马!$Y$9</f>
        <v>1.1400000000000001</v>
      </c>
      <c r="L9">
        <f>[3]白龙马!$Z$9</f>
        <v>0</v>
      </c>
    </row>
    <row r="10" spans="1:12" x14ac:dyDescent="0.15">
      <c r="A10">
        <v>9</v>
      </c>
      <c r="B10">
        <f>[3]白龙马!$C$10</f>
        <v>1050</v>
      </c>
      <c r="C10">
        <f t="shared" si="0"/>
        <v>200</v>
      </c>
      <c r="D10">
        <f>[3]白龙马!$D$10</f>
        <v>183</v>
      </c>
      <c r="E10">
        <f>[3]白龙马!$E$10</f>
        <v>140</v>
      </c>
      <c r="F10">
        <f>ROUND([3]白龙马!$F$10*1000,0)</f>
        <v>29</v>
      </c>
      <c r="G10">
        <f>ROUND([3]白龙马!$H$10*100,0)</f>
        <v>120</v>
      </c>
      <c r="H10">
        <f>[3]白龙马!$I$10</f>
        <v>45</v>
      </c>
      <c r="I10">
        <f>[3]白龙马!$J$10</f>
        <v>55</v>
      </c>
      <c r="J10">
        <f>[3]白龙马!$V$10</f>
        <v>1</v>
      </c>
      <c r="K10">
        <f>[3]白龙马!$Y$10</f>
        <v>1.1800000000000002</v>
      </c>
      <c r="L10">
        <f>[3]白龙马!$Z$10</f>
        <v>0</v>
      </c>
    </row>
    <row r="11" spans="1:12" x14ac:dyDescent="0.15">
      <c r="A11">
        <v>10</v>
      </c>
      <c r="B11">
        <f>[3]白龙马!$C$11</f>
        <v>1250</v>
      </c>
      <c r="C11">
        <f t="shared" si="0"/>
        <v>200</v>
      </c>
      <c r="D11">
        <f>[3]白龙马!$D$11</f>
        <v>198</v>
      </c>
      <c r="E11">
        <f>[3]白龙马!$E$11</f>
        <v>166</v>
      </c>
      <c r="F11">
        <f>ROUND([3]白龙马!$F$11*1000,0)</f>
        <v>37</v>
      </c>
      <c r="G11">
        <f>ROUND([3]白龙马!$H$11*100,0)</f>
        <v>130</v>
      </c>
      <c r="H11">
        <f>[3]白龙马!$I$11</f>
        <v>54</v>
      </c>
      <c r="I11">
        <f>[3]白龙马!$J$11</f>
        <v>59</v>
      </c>
      <c r="J11">
        <f>[3]白龙马!$V$11</f>
        <v>1</v>
      </c>
      <c r="K11">
        <f>[3]白龙马!$Y$11</f>
        <v>1.2200000000000002</v>
      </c>
      <c r="L11">
        <f>[3]白龙马!$Z$11</f>
        <v>0</v>
      </c>
    </row>
    <row r="12" spans="1:12" x14ac:dyDescent="0.15">
      <c r="A12">
        <v>11</v>
      </c>
      <c r="B12">
        <f>[3]白龙马!$C$12</f>
        <v>1500</v>
      </c>
      <c r="C12">
        <f t="shared" si="0"/>
        <v>250</v>
      </c>
      <c r="D12">
        <f>[3]白龙马!$D$12</f>
        <v>311</v>
      </c>
      <c r="E12">
        <f>[3]白龙马!$E$12</f>
        <v>195</v>
      </c>
      <c r="F12">
        <f>ROUND([3]白龙马!$F$12*1000,0)</f>
        <v>46</v>
      </c>
      <c r="G12">
        <f>ROUND([3]白龙马!$H$12*100,0)</f>
        <v>130</v>
      </c>
      <c r="H12">
        <f>[3]白龙马!$I$12</f>
        <v>64</v>
      </c>
      <c r="I12">
        <f>[3]白龙马!$J$12</f>
        <v>93</v>
      </c>
      <c r="J12">
        <f>[3]白龙马!$V$12</f>
        <v>1</v>
      </c>
      <c r="K12">
        <f>[3]白龙马!$Y$12</f>
        <v>1.2700000000000002</v>
      </c>
      <c r="L12">
        <f>[3]白龙马!$Z$12</f>
        <v>0</v>
      </c>
    </row>
    <row r="13" spans="1:12" x14ac:dyDescent="0.15">
      <c r="A13">
        <v>12</v>
      </c>
      <c r="B13">
        <f>[3]白龙马!$C$13</f>
        <v>1750</v>
      </c>
      <c r="C13">
        <f t="shared" si="0"/>
        <v>250</v>
      </c>
      <c r="D13">
        <f>[3]白龙马!$D$13</f>
        <v>354</v>
      </c>
      <c r="E13">
        <f>[3]白龙马!$E$13</f>
        <v>227</v>
      </c>
      <c r="F13">
        <f>ROUND([3]白龙马!$F$13*1000,0)</f>
        <v>55</v>
      </c>
      <c r="G13">
        <f>ROUND([3]白龙马!$H$13*100,0)</f>
        <v>130</v>
      </c>
      <c r="H13">
        <f>[3]白龙马!$I$13</f>
        <v>75</v>
      </c>
      <c r="I13">
        <f>[3]白龙马!$J$13</f>
        <v>106</v>
      </c>
      <c r="J13">
        <f>[3]白龙马!$V$13</f>
        <v>1</v>
      </c>
      <c r="K13">
        <f>[3]白龙马!$Y$13</f>
        <v>1.3200000000000003</v>
      </c>
      <c r="L13">
        <f>[3]白龙马!$Z$13</f>
        <v>0</v>
      </c>
    </row>
    <row r="14" spans="1:12" x14ac:dyDescent="0.15">
      <c r="A14">
        <v>13</v>
      </c>
      <c r="B14">
        <f>[3]白龙马!$C$14</f>
        <v>2050</v>
      </c>
      <c r="C14">
        <f t="shared" si="0"/>
        <v>300</v>
      </c>
      <c r="D14">
        <f>[3]白龙马!$D$14</f>
        <v>408</v>
      </c>
      <c r="E14">
        <f>[3]白龙马!$E$14</f>
        <v>263</v>
      </c>
      <c r="F14">
        <f>ROUND([3]白龙马!$F$14*1000,0)</f>
        <v>65</v>
      </c>
      <c r="G14">
        <f>ROUND([3]白龙马!$H$14*100,0)</f>
        <v>130</v>
      </c>
      <c r="H14">
        <f>[3]白龙马!$I$14</f>
        <v>87</v>
      </c>
      <c r="I14">
        <f>[3]白龙马!$J$14</f>
        <v>122</v>
      </c>
      <c r="J14">
        <f>[3]白龙马!$V$14</f>
        <v>1</v>
      </c>
      <c r="K14">
        <f>[3]白龙马!$Y$14</f>
        <v>1.3800000000000003</v>
      </c>
      <c r="L14">
        <f>[3]白龙马!$Z$14</f>
        <v>0</v>
      </c>
    </row>
    <row r="15" spans="1:12" x14ac:dyDescent="0.15">
      <c r="A15">
        <v>14</v>
      </c>
      <c r="B15">
        <f>[3]白龙马!$C$15</f>
        <v>2400</v>
      </c>
      <c r="C15">
        <f t="shared" si="0"/>
        <v>350</v>
      </c>
      <c r="D15">
        <f>[3]白龙马!$D$15</f>
        <v>595</v>
      </c>
      <c r="E15">
        <f>[3]白龙马!$E$15</f>
        <v>303</v>
      </c>
      <c r="F15">
        <f>ROUND([3]白龙马!$F$15*1000,0)</f>
        <v>76</v>
      </c>
      <c r="G15">
        <f>ROUND([3]白龙马!$H$15*100,0)</f>
        <v>130</v>
      </c>
      <c r="H15">
        <f>[3]白龙马!$I$15</f>
        <v>100</v>
      </c>
      <c r="I15">
        <f>[3]白龙马!$J$15</f>
        <v>179</v>
      </c>
      <c r="J15">
        <f>[3]白龙马!$V$15</f>
        <v>1</v>
      </c>
      <c r="K15">
        <f>[3]白龙马!$Y$15</f>
        <v>1.4500000000000004</v>
      </c>
      <c r="L15">
        <f>[3]白龙马!$Z$15</f>
        <v>0</v>
      </c>
    </row>
    <row r="16" spans="1:12" x14ac:dyDescent="0.15">
      <c r="A16">
        <v>15</v>
      </c>
      <c r="B16">
        <f>[3]白龙马!$C$16</f>
        <v>2850</v>
      </c>
      <c r="C16">
        <f t="shared" si="0"/>
        <v>450</v>
      </c>
      <c r="D16">
        <f>[3]白龙马!$D$16</f>
        <v>693</v>
      </c>
      <c r="E16">
        <f>[3]白龙马!$E$16</f>
        <v>347</v>
      </c>
      <c r="F16">
        <f>ROUND([3]白龙马!$F$16*1000,0)</f>
        <v>89</v>
      </c>
      <c r="G16">
        <f>ROUND([3]白龙马!$H$16*100,0)</f>
        <v>140</v>
      </c>
      <c r="H16">
        <f>[3]白龙马!$I$16</f>
        <v>114</v>
      </c>
      <c r="I16">
        <f>[3]白龙马!$J$16</f>
        <v>208</v>
      </c>
      <c r="J16">
        <f>[3]白龙马!$V$16</f>
        <v>1</v>
      </c>
      <c r="K16">
        <f>[3]白龙马!$Y$16</f>
        <v>1.5400000000000005</v>
      </c>
      <c r="L16">
        <f>[3]白龙马!$Z$16</f>
        <v>0</v>
      </c>
    </row>
    <row r="17" spans="1:12" x14ac:dyDescent="0.15">
      <c r="A17">
        <v>16</v>
      </c>
      <c r="B17">
        <f>[3]白龙马!$C$17</f>
        <v>3350</v>
      </c>
      <c r="C17">
        <f t="shared" si="0"/>
        <v>500</v>
      </c>
      <c r="D17">
        <f>[3]白龙马!$D$17</f>
        <v>992</v>
      </c>
      <c r="E17">
        <f>[3]白龙马!$E$17</f>
        <v>396</v>
      </c>
      <c r="F17">
        <f>ROUND([3]白龙马!$F$17*1000,0)</f>
        <v>100</v>
      </c>
      <c r="G17">
        <f>ROUND([3]白龙马!$H$17*100,0)</f>
        <v>140</v>
      </c>
      <c r="H17">
        <f>[3]白龙马!$I$17</f>
        <v>130</v>
      </c>
      <c r="I17">
        <f>[3]白龙马!$J$17</f>
        <v>298</v>
      </c>
      <c r="J17">
        <f>[3]白龙马!$V$17</f>
        <v>1</v>
      </c>
      <c r="K17">
        <f>[3]白龙马!$Y$17</f>
        <v>1.6400000000000006</v>
      </c>
      <c r="L17">
        <f>[3]白龙马!$Z$17</f>
        <v>0</v>
      </c>
    </row>
    <row r="18" spans="1:12" x14ac:dyDescent="0.15">
      <c r="A18">
        <v>17</v>
      </c>
      <c r="B18">
        <f>[3]白龙马!$C$18</f>
        <v>3900</v>
      </c>
      <c r="C18">
        <f t="shared" si="0"/>
        <v>550</v>
      </c>
      <c r="D18">
        <f>[3]白龙马!$D$18</f>
        <v>1162</v>
      </c>
      <c r="E18">
        <f>[3]白龙马!$E$18</f>
        <v>450</v>
      </c>
      <c r="F18">
        <f>ROUND([3]白龙马!$F$18*1000,0)</f>
        <v>111</v>
      </c>
      <c r="G18">
        <f>ROUND([3]白龙马!$H$18*100,0)</f>
        <v>140</v>
      </c>
      <c r="H18">
        <f>[3]白龙马!$I$18</f>
        <v>148</v>
      </c>
      <c r="I18">
        <f>[3]白龙马!$J$18</f>
        <v>349</v>
      </c>
      <c r="J18">
        <f>[3]白龙马!$V$18</f>
        <v>1</v>
      </c>
      <c r="K18">
        <f>[3]白龙马!$Y$18</f>
        <v>1.7500000000000007</v>
      </c>
      <c r="L18">
        <f>[3]白龙马!$Z$18</f>
        <v>0</v>
      </c>
    </row>
    <row r="19" spans="1:12" x14ac:dyDescent="0.15">
      <c r="A19">
        <v>18</v>
      </c>
      <c r="B19">
        <f>[3]白龙马!$C$19</f>
        <v>4550</v>
      </c>
      <c r="C19">
        <f t="shared" si="0"/>
        <v>650</v>
      </c>
      <c r="D19">
        <f>[3]白龙马!$D$19</f>
        <v>1368</v>
      </c>
      <c r="E19">
        <f>[3]白龙马!$E$19</f>
        <v>510</v>
      </c>
      <c r="F19">
        <f>ROUND([3]白龙马!$F$19*1000,0)</f>
        <v>125</v>
      </c>
      <c r="G19">
        <f>ROUND([3]白龙马!$H$19*100,0)</f>
        <v>140</v>
      </c>
      <c r="H19">
        <f>[3]白龙马!$I$19</f>
        <v>168</v>
      </c>
      <c r="I19">
        <f>[3]白龙马!$J$19</f>
        <v>410</v>
      </c>
      <c r="J19">
        <f>[3]白龙马!$V$19</f>
        <v>1</v>
      </c>
      <c r="K19">
        <f>[3]白龙马!$Y$19</f>
        <v>1.8800000000000008</v>
      </c>
      <c r="L19">
        <f>[3]白龙马!$Z$19</f>
        <v>0</v>
      </c>
    </row>
    <row r="20" spans="1:12" x14ac:dyDescent="0.15">
      <c r="A20">
        <v>19</v>
      </c>
      <c r="B20">
        <f>[3]白龙马!$C$20</f>
        <v>5500</v>
      </c>
      <c r="C20">
        <f t="shared" si="0"/>
        <v>950</v>
      </c>
      <c r="D20">
        <f>[3]白龙马!$D$20</f>
        <v>1996</v>
      </c>
      <c r="E20">
        <f>[3]白龙马!$E$20</f>
        <v>577</v>
      </c>
      <c r="F20">
        <f>ROUND([3]白龙马!$F$20*1000,0)</f>
        <v>130</v>
      </c>
      <c r="G20">
        <f>ROUND([3]白龙马!$H$20*100,0)</f>
        <v>140</v>
      </c>
      <c r="H20">
        <f>[3]白龙马!$I$20</f>
        <v>190</v>
      </c>
      <c r="I20">
        <f>[3]白龙马!$J$20</f>
        <v>599</v>
      </c>
      <c r="J20">
        <f>[3]白龙马!$V$20</f>
        <v>1</v>
      </c>
      <c r="K20">
        <f>[3]白龙马!$Y$20</f>
        <v>2.0699999999999994</v>
      </c>
      <c r="L20">
        <f>[3]白龙马!$Z$20</f>
        <v>0</v>
      </c>
    </row>
    <row r="21" spans="1:12" x14ac:dyDescent="0.15">
      <c r="A21">
        <v>20</v>
      </c>
      <c r="B21">
        <f>[3]白龙马!$C$21</f>
        <v>6600</v>
      </c>
      <c r="C21">
        <f t="shared" si="0"/>
        <v>1100</v>
      </c>
      <c r="D21">
        <f>[3]白龙马!$D$21</f>
        <v>2465</v>
      </c>
      <c r="E21">
        <f>[3]白龙马!$E$21</f>
        <v>690</v>
      </c>
      <c r="F21">
        <f>ROUND([3]白龙马!$F$21*1000,0)</f>
        <v>180</v>
      </c>
      <c r="G21">
        <f>ROUND([3]白龙马!$H$21*100,0)</f>
        <v>150</v>
      </c>
      <c r="H21">
        <f>[3]白龙马!$I$21</f>
        <v>250</v>
      </c>
      <c r="I21">
        <f>[3]白龙马!$J$21</f>
        <v>740</v>
      </c>
      <c r="J21">
        <f>[3]白龙马!$V$21</f>
        <v>1</v>
      </c>
      <c r="K21">
        <f>[3]白龙马!$Y$21</f>
        <v>2.3899999999999926</v>
      </c>
      <c r="L21">
        <f>[3]白龙马!$Z$21</f>
        <v>0</v>
      </c>
    </row>
    <row r="22" spans="1:12" x14ac:dyDescent="0.15">
      <c r="A22">
        <v>21</v>
      </c>
      <c r="B22">
        <f>[3]白龙马!$C$22</f>
        <v>9450</v>
      </c>
      <c r="C22">
        <f t="shared" si="0"/>
        <v>2850</v>
      </c>
      <c r="D22">
        <f>[3]白龙马!$D$22</f>
        <v>3680</v>
      </c>
      <c r="E22">
        <f>[3]白龙马!$E$22</f>
        <v>764</v>
      </c>
      <c r="F22">
        <f>ROUND([3]白龙马!$F$22*1000,0)</f>
        <v>180</v>
      </c>
      <c r="G22">
        <f>ROUND([3]白龙马!$H$22*100,0)</f>
        <v>150</v>
      </c>
      <c r="H22">
        <f>[3]白龙马!$I$22</f>
        <v>328</v>
      </c>
      <c r="I22">
        <f>[3]白龙马!$J$22</f>
        <v>1104</v>
      </c>
      <c r="J22">
        <f>[3]白龙马!$V$22</f>
        <v>1</v>
      </c>
      <c r="K22">
        <f>[3]白龙马!$Y$22</f>
        <v>2.8599999999999826</v>
      </c>
      <c r="L22">
        <f>[3]白龙马!$Z$22</f>
        <v>335</v>
      </c>
    </row>
    <row r="23" spans="1:12" x14ac:dyDescent="0.15">
      <c r="A23">
        <v>22</v>
      </c>
      <c r="B23">
        <f>[3]白龙马!$C$23</f>
        <v>12800</v>
      </c>
      <c r="C23">
        <f t="shared" si="0"/>
        <v>3350</v>
      </c>
      <c r="D23">
        <f>[3]白龙马!$D$23</f>
        <v>5616</v>
      </c>
      <c r="E23">
        <f>[3]白龙马!$E$23</f>
        <v>1032</v>
      </c>
      <c r="F23">
        <f>ROUND([3]白龙马!$F$23*1000,0)</f>
        <v>180</v>
      </c>
      <c r="G23">
        <f>ROUND([3]白龙马!$H$23*100,0)</f>
        <v>150</v>
      </c>
      <c r="H23">
        <f>[3]白龙马!$I$23</f>
        <v>429</v>
      </c>
      <c r="I23">
        <f>[3]白龙马!$J$23</f>
        <v>1685</v>
      </c>
      <c r="J23">
        <f>[3]白龙马!$V$23</f>
        <v>1</v>
      </c>
      <c r="K23">
        <f>[3]白龙马!$Y$23</f>
        <v>3.5299999999999683</v>
      </c>
      <c r="L23">
        <f>[3]白龙马!$Z$23</f>
        <v>460</v>
      </c>
    </row>
    <row r="24" spans="1:12" x14ac:dyDescent="0.15">
      <c r="A24">
        <v>23</v>
      </c>
      <c r="B24">
        <f>[3]白龙马!$C$24</f>
        <v>17400</v>
      </c>
      <c r="C24">
        <f t="shared" si="0"/>
        <v>4600</v>
      </c>
      <c r="D24">
        <f>[3]白龙马!$D$24</f>
        <v>7614</v>
      </c>
      <c r="E24">
        <f>[3]白龙马!$E$24</f>
        <v>1400</v>
      </c>
      <c r="F24">
        <f>ROUND([3]白龙马!$F$24*1000,0)</f>
        <v>200</v>
      </c>
      <c r="G24">
        <f>ROUND([3]白龙马!$H$24*100,0)</f>
        <v>150</v>
      </c>
      <c r="H24">
        <f>[3]白龙马!$I$24</f>
        <v>560</v>
      </c>
      <c r="I24">
        <f>[3]白龙马!$J$24</f>
        <v>2284</v>
      </c>
      <c r="J24">
        <f>[3]白龙马!$V$24</f>
        <v>1</v>
      </c>
      <c r="K24">
        <f>[3]白龙马!$Y$24</f>
        <v>4.4499999999999487</v>
      </c>
      <c r="L24">
        <f>[3]白龙马!$Z$24</f>
        <v>585</v>
      </c>
    </row>
    <row r="25" spans="1:12" x14ac:dyDescent="0.15">
      <c r="A25">
        <v>24</v>
      </c>
      <c r="B25">
        <f>[3]白龙马!$C$25</f>
        <v>23250</v>
      </c>
      <c r="C25">
        <f t="shared" si="0"/>
        <v>5850</v>
      </c>
      <c r="D25">
        <f>[3]白龙马!$D$25</f>
        <v>10055</v>
      </c>
      <c r="E25">
        <f>[3]白龙马!$E$25</f>
        <v>1868</v>
      </c>
      <c r="F25">
        <f>ROUND([3]白龙马!$F$25*1000,0)</f>
        <v>200</v>
      </c>
      <c r="G25">
        <f>ROUND([3]白龙马!$H$25*100,0)</f>
        <v>160</v>
      </c>
      <c r="H25">
        <f>[3]白龙马!$I$25</f>
        <v>730</v>
      </c>
      <c r="I25">
        <f>[3]白龙马!$J$25</f>
        <v>3017</v>
      </c>
      <c r="J25">
        <f>[3]白龙马!$V$25</f>
        <v>1</v>
      </c>
      <c r="K25">
        <f>[3]白龙马!$Y$25</f>
        <v>5.6199999999999237</v>
      </c>
      <c r="L25">
        <f>[3]白龙马!$Z$25</f>
        <v>750</v>
      </c>
    </row>
    <row r="26" spans="1:12" x14ac:dyDescent="0.15">
      <c r="A26">
        <v>25</v>
      </c>
      <c r="B26">
        <f>[3]白龙马!$C$26</f>
        <v>30750</v>
      </c>
      <c r="C26">
        <f t="shared" si="0"/>
        <v>7500</v>
      </c>
      <c r="D26">
        <f>[3]白龙马!$D$26</f>
        <v>13340</v>
      </c>
      <c r="E26">
        <f>[3]白龙马!$E$26</f>
        <v>2468</v>
      </c>
      <c r="F26">
        <f>ROUND([3]白龙马!$F$26*1000,0)</f>
        <v>200</v>
      </c>
      <c r="G26">
        <f>ROUND([3]白龙马!$H$26*100,0)</f>
        <v>160</v>
      </c>
      <c r="H26">
        <f>[3]白龙马!$I$26</f>
        <v>951</v>
      </c>
      <c r="I26">
        <f>[3]白龙马!$J$26</f>
        <v>4002</v>
      </c>
      <c r="J26">
        <f>[3]白龙马!$V$26</f>
        <v>1</v>
      </c>
      <c r="K26">
        <f>[3]白龙马!$Y$26</f>
        <v>7.1199999999998917</v>
      </c>
      <c r="L26">
        <f>[3]白龙马!$Z$26</f>
        <v>1000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3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[3]猎户刘伯钦!$C$2</f>
        <v>50</v>
      </c>
      <c r="C2">
        <f>B2-0</f>
        <v>50</v>
      </c>
      <c r="D2">
        <f>[3]猎户刘伯钦!$D$2</f>
        <v>30</v>
      </c>
      <c r="E2">
        <f>[3]猎户刘伯钦!$E$2</f>
        <v>7</v>
      </c>
      <c r="F2">
        <f>ROUND([3]猎户刘伯钦!$F$2 *1000,0)</f>
        <v>0</v>
      </c>
      <c r="G2">
        <f>ROUND([3]猎户刘伯钦!$H$2 *100,0)</f>
        <v>100</v>
      </c>
      <c r="H2">
        <f>[3]猎户刘伯钦!$I$2</f>
        <v>6</v>
      </c>
      <c r="I2">
        <f>[3]猎户刘伯钦!$J$2</f>
        <v>9</v>
      </c>
      <c r="J2">
        <f>[3]猎户刘伯钦!$V$2</f>
        <v>1.5</v>
      </c>
      <c r="K2">
        <f>[3]猎户刘伯钦!$Y$2</f>
        <v>1</v>
      </c>
      <c r="L2">
        <f>[3]猎户刘伯钦!$Z$2</f>
        <v>0</v>
      </c>
    </row>
    <row r="3" spans="1:12" x14ac:dyDescent="0.15">
      <c r="A3">
        <v>2</v>
      </c>
      <c r="B3">
        <f>[3]猎户刘伯钦!$C$3</f>
        <v>100</v>
      </c>
      <c r="C3">
        <f>B3-B2</f>
        <v>50</v>
      </c>
      <c r="D3">
        <f>[3]猎户刘伯钦!$D$3</f>
        <v>32</v>
      </c>
      <c r="E3">
        <f>[3]猎户刘伯钦!$E$3</f>
        <v>13</v>
      </c>
      <c r="F3">
        <f>ROUND([3]猎户刘伯钦!$F$3 *1000,0)</f>
        <v>0</v>
      </c>
      <c r="G3">
        <f>ROUND([3]猎户刘伯钦!$H$3 *100,0)</f>
        <v>100</v>
      </c>
      <c r="H3">
        <f>[3]猎户刘伯钦!$I$3</f>
        <v>10</v>
      </c>
      <c r="I3">
        <f>[3]猎户刘伯钦!$J$3</f>
        <v>10</v>
      </c>
      <c r="J3">
        <f>[3]猎户刘伯钦!$V$3</f>
        <v>1.5</v>
      </c>
      <c r="K3">
        <f>[3]猎户刘伯钦!$Y$3</f>
        <v>1</v>
      </c>
      <c r="L3">
        <f>[3]猎户刘伯钦!$Z$3</f>
        <v>0</v>
      </c>
    </row>
    <row r="4" spans="1:12" x14ac:dyDescent="0.15">
      <c r="A4">
        <v>3</v>
      </c>
      <c r="B4">
        <f>[3]猎户刘伯钦!$C$4</f>
        <v>150</v>
      </c>
      <c r="C4">
        <f t="shared" ref="C4:C26" si="0">B4-B3</f>
        <v>50</v>
      </c>
      <c r="D4">
        <f>[3]猎户刘伯钦!$D$4</f>
        <v>32</v>
      </c>
      <c r="E4">
        <f>[3]猎户刘伯钦!$E$4</f>
        <v>20</v>
      </c>
      <c r="F4">
        <f>ROUND([3]猎户刘伯钦!$F$4 *1000,0)</f>
        <v>0</v>
      </c>
      <c r="G4">
        <f>ROUND([3]猎户刘伯钦!$H$4 *100,0)</f>
        <v>100</v>
      </c>
      <c r="H4">
        <f>[3]猎户刘伯钦!$I$4</f>
        <v>15</v>
      </c>
      <c r="I4">
        <f>[3]猎户刘伯钦!$J$4</f>
        <v>10</v>
      </c>
      <c r="J4">
        <f>[3]猎户刘伯钦!$V$4</f>
        <v>1.5</v>
      </c>
      <c r="K4">
        <f>[3]猎户刘伯钦!$Y$4</f>
        <v>1</v>
      </c>
      <c r="L4">
        <f>[3]猎户刘伯钦!$Z$4</f>
        <v>0</v>
      </c>
    </row>
    <row r="5" spans="1:12" x14ac:dyDescent="0.15">
      <c r="A5">
        <v>4</v>
      </c>
      <c r="B5">
        <f>[3]猎户刘伯钦!$C$5</f>
        <v>250</v>
      </c>
      <c r="C5">
        <f t="shared" si="0"/>
        <v>100</v>
      </c>
      <c r="D5">
        <f>[3]猎户刘伯钦!$D$5</f>
        <v>36</v>
      </c>
      <c r="E5">
        <f>[3]猎户刘伯钦!$E$5</f>
        <v>33</v>
      </c>
      <c r="F5">
        <f>ROUND([3]猎户刘伯钦!$F$5 *1000,0)</f>
        <v>0</v>
      </c>
      <c r="G5">
        <f>ROUND([3]猎户刘伯钦!$H$5 *100,0)</f>
        <v>100</v>
      </c>
      <c r="H5">
        <f>[3]猎户刘伯钦!$I$5</f>
        <v>22</v>
      </c>
      <c r="I5">
        <f>[3]猎户刘伯钦!$J$5</f>
        <v>11</v>
      </c>
      <c r="J5">
        <f>[3]猎户刘伯钦!$V$5</f>
        <v>1.5</v>
      </c>
      <c r="K5">
        <f>[3]猎户刘伯钦!$Y$5</f>
        <v>1.02</v>
      </c>
      <c r="L5">
        <f>[3]猎户刘伯钦!$Z$5</f>
        <v>0</v>
      </c>
    </row>
    <row r="6" spans="1:12" x14ac:dyDescent="0.15">
      <c r="A6">
        <v>5</v>
      </c>
      <c r="B6">
        <f>[3]猎户刘伯钦!$C$6</f>
        <v>350</v>
      </c>
      <c r="C6">
        <f t="shared" si="0"/>
        <v>100</v>
      </c>
      <c r="D6">
        <f>[3]猎户刘伯钦!$D$6</f>
        <v>39</v>
      </c>
      <c r="E6">
        <f>[3]猎户刘伯钦!$E$6</f>
        <v>47</v>
      </c>
      <c r="F6">
        <f>ROUND([3]猎户刘伯钦!$F$6 *1000,0)</f>
        <v>0</v>
      </c>
      <c r="G6">
        <f>ROUND([3]猎户刘伯钦!$H$6 *100,0)</f>
        <v>100</v>
      </c>
      <c r="H6">
        <f>[3]猎户刘伯钦!$I$6</f>
        <v>30</v>
      </c>
      <c r="I6">
        <f>[3]猎户刘伯钦!$J$6</f>
        <v>12</v>
      </c>
      <c r="J6">
        <f>[3]猎户刘伯钦!$V$6</f>
        <v>1.5</v>
      </c>
      <c r="K6">
        <f>[3]猎户刘伯钦!$Y$6</f>
        <v>1.04</v>
      </c>
      <c r="L6">
        <f>[3]猎户刘伯钦!$Z$6</f>
        <v>0</v>
      </c>
    </row>
    <row r="7" spans="1:12" x14ac:dyDescent="0.15">
      <c r="A7">
        <v>6</v>
      </c>
      <c r="B7">
        <f>[3]猎户刘伯钦!$C$7</f>
        <v>500</v>
      </c>
      <c r="C7">
        <f t="shared" si="0"/>
        <v>150</v>
      </c>
      <c r="D7">
        <f>[3]猎户刘伯钦!$D$7</f>
        <v>43</v>
      </c>
      <c r="E7">
        <f>[3]猎户刘伯钦!$E$7</f>
        <v>65</v>
      </c>
      <c r="F7">
        <f>ROUND([3]猎户刘伯钦!$F$7 *1000,0)</f>
        <v>0</v>
      </c>
      <c r="G7">
        <f>ROUND([3]猎户刘伯钦!$H$7 *100,0)</f>
        <v>100</v>
      </c>
      <c r="H7">
        <f>[3]猎户刘伯钦!$I$7</f>
        <v>44</v>
      </c>
      <c r="I7">
        <f>[3]猎户刘伯钦!$J$7</f>
        <v>13</v>
      </c>
      <c r="J7">
        <f>[3]猎户刘伯钦!$V$7</f>
        <v>1.5</v>
      </c>
      <c r="K7">
        <f>[3]猎户刘伯钦!$Y$7</f>
        <v>1.07</v>
      </c>
      <c r="L7">
        <f>[3]猎户刘伯钦!$Z$7</f>
        <v>0</v>
      </c>
    </row>
    <row r="8" spans="1:12" x14ac:dyDescent="0.15">
      <c r="A8">
        <v>7</v>
      </c>
      <c r="B8">
        <f>[3]猎户刘伯钦!$C$8</f>
        <v>650</v>
      </c>
      <c r="C8">
        <f t="shared" si="0"/>
        <v>150</v>
      </c>
      <c r="D8">
        <f>[3]猎户刘伯钦!$D$8</f>
        <v>43</v>
      </c>
      <c r="E8">
        <f>[3]猎户刘伯钦!$E$8</f>
        <v>87</v>
      </c>
      <c r="F8">
        <f>ROUND([3]猎户刘伯钦!$F$8 *1000,0)</f>
        <v>0</v>
      </c>
      <c r="G8">
        <f>ROUND([3]猎户刘伯钦!$H$8 *100,0)</f>
        <v>100</v>
      </c>
      <c r="H8">
        <f>[3]猎户刘伯钦!$I$8</f>
        <v>57</v>
      </c>
      <c r="I8">
        <f>[3]猎户刘伯钦!$J$8</f>
        <v>13</v>
      </c>
      <c r="J8">
        <f>[3]猎户刘伯钦!$V$8</f>
        <v>1.5</v>
      </c>
      <c r="K8">
        <f>[3]猎户刘伯钦!$Y$8</f>
        <v>1.1000000000000001</v>
      </c>
      <c r="L8">
        <f>[3]猎户刘伯钦!$Z$8</f>
        <v>0</v>
      </c>
    </row>
    <row r="9" spans="1:12" x14ac:dyDescent="0.15">
      <c r="A9">
        <v>8</v>
      </c>
      <c r="B9">
        <f>[3]猎户刘伯钦!$C$9</f>
        <v>850</v>
      </c>
      <c r="C9">
        <f t="shared" si="0"/>
        <v>200</v>
      </c>
      <c r="D9">
        <f>[3]猎户刘伯钦!$D$9</f>
        <v>95</v>
      </c>
      <c r="E9">
        <f>[3]猎户刘伯钦!$E$9</f>
        <v>110</v>
      </c>
      <c r="F9">
        <f>ROUND([3]猎户刘伯钦!$F$9 *1000,0)</f>
        <v>0</v>
      </c>
      <c r="G9">
        <f>ROUND([3]猎户刘伯钦!$H$9 *100,0)</f>
        <v>100</v>
      </c>
      <c r="H9">
        <f>[3]猎户刘伯钦!$I$9</f>
        <v>72</v>
      </c>
      <c r="I9">
        <f>[3]猎户刘伯钦!$J$9</f>
        <v>29</v>
      </c>
      <c r="J9">
        <f>[3]猎户刘伯钦!$V$9</f>
        <v>1.5</v>
      </c>
      <c r="K9">
        <f>[3]猎户刘伯钦!$Y$9</f>
        <v>1.1400000000000001</v>
      </c>
      <c r="L9">
        <f>[3]猎户刘伯钦!$Z$9</f>
        <v>0</v>
      </c>
    </row>
    <row r="10" spans="1:12" x14ac:dyDescent="0.15">
      <c r="A10">
        <v>9</v>
      </c>
      <c r="B10">
        <f>[3]猎户刘伯钦!$C$10</f>
        <v>1050</v>
      </c>
      <c r="C10">
        <f t="shared" si="0"/>
        <v>200</v>
      </c>
      <c r="D10">
        <f>[3]猎户刘伯钦!$D$10</f>
        <v>111</v>
      </c>
      <c r="E10">
        <f>[3]猎户刘伯钦!$E$10</f>
        <v>138</v>
      </c>
      <c r="F10">
        <f>ROUND([3]猎户刘伯钦!$F$10*1000,0)</f>
        <v>0</v>
      </c>
      <c r="G10">
        <f>ROUND([3]猎户刘伯钦!$H$10*100,0)</f>
        <v>100</v>
      </c>
      <c r="H10">
        <f>[3]猎户刘伯钦!$I$10</f>
        <v>86</v>
      </c>
      <c r="I10">
        <f>[3]猎户刘伯钦!$J$10</f>
        <v>33</v>
      </c>
      <c r="J10">
        <f>[3]猎户刘伯钦!$V$10</f>
        <v>1.5</v>
      </c>
      <c r="K10">
        <f>[3]猎户刘伯钦!$Y$10</f>
        <v>1.1800000000000002</v>
      </c>
      <c r="L10">
        <f>[3]猎户刘伯钦!$Z$10</f>
        <v>0</v>
      </c>
    </row>
    <row r="11" spans="1:12" x14ac:dyDescent="0.15">
      <c r="A11">
        <v>10</v>
      </c>
      <c r="B11">
        <f>[3]猎户刘伯钦!$C$11</f>
        <v>1250</v>
      </c>
      <c r="C11">
        <f t="shared" si="0"/>
        <v>200</v>
      </c>
      <c r="D11">
        <f>[3]猎户刘伯钦!$D$11</f>
        <v>126</v>
      </c>
      <c r="E11">
        <f>[3]猎户刘伯钦!$E$11</f>
        <v>164</v>
      </c>
      <c r="F11">
        <f>ROUND([3]猎户刘伯钦!$F$11*1000,0)</f>
        <v>0</v>
      </c>
      <c r="G11">
        <f>ROUND([3]猎户刘伯钦!$H$11*100,0)</f>
        <v>100</v>
      </c>
      <c r="H11">
        <f>[3]猎户刘伯钦!$I$11</f>
        <v>102</v>
      </c>
      <c r="I11">
        <f>[3]猎户刘伯钦!$J$11</f>
        <v>38</v>
      </c>
      <c r="J11">
        <f>[3]猎户刘伯钦!$V$11</f>
        <v>1.5</v>
      </c>
      <c r="K11">
        <f>[3]猎户刘伯钦!$Y$11</f>
        <v>1.2200000000000002</v>
      </c>
      <c r="L11">
        <f>[3]猎户刘伯钦!$Z$11</f>
        <v>0</v>
      </c>
    </row>
    <row r="12" spans="1:12" x14ac:dyDescent="0.15">
      <c r="A12">
        <v>11</v>
      </c>
      <c r="B12">
        <f>[3]猎户刘伯钦!$C$12</f>
        <v>1500</v>
      </c>
      <c r="C12">
        <f t="shared" si="0"/>
        <v>250</v>
      </c>
      <c r="D12">
        <f>[3]猎户刘伯钦!$D$12</f>
        <v>221</v>
      </c>
      <c r="E12">
        <f>[3]猎户刘伯钦!$E$12</f>
        <v>193</v>
      </c>
      <c r="F12">
        <f>ROUND([3]猎户刘伯钦!$F$12*1000,0)</f>
        <v>0</v>
      </c>
      <c r="G12">
        <f>ROUND([3]猎户刘伯钦!$H$12*100,0)</f>
        <v>100</v>
      </c>
      <c r="H12">
        <f>[3]猎户刘伯钦!$I$12</f>
        <v>120</v>
      </c>
      <c r="I12">
        <f>[3]猎户刘伯钦!$J$12</f>
        <v>66</v>
      </c>
      <c r="J12">
        <f>[3]猎户刘伯钦!$V$12</f>
        <v>1.5</v>
      </c>
      <c r="K12">
        <f>[3]猎户刘伯钦!$Y$12</f>
        <v>1.2700000000000002</v>
      </c>
      <c r="L12">
        <f>[3]猎户刘伯钦!$Z$12</f>
        <v>0</v>
      </c>
    </row>
    <row r="13" spans="1:12" x14ac:dyDescent="0.15">
      <c r="A13">
        <v>12</v>
      </c>
      <c r="B13">
        <f>[3]猎户刘伯钦!$C$13</f>
        <v>1750</v>
      </c>
      <c r="C13">
        <f t="shared" si="0"/>
        <v>250</v>
      </c>
      <c r="D13">
        <f>[3]猎户刘伯钦!$D$13</f>
        <v>252</v>
      </c>
      <c r="E13">
        <f>[3]猎户刘伯钦!$E$13</f>
        <v>225</v>
      </c>
      <c r="F13">
        <f>ROUND([3]猎户刘伯钦!$F$13*1000,0)</f>
        <v>0</v>
      </c>
      <c r="G13">
        <f>ROUND([3]猎户刘伯钦!$H$13*100,0)</f>
        <v>100</v>
      </c>
      <c r="H13">
        <f>[3]猎户刘伯钦!$I$13</f>
        <v>140</v>
      </c>
      <c r="I13">
        <f>[3]猎户刘伯钦!$J$13</f>
        <v>76</v>
      </c>
      <c r="J13">
        <f>[3]猎户刘伯钦!$V$13</f>
        <v>1.5</v>
      </c>
      <c r="K13">
        <f>[3]猎户刘伯钦!$Y$13</f>
        <v>1.3200000000000003</v>
      </c>
      <c r="L13">
        <f>[3]猎户刘伯钦!$Z$13</f>
        <v>0</v>
      </c>
    </row>
    <row r="14" spans="1:12" x14ac:dyDescent="0.15">
      <c r="A14">
        <v>13</v>
      </c>
      <c r="B14">
        <f>[3]猎户刘伯钦!$C$14</f>
        <v>2050</v>
      </c>
      <c r="C14">
        <f t="shared" si="0"/>
        <v>300</v>
      </c>
      <c r="D14">
        <f>[3]猎户刘伯钦!$D$14</f>
        <v>294</v>
      </c>
      <c r="E14">
        <f>[3]猎户刘伯钦!$E$14</f>
        <v>261</v>
      </c>
      <c r="F14">
        <f>ROUND([3]猎户刘伯钦!$F$14*1000,0)</f>
        <v>0</v>
      </c>
      <c r="G14">
        <f>ROUND([3]猎户刘伯钦!$H$14*100,0)</f>
        <v>100</v>
      </c>
      <c r="H14">
        <f>[3]猎户刘伯钦!$I$14</f>
        <v>162</v>
      </c>
      <c r="I14">
        <f>[3]猎户刘伯钦!$J$14</f>
        <v>88</v>
      </c>
      <c r="J14">
        <f>[3]猎户刘伯钦!$V$14</f>
        <v>1.5</v>
      </c>
      <c r="K14">
        <f>[3]猎户刘伯钦!$Y$14</f>
        <v>1.3800000000000003</v>
      </c>
      <c r="L14">
        <f>[3]猎户刘伯钦!$Z$14</f>
        <v>0</v>
      </c>
    </row>
    <row r="15" spans="1:12" x14ac:dyDescent="0.15">
      <c r="A15">
        <v>14</v>
      </c>
      <c r="B15">
        <f>[3]猎户刘伯钦!$C$15</f>
        <v>2400</v>
      </c>
      <c r="C15">
        <f t="shared" si="0"/>
        <v>350</v>
      </c>
      <c r="D15">
        <f>[3]猎户刘伯钦!$D$15</f>
        <v>457</v>
      </c>
      <c r="E15">
        <f>[3]猎户刘伯钦!$E$15</f>
        <v>301</v>
      </c>
      <c r="F15">
        <f>ROUND([3]猎户刘伯钦!$F$15*1000,0)</f>
        <v>0</v>
      </c>
      <c r="G15">
        <f>ROUND([3]猎户刘伯钦!$H$15*100,0)</f>
        <v>100</v>
      </c>
      <c r="H15">
        <f>[3]猎户刘伯钦!$I$15</f>
        <v>186</v>
      </c>
      <c r="I15">
        <f>[3]猎户刘伯钦!$J$15</f>
        <v>137</v>
      </c>
      <c r="J15">
        <f>[3]猎户刘伯钦!$V$15</f>
        <v>1.5</v>
      </c>
      <c r="K15">
        <f>[3]猎户刘伯钦!$Y$15</f>
        <v>1.4500000000000004</v>
      </c>
      <c r="L15">
        <f>[3]猎户刘伯钦!$Z$15</f>
        <v>0</v>
      </c>
    </row>
    <row r="16" spans="1:12" x14ac:dyDescent="0.15">
      <c r="A16">
        <v>15</v>
      </c>
      <c r="B16">
        <f>[3]猎户刘伯钦!$C$16</f>
        <v>2850</v>
      </c>
      <c r="C16">
        <f t="shared" si="0"/>
        <v>450</v>
      </c>
      <c r="D16">
        <f>[3]猎户刘伯钦!$D$16</f>
        <v>561</v>
      </c>
      <c r="E16">
        <f>[3]猎户刘伯钦!$E$16</f>
        <v>345</v>
      </c>
      <c r="F16">
        <f>ROUND([3]猎户刘伯钦!$F$16*1000,0)</f>
        <v>0</v>
      </c>
      <c r="G16">
        <f>ROUND([3]猎户刘伯钦!$H$16*100,0)</f>
        <v>100</v>
      </c>
      <c r="H16">
        <f>[3]猎户刘伯钦!$I$16</f>
        <v>213</v>
      </c>
      <c r="I16">
        <f>[3]猎户刘伯钦!$J$16</f>
        <v>168</v>
      </c>
      <c r="J16">
        <f>[3]猎户刘伯钦!$V$16</f>
        <v>1.5</v>
      </c>
      <c r="K16">
        <f>[3]猎户刘伯钦!$Y$16</f>
        <v>1.5400000000000005</v>
      </c>
      <c r="L16">
        <f>[3]猎户刘伯钦!$Z$16</f>
        <v>0</v>
      </c>
    </row>
    <row r="17" spans="1:12" x14ac:dyDescent="0.15">
      <c r="A17">
        <v>16</v>
      </c>
      <c r="B17">
        <f>[3]猎户刘伯钦!$C$17</f>
        <v>3350</v>
      </c>
      <c r="C17">
        <f t="shared" si="0"/>
        <v>500</v>
      </c>
      <c r="D17">
        <f>[3]猎户刘伯钦!$D$17</f>
        <v>826</v>
      </c>
      <c r="E17">
        <f>[3]猎户刘伯钦!$E$17</f>
        <v>394</v>
      </c>
      <c r="F17">
        <f>ROUND([3]猎户刘伯钦!$F$17*1000,0)</f>
        <v>0</v>
      </c>
      <c r="G17">
        <f>ROUND([3]猎户刘伯钦!$H$17*100,0)</f>
        <v>100</v>
      </c>
      <c r="H17">
        <f>[3]猎户刘伯钦!$I$17</f>
        <v>243</v>
      </c>
      <c r="I17">
        <f>[3]猎户刘伯钦!$J$17</f>
        <v>248</v>
      </c>
      <c r="J17">
        <f>[3]猎户刘伯钦!$V$17</f>
        <v>1.5</v>
      </c>
      <c r="K17">
        <f>[3]猎户刘伯钦!$Y$17</f>
        <v>1.6400000000000006</v>
      </c>
      <c r="L17">
        <f>[3]猎户刘伯钦!$Z$17</f>
        <v>0</v>
      </c>
    </row>
    <row r="18" spans="1:12" x14ac:dyDescent="0.15">
      <c r="A18">
        <v>17</v>
      </c>
      <c r="B18">
        <f>[3]猎户刘伯钦!$C$18</f>
        <v>3900</v>
      </c>
      <c r="C18">
        <f t="shared" si="0"/>
        <v>550</v>
      </c>
      <c r="D18">
        <f>[3]猎户刘伯钦!$D$18</f>
        <v>978</v>
      </c>
      <c r="E18">
        <f>[3]猎户刘伯钦!$E$18</f>
        <v>448</v>
      </c>
      <c r="F18">
        <f>ROUND([3]猎户刘伯钦!$F$18*1000,0)</f>
        <v>0</v>
      </c>
      <c r="G18">
        <f>ROUND([3]猎户刘伯钦!$H$18*100,0)</f>
        <v>100</v>
      </c>
      <c r="H18">
        <f>[3]猎户刘伯钦!$I$18</f>
        <v>276</v>
      </c>
      <c r="I18">
        <f>[3]猎户刘伯钦!$J$18</f>
        <v>293</v>
      </c>
      <c r="J18">
        <f>[3]猎户刘伯钦!$V$18</f>
        <v>1.5</v>
      </c>
      <c r="K18">
        <f>[3]猎户刘伯钦!$Y$18</f>
        <v>1.7500000000000007</v>
      </c>
      <c r="L18">
        <f>[3]猎户刘伯钦!$Z$18</f>
        <v>0</v>
      </c>
    </row>
    <row r="19" spans="1:12" x14ac:dyDescent="0.15">
      <c r="A19">
        <v>18</v>
      </c>
      <c r="B19">
        <f>[3]猎户刘伯钦!$C$19</f>
        <v>4550</v>
      </c>
      <c r="C19">
        <f t="shared" si="0"/>
        <v>650</v>
      </c>
      <c r="D19">
        <f>[3]猎户刘伯钦!$D$19</f>
        <v>1165</v>
      </c>
      <c r="E19">
        <f>[3]猎户刘伯钦!$E$19</f>
        <v>508</v>
      </c>
      <c r="F19">
        <f>ROUND([3]猎户刘伯钦!$F$19*1000,0)</f>
        <v>0</v>
      </c>
      <c r="G19">
        <f>ROUND([3]猎户刘伯钦!$H$19*100,0)</f>
        <v>100</v>
      </c>
      <c r="H19">
        <f>[3]猎户刘伯钦!$I$19</f>
        <v>313</v>
      </c>
      <c r="I19">
        <f>[3]猎户刘伯钦!$J$19</f>
        <v>350</v>
      </c>
      <c r="J19">
        <f>[3]猎户刘伯钦!$V$19</f>
        <v>1.5</v>
      </c>
      <c r="K19">
        <f>[3]猎户刘伯钦!$Y$19</f>
        <v>1.8800000000000008</v>
      </c>
      <c r="L19">
        <f>[3]猎户刘伯钦!$Z$19</f>
        <v>0</v>
      </c>
    </row>
    <row r="20" spans="1:12" x14ac:dyDescent="0.15">
      <c r="A20">
        <v>19</v>
      </c>
      <c r="B20">
        <f>[3]猎户刘伯钦!$C$20</f>
        <v>5500</v>
      </c>
      <c r="C20">
        <f t="shared" si="0"/>
        <v>950</v>
      </c>
      <c r="D20">
        <f>[3]猎户刘伯钦!$D$20</f>
        <v>1725</v>
      </c>
      <c r="E20">
        <f>[3]猎户刘伯钦!$E$20</f>
        <v>575</v>
      </c>
      <c r="F20">
        <f>ROUND([3]猎户刘伯钦!$F$20*1000,0)</f>
        <v>0</v>
      </c>
      <c r="G20">
        <f>ROUND([3]猎户刘伯钦!$H$20*100,0)</f>
        <v>100</v>
      </c>
      <c r="H20">
        <f>[3]猎户刘伯钦!$I$20</f>
        <v>354</v>
      </c>
      <c r="I20">
        <f>[3]猎户刘伯钦!$J$20</f>
        <v>518</v>
      </c>
      <c r="J20">
        <f>[3]猎户刘伯钦!$V$20</f>
        <v>1.5</v>
      </c>
      <c r="K20">
        <f>[3]猎户刘伯钦!$Y$20</f>
        <v>2.0699999999999994</v>
      </c>
      <c r="L20">
        <f>[3]猎户刘伯钦!$Z$20</f>
        <v>0</v>
      </c>
    </row>
    <row r="21" spans="1:12" x14ac:dyDescent="0.15">
      <c r="A21">
        <v>20</v>
      </c>
      <c r="B21">
        <f>[3]猎户刘伯钦!$C$21</f>
        <v>6600</v>
      </c>
      <c r="C21">
        <f t="shared" si="0"/>
        <v>1100</v>
      </c>
      <c r="D21">
        <f>[3]猎户刘伯钦!$D$21</f>
        <v>2107</v>
      </c>
      <c r="E21">
        <f>[3]猎户刘伯钦!$E$21</f>
        <v>680</v>
      </c>
      <c r="F21">
        <f>ROUND([3]猎户刘伯钦!$F$21*1000,0)</f>
        <v>0</v>
      </c>
      <c r="G21">
        <f>ROUND([3]猎户刘伯钦!$H$21*100,0)</f>
        <v>100</v>
      </c>
      <c r="H21">
        <f>[3]猎户刘伯钦!$I$21</f>
        <v>440</v>
      </c>
      <c r="I21">
        <f>[3]猎户刘伯钦!$J$21</f>
        <v>632</v>
      </c>
      <c r="J21">
        <f>[3]猎户刘伯钦!$V$21</f>
        <v>1.5</v>
      </c>
      <c r="K21">
        <f>[3]猎户刘伯钦!$Y$21</f>
        <v>2.5</v>
      </c>
      <c r="L21">
        <f>[3]猎户刘伯钦!$Z$21</f>
        <v>0</v>
      </c>
    </row>
    <row r="22" spans="1:12" x14ac:dyDescent="0.15">
      <c r="A22">
        <v>21</v>
      </c>
      <c r="B22">
        <f>[3]猎户刘伯钦!$C$22</f>
        <v>9450</v>
      </c>
      <c r="C22">
        <f t="shared" si="0"/>
        <v>2850</v>
      </c>
      <c r="D22">
        <f>[3]猎户刘伯钦!$D$22</f>
        <v>3035</v>
      </c>
      <c r="E22">
        <f>[3]猎户刘伯钦!$E$22</f>
        <v>764</v>
      </c>
      <c r="F22">
        <f>ROUND([3]猎户刘伯钦!$F$22*1000,0)</f>
        <v>0</v>
      </c>
      <c r="G22">
        <f>ROUND([3]猎户刘伯钦!$H$22*100,0)</f>
        <v>100</v>
      </c>
      <c r="H22">
        <f>[3]猎户刘伯钦!$I$22</f>
        <v>543</v>
      </c>
      <c r="I22">
        <f>[3]猎户刘伯钦!$J$22</f>
        <v>911</v>
      </c>
      <c r="J22">
        <f>[3]猎户刘伯钦!$V$22</f>
        <v>1</v>
      </c>
      <c r="K22">
        <f>[3]猎户刘伯钦!$Y$22</f>
        <v>2.8599999999999826</v>
      </c>
      <c r="L22">
        <f>[3]猎户刘伯钦!$Z$22</f>
        <v>335</v>
      </c>
    </row>
    <row r="23" spans="1:12" x14ac:dyDescent="0.15">
      <c r="A23">
        <v>22</v>
      </c>
      <c r="B23">
        <f>[3]猎户刘伯钦!$C$23</f>
        <v>12800</v>
      </c>
      <c r="C23">
        <f t="shared" si="0"/>
        <v>3350</v>
      </c>
      <c r="D23">
        <f>[3]猎户刘伯钦!$D$23</f>
        <v>4720</v>
      </c>
      <c r="E23">
        <f>[3]猎户刘伯钦!$E$23</f>
        <v>1032</v>
      </c>
      <c r="F23">
        <f>ROUND([3]猎户刘伯钦!$F$23*1000,0)</f>
        <v>0</v>
      </c>
      <c r="G23">
        <f>ROUND([3]猎户刘伯钦!$H$23*100,0)</f>
        <v>100</v>
      </c>
      <c r="H23">
        <f>[3]猎户刘伯钦!$I$23</f>
        <v>667</v>
      </c>
      <c r="I23">
        <f>[3]猎户刘伯钦!$J$23</f>
        <v>1416</v>
      </c>
      <c r="J23">
        <f>[3]猎户刘伯钦!$V$23</f>
        <v>1</v>
      </c>
      <c r="K23">
        <f>[3]猎户刘伯钦!$Y$23</f>
        <v>3.5299999999999683</v>
      </c>
      <c r="L23">
        <f>[3]猎户刘伯钦!$Z$23</f>
        <v>460</v>
      </c>
    </row>
    <row r="24" spans="1:12" x14ac:dyDescent="0.15">
      <c r="A24">
        <v>23</v>
      </c>
      <c r="B24">
        <f>[3]猎户刘伯钦!$C$24</f>
        <v>17400</v>
      </c>
      <c r="C24">
        <f t="shared" si="0"/>
        <v>4600</v>
      </c>
      <c r="D24">
        <f>[3]猎户刘伯钦!$D$24</f>
        <v>6533</v>
      </c>
      <c r="E24">
        <f>[3]猎户刘伯钦!$E$24</f>
        <v>1400</v>
      </c>
      <c r="F24">
        <f>ROUND([3]猎户刘伯钦!$F$24*1000,0)</f>
        <v>0</v>
      </c>
      <c r="G24">
        <f>ROUND([3]猎户刘伯钦!$H$24*100,0)</f>
        <v>100</v>
      </c>
      <c r="H24">
        <f>[3]猎户刘伯钦!$I$24</f>
        <v>816</v>
      </c>
      <c r="I24">
        <f>[3]猎户刘伯钦!$J$24</f>
        <v>1960</v>
      </c>
      <c r="J24">
        <f>[3]猎户刘伯钦!$V$24</f>
        <v>1</v>
      </c>
      <c r="K24">
        <f>[3]猎户刘伯钦!$Y$24</f>
        <v>4.4499999999999487</v>
      </c>
      <c r="L24">
        <f>[3]猎户刘伯钦!$Z$24</f>
        <v>585</v>
      </c>
    </row>
    <row r="25" spans="1:12" x14ac:dyDescent="0.15">
      <c r="A25">
        <v>24</v>
      </c>
      <c r="B25">
        <f>[3]猎户刘伯钦!$C$25</f>
        <v>23250</v>
      </c>
      <c r="C25">
        <f t="shared" si="0"/>
        <v>5850</v>
      </c>
      <c r="D25">
        <f>[3]猎户刘伯钦!$D$25</f>
        <v>8859</v>
      </c>
      <c r="E25">
        <f>[3]猎户刘伯钦!$E$25</f>
        <v>1868</v>
      </c>
      <c r="F25">
        <f>ROUND([3]猎户刘伯钦!$F$25*1000,0)</f>
        <v>0</v>
      </c>
      <c r="G25">
        <f>ROUND([3]猎户刘伯钦!$H$25*100,0)</f>
        <v>100</v>
      </c>
      <c r="H25">
        <f>[3]猎户刘伯钦!$I$25</f>
        <v>995</v>
      </c>
      <c r="I25">
        <f>[3]猎户刘伯钦!$J$25</f>
        <v>2658</v>
      </c>
      <c r="J25">
        <f>[3]猎户刘伯钦!$V$25</f>
        <v>1</v>
      </c>
      <c r="K25">
        <f>[3]猎户刘伯钦!$Y$25</f>
        <v>5.6199999999999237</v>
      </c>
      <c r="L25">
        <f>[3]猎户刘伯钦!$Z$25</f>
        <v>750</v>
      </c>
    </row>
    <row r="26" spans="1:12" x14ac:dyDescent="0.15">
      <c r="A26">
        <v>25</v>
      </c>
      <c r="B26">
        <f>[3]猎户刘伯钦!$C$26</f>
        <v>30750</v>
      </c>
      <c r="C26">
        <f t="shared" si="0"/>
        <v>7500</v>
      </c>
      <c r="D26">
        <f>[3]猎户刘伯钦!$D$26</f>
        <v>11875</v>
      </c>
      <c r="E26">
        <f>[3]猎户刘伯钦!$E$26</f>
        <v>2468</v>
      </c>
      <c r="F26">
        <f>ROUND([3]猎户刘伯钦!$F$26*1000,0)</f>
        <v>0</v>
      </c>
      <c r="G26">
        <f>ROUND([3]猎户刘伯钦!$H$26*100,0)</f>
        <v>100</v>
      </c>
      <c r="H26">
        <f>[3]猎户刘伯钦!$I$26</f>
        <v>1210</v>
      </c>
      <c r="I26">
        <f>[3]猎户刘伯钦!$J$26</f>
        <v>3563</v>
      </c>
      <c r="J26">
        <f>[3]猎户刘伯钦!$V$26</f>
        <v>1</v>
      </c>
      <c r="K26">
        <f>[3]猎户刘伯钦!$Y$26</f>
        <v>7.1199999999998917</v>
      </c>
      <c r="L26">
        <f>[3]猎户刘伯钦!$Z$26</f>
        <v>1000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[3]悟空六意!$C$2</f>
        <v>50</v>
      </c>
      <c r="C2">
        <f>B2-0</f>
        <v>50</v>
      </c>
      <c r="D2">
        <f>[3]悟空六意!$D$2</f>
        <v>27</v>
      </c>
      <c r="E2">
        <f>[3]悟空六意!$E$2</f>
        <v>10</v>
      </c>
      <c r="F2">
        <f>ROUND([3]悟空六意!$F$2 *1000,0)</f>
        <v>0</v>
      </c>
      <c r="G2">
        <f>ROUND([3]悟空六意!$H$2 *100,0)</f>
        <v>100</v>
      </c>
      <c r="H2">
        <f>[3]悟空六意!$I$2</f>
        <v>9</v>
      </c>
      <c r="I2">
        <f>[3]悟空六意!$J$2</f>
        <v>8</v>
      </c>
      <c r="J2">
        <f>[3]悟空六意!$V$2</f>
        <v>1</v>
      </c>
      <c r="K2">
        <f>[3]悟空六意!$Y$2</f>
        <v>1</v>
      </c>
      <c r="L2">
        <f>[3]悟空六意!$Z$2</f>
        <v>0</v>
      </c>
    </row>
    <row r="3" spans="1:12" x14ac:dyDescent="0.15">
      <c r="A3">
        <v>2</v>
      </c>
      <c r="B3">
        <f>[3]悟空六意!$C$3</f>
        <v>100</v>
      </c>
      <c r="C3">
        <f>B3-B2</f>
        <v>50</v>
      </c>
      <c r="D3">
        <f>[3]悟空六意!$D$3</f>
        <v>27</v>
      </c>
      <c r="E3">
        <f>[3]悟空六意!$E$3</f>
        <v>19</v>
      </c>
      <c r="F3">
        <f>ROUND([3]悟空六意!$F$3 *1000,0)</f>
        <v>0</v>
      </c>
      <c r="G3">
        <f>ROUND([3]悟空六意!$H$3 *100,0)</f>
        <v>100</v>
      </c>
      <c r="H3">
        <f>[3]悟空六意!$I$3</f>
        <v>13</v>
      </c>
      <c r="I3">
        <f>[3]悟空六意!$J$3</f>
        <v>8</v>
      </c>
      <c r="J3">
        <f>[3]悟空六意!$V$3</f>
        <v>1</v>
      </c>
      <c r="K3">
        <f>[3]悟空六意!$Y$3</f>
        <v>1</v>
      </c>
      <c r="L3">
        <f>[3]悟空六意!$Z$3</f>
        <v>0</v>
      </c>
    </row>
    <row r="4" spans="1:12" x14ac:dyDescent="0.15">
      <c r="A4">
        <v>3</v>
      </c>
      <c r="B4">
        <f>[3]悟空六意!$C$4</f>
        <v>150</v>
      </c>
      <c r="C4">
        <f t="shared" ref="C4:C26" si="0">B4-B3</f>
        <v>50</v>
      </c>
      <c r="D4">
        <f>[3]悟空六意!$D$4</f>
        <v>28</v>
      </c>
      <c r="E4">
        <f>[3]悟空六意!$E$4</f>
        <v>29</v>
      </c>
      <c r="F4">
        <f>ROUND([3]悟空六意!$F$4 *1000,0)</f>
        <v>3</v>
      </c>
      <c r="G4">
        <f>ROUND([3]悟空六意!$H$4 *100,0)</f>
        <v>100</v>
      </c>
      <c r="H4">
        <f>[3]悟空六意!$I$4</f>
        <v>15</v>
      </c>
      <c r="I4">
        <f>[3]悟空六意!$J$4</f>
        <v>8</v>
      </c>
      <c r="J4">
        <f>[3]悟空六意!$V$4</f>
        <v>1</v>
      </c>
      <c r="K4">
        <f>[3]悟空六意!$Y$4</f>
        <v>1</v>
      </c>
      <c r="L4">
        <f>[3]悟空六意!$Z$4</f>
        <v>0</v>
      </c>
    </row>
    <row r="5" spans="1:12" x14ac:dyDescent="0.15">
      <c r="A5">
        <v>4</v>
      </c>
      <c r="B5">
        <f>[3]悟空六意!$C$5</f>
        <v>250</v>
      </c>
      <c r="C5">
        <f t="shared" si="0"/>
        <v>100</v>
      </c>
      <c r="D5">
        <f>[3]悟空六意!$D$5</f>
        <v>32</v>
      </c>
      <c r="E5">
        <f>[3]悟空六意!$E$5</f>
        <v>45</v>
      </c>
      <c r="F5">
        <f>ROUND([3]悟空六意!$F$5 *1000,0)</f>
        <v>3</v>
      </c>
      <c r="G5">
        <f>ROUND([3]悟空六意!$H$5 *100,0)</f>
        <v>100</v>
      </c>
      <c r="H5">
        <f>[3]悟空六意!$I$5</f>
        <v>22</v>
      </c>
      <c r="I5">
        <f>[3]悟空六意!$J$5</f>
        <v>10</v>
      </c>
      <c r="J5">
        <f>[3]悟空六意!$V$5</f>
        <v>1</v>
      </c>
      <c r="K5">
        <f>[3]悟空六意!$Y$5</f>
        <v>1.02</v>
      </c>
      <c r="L5">
        <f>[3]悟空六意!$Z$5</f>
        <v>0</v>
      </c>
    </row>
    <row r="6" spans="1:12" x14ac:dyDescent="0.15">
      <c r="A6">
        <v>5</v>
      </c>
      <c r="B6">
        <f>[3]悟空六意!$C$6</f>
        <v>350</v>
      </c>
      <c r="C6">
        <f t="shared" si="0"/>
        <v>100</v>
      </c>
      <c r="D6">
        <f>[3]悟空六意!$D$6</f>
        <v>34</v>
      </c>
      <c r="E6">
        <f>[3]悟空六意!$E$6</f>
        <v>64</v>
      </c>
      <c r="F6">
        <f>ROUND([3]悟空六意!$F$6 *1000,0)</f>
        <v>5</v>
      </c>
      <c r="G6">
        <f>ROUND([3]悟空六意!$H$6 *100,0)</f>
        <v>100</v>
      </c>
      <c r="H6">
        <f>[3]悟空六意!$I$6</f>
        <v>28</v>
      </c>
      <c r="I6">
        <f>[3]悟空六意!$J$6</f>
        <v>10</v>
      </c>
      <c r="J6">
        <f>[3]悟空六意!$V$6</f>
        <v>1</v>
      </c>
      <c r="K6">
        <f>[3]悟空六意!$Y$6</f>
        <v>1.04</v>
      </c>
      <c r="L6">
        <f>[3]悟空六意!$Z$6</f>
        <v>0</v>
      </c>
    </row>
    <row r="7" spans="1:12" x14ac:dyDescent="0.15">
      <c r="A7">
        <v>6</v>
      </c>
      <c r="B7">
        <f>[3]悟空六意!$C$7</f>
        <v>500</v>
      </c>
      <c r="C7">
        <f t="shared" si="0"/>
        <v>150</v>
      </c>
      <c r="D7">
        <f>[3]悟空六意!$D$7</f>
        <v>54</v>
      </c>
      <c r="E7">
        <f>[3]悟空六意!$E$7</f>
        <v>80</v>
      </c>
      <c r="F7">
        <f>ROUND([3]悟空六意!$F$7 *1000,0)</f>
        <v>10</v>
      </c>
      <c r="G7">
        <f>ROUND([3]悟空六意!$H$7 *100,0)</f>
        <v>100</v>
      </c>
      <c r="H7">
        <f>[3]悟空六意!$I$7</f>
        <v>35</v>
      </c>
      <c r="I7">
        <f>[3]悟空六意!$J$7</f>
        <v>16</v>
      </c>
      <c r="J7">
        <f>[3]悟空六意!$V$7</f>
        <v>1</v>
      </c>
      <c r="K7">
        <f>[3]悟空六意!$Y$7</f>
        <v>1.07</v>
      </c>
      <c r="L7">
        <f>[3]悟空六意!$Z$7</f>
        <v>0</v>
      </c>
    </row>
    <row r="8" spans="1:12" x14ac:dyDescent="0.15">
      <c r="A8">
        <v>7</v>
      </c>
      <c r="B8">
        <f>[3]悟空六意!$C$8</f>
        <v>650</v>
      </c>
      <c r="C8">
        <f t="shared" si="0"/>
        <v>150</v>
      </c>
      <c r="D8">
        <f>[3]悟空六意!$D$8</f>
        <v>68</v>
      </c>
      <c r="E8">
        <f>[3]悟空六意!$E$8</f>
        <v>100</v>
      </c>
      <c r="F8">
        <f>ROUND([3]悟空六意!$F$8 *1000,0)</f>
        <v>15</v>
      </c>
      <c r="G8">
        <f>ROUND([3]悟空六意!$H$8 *100,0)</f>
        <v>100</v>
      </c>
      <c r="H8">
        <f>[3]悟空六意!$I$8</f>
        <v>43</v>
      </c>
      <c r="I8">
        <f>[3]悟空六意!$J$8</f>
        <v>20</v>
      </c>
      <c r="J8">
        <f>[3]悟空六意!$V$8</f>
        <v>1</v>
      </c>
      <c r="K8">
        <f>[3]悟空六意!$Y$8</f>
        <v>1.1000000000000001</v>
      </c>
      <c r="L8">
        <f>[3]悟空六意!$Z$8</f>
        <v>0</v>
      </c>
    </row>
    <row r="9" spans="1:12" x14ac:dyDescent="0.15">
      <c r="A9">
        <v>8</v>
      </c>
      <c r="B9">
        <f>[3]悟空六意!$C$9</f>
        <v>850</v>
      </c>
      <c r="C9">
        <f t="shared" si="0"/>
        <v>200</v>
      </c>
      <c r="D9">
        <f>[3]悟空六意!$D$9</f>
        <v>131</v>
      </c>
      <c r="E9">
        <f>[3]悟空六意!$E$9</f>
        <v>128</v>
      </c>
      <c r="F9">
        <f>ROUND([3]悟空六意!$F$9 *1000,0)</f>
        <v>25</v>
      </c>
      <c r="G9">
        <f>ROUND([3]悟空六意!$H$9 *100,0)</f>
        <v>100</v>
      </c>
      <c r="H9">
        <f>[3]悟空六意!$I$9</f>
        <v>52</v>
      </c>
      <c r="I9">
        <f>[3]悟空六意!$J$9</f>
        <v>39</v>
      </c>
      <c r="J9">
        <f>[3]悟空六意!$V$9</f>
        <v>1</v>
      </c>
      <c r="K9">
        <f>[3]悟空六意!$Y$9</f>
        <v>1.1400000000000001</v>
      </c>
      <c r="L9">
        <f>[3]悟空六意!$Z$9</f>
        <v>0</v>
      </c>
    </row>
    <row r="10" spans="1:12" x14ac:dyDescent="0.15">
      <c r="A10">
        <v>9</v>
      </c>
      <c r="B10">
        <f>[3]悟空六意!$C$10</f>
        <v>1050</v>
      </c>
      <c r="C10">
        <f t="shared" si="0"/>
        <v>200</v>
      </c>
      <c r="D10">
        <f>[3]悟空六意!$D$10</f>
        <v>153</v>
      </c>
      <c r="E10">
        <f>[3]悟空六意!$E$10</f>
        <v>160</v>
      </c>
      <c r="F10">
        <f>ROUND([3]悟空六意!$F$10*1000,0)</f>
        <v>29</v>
      </c>
      <c r="G10">
        <f>ROUND([3]悟空六意!$H$10*100,0)</f>
        <v>100</v>
      </c>
      <c r="H10">
        <f>[3]悟空六意!$I$10</f>
        <v>62</v>
      </c>
      <c r="I10">
        <f>[3]悟空六意!$J$10</f>
        <v>46</v>
      </c>
      <c r="J10">
        <f>[3]悟空六意!$V$10</f>
        <v>1</v>
      </c>
      <c r="K10">
        <f>[3]悟空六意!$Y$10</f>
        <v>1.1800000000000002</v>
      </c>
      <c r="L10">
        <f>[3]悟空六意!$Z$10</f>
        <v>0</v>
      </c>
    </row>
    <row r="11" spans="1:12" x14ac:dyDescent="0.15">
      <c r="A11">
        <v>10</v>
      </c>
      <c r="B11">
        <f>[3]悟空六意!$C$11</f>
        <v>1250</v>
      </c>
      <c r="C11">
        <f t="shared" si="0"/>
        <v>200</v>
      </c>
      <c r="D11">
        <f>[3]悟空六意!$D$11</f>
        <v>164</v>
      </c>
      <c r="E11">
        <f>[3]悟空六意!$E$11</f>
        <v>197</v>
      </c>
      <c r="F11">
        <f>ROUND([3]悟空六意!$F$11*1000,0)</f>
        <v>37</v>
      </c>
      <c r="G11">
        <f>ROUND([3]悟空六意!$H$11*100,0)</f>
        <v>100</v>
      </c>
      <c r="H11">
        <f>[3]悟空六意!$I$11</f>
        <v>73</v>
      </c>
      <c r="I11">
        <f>[3]悟空六意!$J$11</f>
        <v>49</v>
      </c>
      <c r="J11">
        <f>[3]悟空六意!$V$11</f>
        <v>1</v>
      </c>
      <c r="K11">
        <f>[3]悟空六意!$Y$11</f>
        <v>1.2200000000000002</v>
      </c>
      <c r="L11">
        <f>[3]悟空六意!$Z$11</f>
        <v>0</v>
      </c>
    </row>
    <row r="12" spans="1:12" x14ac:dyDescent="0.15">
      <c r="A12">
        <v>11</v>
      </c>
      <c r="B12">
        <f>[3]悟空六意!$C$12</f>
        <v>1500</v>
      </c>
      <c r="C12">
        <f t="shared" si="0"/>
        <v>250</v>
      </c>
      <c r="D12">
        <f>[3]悟空六意!$D$12</f>
        <v>273</v>
      </c>
      <c r="E12">
        <f>[3]悟空六意!$E$12</f>
        <v>231</v>
      </c>
      <c r="F12">
        <f>ROUND([3]悟空六意!$F$12*1000,0)</f>
        <v>46</v>
      </c>
      <c r="G12">
        <f>ROUND([3]悟空六意!$H$12*100,0)</f>
        <v>100</v>
      </c>
      <c r="H12">
        <f>[3]悟空六意!$I$12</f>
        <v>85</v>
      </c>
      <c r="I12">
        <f>[3]悟空六意!$J$12</f>
        <v>82</v>
      </c>
      <c r="J12">
        <f>[3]悟空六意!$V$12</f>
        <v>1</v>
      </c>
      <c r="K12">
        <f>[3]悟空六意!$Y$12</f>
        <v>1.2700000000000002</v>
      </c>
      <c r="L12">
        <f>[3]悟空六意!$Z$12</f>
        <v>0</v>
      </c>
    </row>
    <row r="13" spans="1:12" x14ac:dyDescent="0.15">
      <c r="A13">
        <v>12</v>
      </c>
      <c r="B13">
        <f>[3]悟空六意!$C$13</f>
        <v>1750</v>
      </c>
      <c r="C13">
        <f t="shared" si="0"/>
        <v>250</v>
      </c>
      <c r="D13">
        <f>[3]悟空六意!$D$13</f>
        <v>311</v>
      </c>
      <c r="E13">
        <f>[3]悟空六意!$E$13</f>
        <v>269</v>
      </c>
      <c r="F13">
        <f>ROUND([3]悟空六意!$F$13*1000,0)</f>
        <v>55</v>
      </c>
      <c r="G13">
        <f>ROUND([3]悟空六意!$H$13*100,0)</f>
        <v>100</v>
      </c>
      <c r="H13">
        <f>[3]悟空六意!$I$13</f>
        <v>98</v>
      </c>
      <c r="I13">
        <f>[3]悟空六意!$J$13</f>
        <v>93</v>
      </c>
      <c r="J13">
        <f>[3]悟空六意!$V$13</f>
        <v>1</v>
      </c>
      <c r="K13">
        <f>[3]悟空六意!$Y$13</f>
        <v>1.3200000000000003</v>
      </c>
      <c r="L13">
        <f>[3]悟空六意!$Z$13</f>
        <v>0</v>
      </c>
    </row>
    <row r="14" spans="1:12" x14ac:dyDescent="0.15">
      <c r="A14">
        <v>13</v>
      </c>
      <c r="B14">
        <f>[3]悟空六意!$C$14</f>
        <v>2050</v>
      </c>
      <c r="C14">
        <f t="shared" si="0"/>
        <v>300</v>
      </c>
      <c r="D14">
        <f>[3]悟空六意!$D$14</f>
        <v>361</v>
      </c>
      <c r="E14">
        <f>[3]悟空六意!$E$14</f>
        <v>311</v>
      </c>
      <c r="F14">
        <f>ROUND([3]悟空六意!$F$14*1000,0)</f>
        <v>65</v>
      </c>
      <c r="G14">
        <f>ROUND([3]悟空六意!$H$14*100,0)</f>
        <v>100</v>
      </c>
      <c r="H14">
        <f>[3]悟空六意!$I$14</f>
        <v>113</v>
      </c>
      <c r="I14">
        <f>[3]悟空六意!$J$14</f>
        <v>108</v>
      </c>
      <c r="J14">
        <f>[3]悟空六意!$V$14</f>
        <v>1</v>
      </c>
      <c r="K14">
        <f>[3]悟空六意!$Y$14</f>
        <v>1.3800000000000003</v>
      </c>
      <c r="L14">
        <f>[3]悟空六意!$Z$14</f>
        <v>0</v>
      </c>
    </row>
    <row r="15" spans="1:12" x14ac:dyDescent="0.15">
      <c r="A15">
        <v>14</v>
      </c>
      <c r="B15">
        <f>[3]悟空六意!$C$15</f>
        <v>2400</v>
      </c>
      <c r="C15">
        <f t="shared" si="0"/>
        <v>350</v>
      </c>
      <c r="D15">
        <f>[3]悟空六意!$D$15</f>
        <v>542</v>
      </c>
      <c r="E15">
        <f>[3]悟空六意!$E$15</f>
        <v>358</v>
      </c>
      <c r="F15">
        <f>ROUND([3]悟空六意!$F$15*1000,0)</f>
        <v>76</v>
      </c>
      <c r="G15">
        <f>ROUND([3]悟空六意!$H$15*100,0)</f>
        <v>100</v>
      </c>
      <c r="H15">
        <f>[3]悟空六意!$I$15</f>
        <v>130</v>
      </c>
      <c r="I15">
        <f>[3]悟空六意!$J$15</f>
        <v>163</v>
      </c>
      <c r="J15">
        <f>[3]悟空六意!$V$15</f>
        <v>1</v>
      </c>
      <c r="K15">
        <f>[3]悟空六意!$Y$15</f>
        <v>1.4500000000000004</v>
      </c>
      <c r="L15">
        <f>[3]悟空六意!$Z$15</f>
        <v>0</v>
      </c>
    </row>
    <row r="16" spans="1:12" x14ac:dyDescent="0.15">
      <c r="A16">
        <v>15</v>
      </c>
      <c r="B16">
        <f>[3]悟空六意!$C$16</f>
        <v>2850</v>
      </c>
      <c r="C16">
        <f t="shared" si="0"/>
        <v>450</v>
      </c>
      <c r="D16">
        <f>[3]悟空六意!$D$16</f>
        <v>656</v>
      </c>
      <c r="E16">
        <f>[3]悟空六意!$E$16</f>
        <v>410</v>
      </c>
      <c r="F16">
        <f>ROUND([3]悟空六意!$F$16*1000,0)</f>
        <v>89</v>
      </c>
      <c r="G16">
        <f>ROUND([3]悟空六意!$H$16*100,0)</f>
        <v>100</v>
      </c>
      <c r="H16">
        <f>[3]悟空六意!$I$16</f>
        <v>149</v>
      </c>
      <c r="I16">
        <f>[3]悟空六意!$J$16</f>
        <v>197</v>
      </c>
      <c r="J16">
        <f>[3]悟空六意!$V$16</f>
        <v>1</v>
      </c>
      <c r="K16">
        <f>[3]悟空六意!$Y$16</f>
        <v>1.5400000000000005</v>
      </c>
      <c r="L16">
        <f>[3]悟空六意!$Z$16</f>
        <v>0</v>
      </c>
    </row>
    <row r="17" spans="1:12" x14ac:dyDescent="0.15">
      <c r="A17">
        <v>16</v>
      </c>
      <c r="B17">
        <f>[3]悟空六意!$C$17</f>
        <v>3350</v>
      </c>
      <c r="C17">
        <f t="shared" si="0"/>
        <v>500</v>
      </c>
      <c r="D17">
        <f>[3]悟空六意!$D$17</f>
        <v>949</v>
      </c>
      <c r="E17">
        <f>[3]悟空六意!$E$17</f>
        <v>468</v>
      </c>
      <c r="F17">
        <f>ROUND([3]悟空六意!$F$17*1000,0)</f>
        <v>100</v>
      </c>
      <c r="G17">
        <f>ROUND([3]悟空六意!$H$17*100,0)</f>
        <v>100</v>
      </c>
      <c r="H17">
        <f>[3]悟空六意!$I$17</f>
        <v>170</v>
      </c>
      <c r="I17">
        <f>[3]悟空六意!$J$17</f>
        <v>285</v>
      </c>
      <c r="J17">
        <f>[3]悟空六意!$V$17</f>
        <v>1</v>
      </c>
      <c r="K17">
        <f>[3]悟空六意!$Y$17</f>
        <v>1.6400000000000006</v>
      </c>
      <c r="L17">
        <f>[3]悟空六意!$Z$17</f>
        <v>0</v>
      </c>
    </row>
    <row r="18" spans="1:12" x14ac:dyDescent="0.15">
      <c r="A18">
        <v>17</v>
      </c>
      <c r="B18">
        <f>[3]悟空六意!$C$18</f>
        <v>3900</v>
      </c>
      <c r="C18">
        <f t="shared" si="0"/>
        <v>550</v>
      </c>
      <c r="D18">
        <f>[3]悟空六意!$D$18</f>
        <v>1114</v>
      </c>
      <c r="E18">
        <f>[3]悟空六意!$E$18</f>
        <v>532</v>
      </c>
      <c r="F18">
        <f>ROUND([3]悟空六意!$F$18*1000,0)</f>
        <v>111</v>
      </c>
      <c r="G18">
        <f>ROUND([3]悟空六意!$H$18*100,0)</f>
        <v>100</v>
      </c>
      <c r="H18">
        <f>[3]悟空六意!$I$18</f>
        <v>193</v>
      </c>
      <c r="I18">
        <f>[3]悟空六意!$J$18</f>
        <v>334</v>
      </c>
      <c r="J18">
        <f>[3]悟空六意!$V$18</f>
        <v>1</v>
      </c>
      <c r="K18">
        <f>[3]悟空六意!$Y$18</f>
        <v>1.7500000000000007</v>
      </c>
      <c r="L18">
        <f>[3]悟空六意!$Z$18</f>
        <v>0</v>
      </c>
    </row>
    <row r="19" spans="1:12" x14ac:dyDescent="0.15">
      <c r="A19">
        <v>18</v>
      </c>
      <c r="B19">
        <f>[3]悟空六意!$C$19</f>
        <v>4550</v>
      </c>
      <c r="C19">
        <f t="shared" si="0"/>
        <v>650</v>
      </c>
      <c r="D19">
        <f>[3]悟空六意!$D$19</f>
        <v>1314</v>
      </c>
      <c r="E19">
        <f>[3]悟空六意!$E$19</f>
        <v>603</v>
      </c>
      <c r="F19">
        <f>ROUND([3]悟空六意!$F$19*1000,0)</f>
        <v>125</v>
      </c>
      <c r="G19">
        <f>ROUND([3]悟空六意!$H$19*100,0)</f>
        <v>100</v>
      </c>
      <c r="H19">
        <f>[3]悟空六意!$I$19</f>
        <v>219</v>
      </c>
      <c r="I19">
        <f>[3]悟空六意!$J$19</f>
        <v>394</v>
      </c>
      <c r="J19">
        <f>[3]悟空六意!$V$19</f>
        <v>1</v>
      </c>
      <c r="K19">
        <f>[3]悟空六意!$Y$19</f>
        <v>1.8800000000000008</v>
      </c>
      <c r="L19">
        <f>[3]悟空六意!$Z$19</f>
        <v>0</v>
      </c>
    </row>
    <row r="20" spans="1:12" x14ac:dyDescent="0.15">
      <c r="A20">
        <v>19</v>
      </c>
      <c r="B20">
        <f>[3]悟空六意!$C$20</f>
        <v>5500</v>
      </c>
      <c r="C20">
        <f t="shared" si="0"/>
        <v>950</v>
      </c>
      <c r="D20">
        <f>[3]悟空六意!$D$20</f>
        <v>1935</v>
      </c>
      <c r="E20">
        <f>[3]悟空六意!$E$20</f>
        <v>682</v>
      </c>
      <c r="F20">
        <f>ROUND([3]悟空六意!$F$20*1000,0)</f>
        <v>130</v>
      </c>
      <c r="G20">
        <f>ROUND([3]悟空六意!$H$20*100,0)</f>
        <v>100</v>
      </c>
      <c r="H20">
        <f>[3]悟空六意!$I$20</f>
        <v>248</v>
      </c>
      <c r="I20">
        <f>[3]悟空六意!$J$20</f>
        <v>581</v>
      </c>
      <c r="J20">
        <f>[3]悟空六意!$V$20</f>
        <v>1</v>
      </c>
      <c r="K20">
        <f>[3]悟空六意!$Y$20</f>
        <v>2.0699999999999994</v>
      </c>
      <c r="L20">
        <f>[3]悟空六意!$Z$20</f>
        <v>0</v>
      </c>
    </row>
    <row r="21" spans="1:12" x14ac:dyDescent="0.15">
      <c r="A21">
        <v>20</v>
      </c>
      <c r="B21">
        <f>[3]悟空六意!$C$21</f>
        <v>6600</v>
      </c>
      <c r="C21">
        <f t="shared" si="0"/>
        <v>1100</v>
      </c>
      <c r="D21">
        <f>[3]悟空六意!$D$21</f>
        <v>2572</v>
      </c>
      <c r="E21">
        <f>[3]悟空六意!$E$21</f>
        <v>820</v>
      </c>
      <c r="F21">
        <f>ROUND([3]悟空六意!$F$21*1000,0)</f>
        <v>180</v>
      </c>
      <c r="G21">
        <f>ROUND([3]悟空六意!$H$21*100,0)</f>
        <v>100</v>
      </c>
      <c r="H21">
        <f>[3]悟空六意!$I$21</f>
        <v>280</v>
      </c>
      <c r="I21">
        <f>[3]悟空六意!$J$21</f>
        <v>772</v>
      </c>
      <c r="J21">
        <f>[3]悟空六意!$V$21</f>
        <v>1</v>
      </c>
      <c r="K21">
        <f>[3]悟空六意!$Y$21</f>
        <v>2.3899999999999926</v>
      </c>
      <c r="L21">
        <f>[3]悟空六意!$Z$21</f>
        <v>0</v>
      </c>
    </row>
    <row r="22" spans="1:12" x14ac:dyDescent="0.15">
      <c r="A22">
        <v>21</v>
      </c>
      <c r="B22">
        <f>[3]悟空六意!$C$22</f>
        <v>9450</v>
      </c>
      <c r="C22">
        <f t="shared" si="0"/>
        <v>2850</v>
      </c>
      <c r="D22">
        <f>[3]悟空六意!$D$22</f>
        <v>3600</v>
      </c>
      <c r="E22">
        <f>[3]悟空六意!$E$22</f>
        <v>1006</v>
      </c>
      <c r="F22">
        <f>ROUND([3]悟空六意!$F$22*1000,0)</f>
        <v>180</v>
      </c>
      <c r="G22">
        <f>ROUND([3]悟空六意!$H$22*100,0)</f>
        <v>100</v>
      </c>
      <c r="H22">
        <f>[3]悟空六意!$I$22</f>
        <v>328</v>
      </c>
      <c r="I22">
        <f>[3]悟空六意!$J$22</f>
        <v>1080</v>
      </c>
      <c r="J22">
        <f>[3]悟空六意!$V$22</f>
        <v>1</v>
      </c>
      <c r="K22">
        <f>[3]悟空六意!$Y$22</f>
        <v>2.8599999999999826</v>
      </c>
      <c r="L22">
        <f>[3]悟空六意!$Z$22</f>
        <v>335</v>
      </c>
    </row>
    <row r="23" spans="1:12" x14ac:dyDescent="0.15">
      <c r="A23">
        <v>22</v>
      </c>
      <c r="B23">
        <f>[3]悟空六意!$C$23</f>
        <v>12800</v>
      </c>
      <c r="C23">
        <f t="shared" si="0"/>
        <v>3350</v>
      </c>
      <c r="D23">
        <f>[3]悟空六意!$D$23</f>
        <v>5707</v>
      </c>
      <c r="E23">
        <f>[3]悟空六意!$E$23</f>
        <v>1257</v>
      </c>
      <c r="F23">
        <f>ROUND([3]悟空六意!$F$23*1000,0)</f>
        <v>180</v>
      </c>
      <c r="G23">
        <f>ROUND([3]悟空六意!$H$23*100,0)</f>
        <v>100</v>
      </c>
      <c r="H23">
        <f>[3]悟空六意!$I$23</f>
        <v>400</v>
      </c>
      <c r="I23">
        <f>[3]悟空六意!$J$23</f>
        <v>1712</v>
      </c>
      <c r="J23">
        <f>[3]悟空六意!$V$23</f>
        <v>1</v>
      </c>
      <c r="K23">
        <f>[3]悟空六意!$Y$23</f>
        <v>3.5299999999999683</v>
      </c>
      <c r="L23">
        <f>[3]悟空六意!$Z$23</f>
        <v>460</v>
      </c>
    </row>
    <row r="24" spans="1:12" x14ac:dyDescent="0.15">
      <c r="A24">
        <v>23</v>
      </c>
      <c r="B24">
        <f>[3]悟空六意!$C$24</f>
        <v>17400</v>
      </c>
      <c r="C24">
        <f t="shared" si="0"/>
        <v>4600</v>
      </c>
      <c r="D24">
        <f>[3]悟空六意!$D$24</f>
        <v>7929</v>
      </c>
      <c r="E24">
        <f>[3]悟空六意!$E$24</f>
        <v>1596</v>
      </c>
      <c r="F24">
        <f>ROUND([3]悟空六意!$F$24*1000,0)</f>
        <v>200</v>
      </c>
      <c r="G24">
        <f>ROUND([3]悟空六意!$H$24*100,0)</f>
        <v>100</v>
      </c>
      <c r="H24">
        <f>[3]悟空六意!$I$24</f>
        <v>508</v>
      </c>
      <c r="I24">
        <f>[3]悟空六意!$J$24</f>
        <v>2379</v>
      </c>
      <c r="J24">
        <f>[3]悟空六意!$V$24</f>
        <v>1</v>
      </c>
      <c r="K24">
        <f>[3]悟空六意!$Y$24</f>
        <v>4.4499999999999487</v>
      </c>
      <c r="L24">
        <f>[3]悟空六意!$Z$24</f>
        <v>585</v>
      </c>
    </row>
    <row r="25" spans="1:12" x14ac:dyDescent="0.15">
      <c r="A25">
        <v>24</v>
      </c>
      <c r="B25">
        <f>[3]悟空六意!$C$25</f>
        <v>23250</v>
      </c>
      <c r="C25">
        <f t="shared" si="0"/>
        <v>5850</v>
      </c>
      <c r="D25">
        <f>[3]悟空六意!$D$25</f>
        <v>10732</v>
      </c>
      <c r="E25">
        <f>[3]悟空六意!$E$25</f>
        <v>2054</v>
      </c>
      <c r="F25">
        <f>ROUND([3]悟空六意!$F$25*1000,0)</f>
        <v>200</v>
      </c>
      <c r="G25">
        <f>ROUND([3]悟空六意!$H$25*100,0)</f>
        <v>100</v>
      </c>
      <c r="H25">
        <f>[3]悟空六意!$I$25</f>
        <v>670</v>
      </c>
      <c r="I25">
        <f>[3]悟空六意!$J$25</f>
        <v>3220</v>
      </c>
      <c r="J25">
        <f>[3]悟空六意!$V$25</f>
        <v>1</v>
      </c>
      <c r="K25">
        <f>[3]悟空六意!$Y$25</f>
        <v>5.6199999999999237</v>
      </c>
      <c r="L25">
        <f>[3]悟空六意!$Z$25</f>
        <v>750</v>
      </c>
    </row>
    <row r="26" spans="1:12" x14ac:dyDescent="0.15">
      <c r="A26">
        <v>25</v>
      </c>
      <c r="B26">
        <f>[3]悟空六意!$C$26</f>
        <v>30750</v>
      </c>
      <c r="C26">
        <f t="shared" si="0"/>
        <v>7500</v>
      </c>
      <c r="D26">
        <f>[3]悟空六意!$D$26</f>
        <v>14246</v>
      </c>
      <c r="E26">
        <f>[3]悟空六意!$E$26</f>
        <v>2672</v>
      </c>
      <c r="F26">
        <f>ROUND([3]悟空六意!$F$26*1000,0)</f>
        <v>200</v>
      </c>
      <c r="G26">
        <f>ROUND([3]悟空六意!$H$26*100,0)</f>
        <v>100</v>
      </c>
      <c r="H26">
        <f>[3]悟空六意!$I$26</f>
        <v>913</v>
      </c>
      <c r="I26">
        <f>[3]悟空六意!$J$26</f>
        <v>4274</v>
      </c>
      <c r="J26">
        <f>[3]悟空六意!$V$26</f>
        <v>1</v>
      </c>
      <c r="K26">
        <f>[3]悟空六意!$Y$26</f>
        <v>7.1199999999998917</v>
      </c>
      <c r="L26">
        <f>[3]悟空六意!$Z$26</f>
        <v>1000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-0.499984740745262"/>
  </sheetPr>
  <dimension ref="A1:L26"/>
  <sheetViews>
    <sheetView topLeftCell="A19" workbookViewId="0">
      <selection activeCell="J19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[3]龟丞相!$C$2</f>
        <v>50</v>
      </c>
      <c r="C2">
        <f>B2-0</f>
        <v>50</v>
      </c>
      <c r="D2">
        <f>[3]龟丞相!$D$2</f>
        <v>25</v>
      </c>
      <c r="E2">
        <f>[3]龟丞相!$E$2</f>
        <v>9</v>
      </c>
      <c r="F2">
        <f>ROUND([3]龟丞相!$F$2 *1000,0)</f>
        <v>100</v>
      </c>
      <c r="G2">
        <f>ROUND([3]龟丞相!$H$2 *100,0)</f>
        <v>100</v>
      </c>
      <c r="H2">
        <f>[3]龟丞相!$I$2</f>
        <v>8</v>
      </c>
      <c r="I2">
        <f>[3]龟丞相!$J$2</f>
        <v>8</v>
      </c>
      <c r="J2">
        <f>[3]龟丞相!$V$2</f>
        <v>1.2</v>
      </c>
      <c r="K2">
        <f>[3]龟丞相!$Y$2</f>
        <v>1</v>
      </c>
      <c r="L2">
        <f>[3]龟丞相!$Z$2</f>
        <v>0</v>
      </c>
    </row>
    <row r="3" spans="1:12" x14ac:dyDescent="0.15">
      <c r="A3">
        <v>2</v>
      </c>
      <c r="B3">
        <f>[3]龟丞相!$C$3</f>
        <v>100</v>
      </c>
      <c r="C3">
        <f>B3-B2</f>
        <v>50</v>
      </c>
      <c r="D3">
        <f>[3]龟丞相!$D$3</f>
        <v>29</v>
      </c>
      <c r="E3">
        <f>[3]龟丞相!$E$3</f>
        <v>13</v>
      </c>
      <c r="F3">
        <f>ROUND([3]龟丞相!$F$3 *1000,0)</f>
        <v>100</v>
      </c>
      <c r="G3">
        <f>ROUND([3]龟丞相!$H$3 *100,0)</f>
        <v>100</v>
      </c>
      <c r="H3">
        <f>[3]龟丞相!$I$3</f>
        <v>13</v>
      </c>
      <c r="I3">
        <f>[3]龟丞相!$J$3</f>
        <v>9</v>
      </c>
      <c r="J3">
        <f>[3]龟丞相!$V$3</f>
        <v>1.2</v>
      </c>
      <c r="K3">
        <f>[3]龟丞相!$Y$3</f>
        <v>1</v>
      </c>
      <c r="L3">
        <f>[3]龟丞相!$Z$3</f>
        <v>0</v>
      </c>
    </row>
    <row r="4" spans="1:12" x14ac:dyDescent="0.15">
      <c r="A4">
        <v>3</v>
      </c>
      <c r="B4">
        <f>[3]龟丞相!$C$4</f>
        <v>150</v>
      </c>
      <c r="C4">
        <f t="shared" ref="C4:C26" si="0">B4-B3</f>
        <v>50</v>
      </c>
      <c r="D4">
        <f>[3]龟丞相!$D$4</f>
        <v>33</v>
      </c>
      <c r="E4">
        <f>[3]龟丞相!$E$4</f>
        <v>18</v>
      </c>
      <c r="F4">
        <f>ROUND([3]龟丞相!$F$4 *1000,0)</f>
        <v>100</v>
      </c>
      <c r="G4">
        <f>ROUND([3]龟丞相!$H$4 *100,0)</f>
        <v>100</v>
      </c>
      <c r="H4">
        <f>[3]龟丞相!$I$4</f>
        <v>17</v>
      </c>
      <c r="I4">
        <f>[3]龟丞相!$J$4</f>
        <v>10</v>
      </c>
      <c r="J4">
        <f>[3]龟丞相!$V$4</f>
        <v>1.2</v>
      </c>
      <c r="K4">
        <f>[3]龟丞相!$Y$4</f>
        <v>1</v>
      </c>
      <c r="L4">
        <f>[3]龟丞相!$Z$4</f>
        <v>0</v>
      </c>
    </row>
    <row r="5" spans="1:12" x14ac:dyDescent="0.15">
      <c r="A5">
        <v>4</v>
      </c>
      <c r="B5">
        <f>[3]龟丞相!$C$5</f>
        <v>250</v>
      </c>
      <c r="C5">
        <f t="shared" si="0"/>
        <v>100</v>
      </c>
      <c r="D5">
        <f>[3]龟丞相!$D$5</f>
        <v>38</v>
      </c>
      <c r="E5">
        <f>[3]龟丞相!$E$5</f>
        <v>30</v>
      </c>
      <c r="F5">
        <f>ROUND([3]龟丞相!$F$5 *1000,0)</f>
        <v>100</v>
      </c>
      <c r="G5">
        <f>ROUND([3]龟丞相!$H$5 *100,0)</f>
        <v>100</v>
      </c>
      <c r="H5">
        <f>[3]龟丞相!$I$5</f>
        <v>25</v>
      </c>
      <c r="I5">
        <f>[3]龟丞相!$J$5</f>
        <v>11</v>
      </c>
      <c r="J5">
        <f>[3]龟丞相!$V$5</f>
        <v>1.2</v>
      </c>
      <c r="K5">
        <f>[3]龟丞相!$Y$5</f>
        <v>1.02</v>
      </c>
      <c r="L5">
        <f>[3]龟丞相!$Z$5</f>
        <v>0</v>
      </c>
    </row>
    <row r="6" spans="1:12" x14ac:dyDescent="0.15">
      <c r="A6">
        <v>5</v>
      </c>
      <c r="B6">
        <f>[3]龟丞相!$C$6</f>
        <v>350</v>
      </c>
      <c r="C6">
        <f t="shared" si="0"/>
        <v>100</v>
      </c>
      <c r="D6">
        <f>[3]龟丞相!$D$6</f>
        <v>40</v>
      </c>
      <c r="E6">
        <f>[3]龟丞相!$E$6</f>
        <v>43</v>
      </c>
      <c r="F6">
        <f>ROUND([3]龟丞相!$F$6 *1000,0)</f>
        <v>100</v>
      </c>
      <c r="G6">
        <f>ROUND([3]龟丞相!$H$6 *100,0)</f>
        <v>120</v>
      </c>
      <c r="H6">
        <f>[3]龟丞相!$I$6</f>
        <v>30</v>
      </c>
      <c r="I6">
        <f>[3]龟丞相!$J$6</f>
        <v>12</v>
      </c>
      <c r="J6">
        <f>[3]龟丞相!$V$6</f>
        <v>1.2</v>
      </c>
      <c r="K6">
        <f>[3]龟丞相!$Y$6</f>
        <v>1.04</v>
      </c>
      <c r="L6">
        <f>[3]龟丞相!$Z$6</f>
        <v>0</v>
      </c>
    </row>
    <row r="7" spans="1:12" x14ac:dyDescent="0.15">
      <c r="A7">
        <v>6</v>
      </c>
      <c r="B7">
        <f>[3]龟丞相!$C$7</f>
        <v>500</v>
      </c>
      <c r="C7">
        <f t="shared" si="0"/>
        <v>150</v>
      </c>
      <c r="D7">
        <f>[3]龟丞相!$D$7</f>
        <v>45</v>
      </c>
      <c r="E7">
        <f>[3]龟丞相!$E$7</f>
        <v>60</v>
      </c>
      <c r="F7">
        <f>ROUND([3]龟丞相!$F$7 *1000,0)</f>
        <v>100</v>
      </c>
      <c r="G7">
        <f>ROUND([3]龟丞相!$H$7 *100,0)</f>
        <v>120</v>
      </c>
      <c r="H7">
        <f>[3]龟丞相!$I$7</f>
        <v>42</v>
      </c>
      <c r="I7">
        <f>[3]龟丞相!$J$7</f>
        <v>14</v>
      </c>
      <c r="J7">
        <f>[3]龟丞相!$V$7</f>
        <v>1.2</v>
      </c>
      <c r="K7">
        <f>[3]龟丞相!$Y$7</f>
        <v>1.07</v>
      </c>
      <c r="L7">
        <f>[3]龟丞相!$Z$7</f>
        <v>0</v>
      </c>
    </row>
    <row r="8" spans="1:12" x14ac:dyDescent="0.15">
      <c r="A8">
        <v>7</v>
      </c>
      <c r="B8">
        <f>[3]龟丞相!$C$8</f>
        <v>650</v>
      </c>
      <c r="C8">
        <f t="shared" si="0"/>
        <v>150</v>
      </c>
      <c r="D8">
        <f>[3]龟丞相!$D$8</f>
        <v>52</v>
      </c>
      <c r="E8">
        <f>[3]龟丞相!$E$8</f>
        <v>80</v>
      </c>
      <c r="F8">
        <f>ROUND([3]龟丞相!$F$8 *1000,0)</f>
        <v>101</v>
      </c>
      <c r="G8">
        <f>ROUND([3]龟丞相!$H$8 *100,0)</f>
        <v>120</v>
      </c>
      <c r="H8">
        <f>[3]龟丞相!$I$8</f>
        <v>50</v>
      </c>
      <c r="I8">
        <f>[3]龟丞相!$J$8</f>
        <v>16</v>
      </c>
      <c r="J8">
        <f>[3]龟丞相!$V$8</f>
        <v>1.2</v>
      </c>
      <c r="K8">
        <f>[3]龟丞相!$Y$8</f>
        <v>1.1000000000000001</v>
      </c>
      <c r="L8">
        <f>[3]龟丞相!$Z$8</f>
        <v>0</v>
      </c>
    </row>
    <row r="9" spans="1:12" x14ac:dyDescent="0.15">
      <c r="A9">
        <v>8</v>
      </c>
      <c r="B9">
        <f>[3]龟丞相!$C$9</f>
        <v>850</v>
      </c>
      <c r="C9">
        <f t="shared" si="0"/>
        <v>200</v>
      </c>
      <c r="D9">
        <f>[3]龟丞相!$D$9</f>
        <v>100</v>
      </c>
      <c r="E9">
        <f>[3]龟丞相!$E$9</f>
        <v>104</v>
      </c>
      <c r="F9">
        <f>ROUND([3]龟丞相!$F$9 *1000,0)</f>
        <v>101</v>
      </c>
      <c r="G9">
        <f>ROUND([3]龟丞相!$H$9 *100,0)</f>
        <v>120</v>
      </c>
      <c r="H9">
        <f>[3]龟丞相!$I$9</f>
        <v>67</v>
      </c>
      <c r="I9">
        <f>[3]龟丞相!$J$9</f>
        <v>30</v>
      </c>
      <c r="J9">
        <f>[3]龟丞相!$V$9</f>
        <v>1.2</v>
      </c>
      <c r="K9">
        <f>[3]龟丞相!$Y$9</f>
        <v>1.1400000000000001</v>
      </c>
      <c r="L9">
        <f>[3]龟丞相!$Z$9</f>
        <v>0</v>
      </c>
    </row>
    <row r="10" spans="1:12" x14ac:dyDescent="0.15">
      <c r="A10">
        <v>9</v>
      </c>
      <c r="B10">
        <f>[3]龟丞相!$C$10</f>
        <v>1050</v>
      </c>
      <c r="C10">
        <f t="shared" si="0"/>
        <v>200</v>
      </c>
      <c r="D10">
        <f>[3]龟丞相!$D$10</f>
        <v>125</v>
      </c>
      <c r="E10">
        <f>[3]龟丞相!$E$10</f>
        <v>125</v>
      </c>
      <c r="F10">
        <f>ROUND([3]龟丞相!$F$10*1000,0)</f>
        <v>101</v>
      </c>
      <c r="G10">
        <f>ROUND([3]龟丞相!$H$10*100,0)</f>
        <v>120</v>
      </c>
      <c r="H10">
        <f>[3]龟丞相!$I$10</f>
        <v>79</v>
      </c>
      <c r="I10">
        <f>[3]龟丞相!$J$10</f>
        <v>38</v>
      </c>
      <c r="J10">
        <f>[3]龟丞相!$V$10</f>
        <v>1.2</v>
      </c>
      <c r="K10">
        <f>[3]龟丞相!$Y$10</f>
        <v>1.1800000000000002</v>
      </c>
      <c r="L10">
        <f>[3]龟丞相!$Z$10</f>
        <v>0</v>
      </c>
    </row>
    <row r="11" spans="1:12" x14ac:dyDescent="0.15">
      <c r="A11">
        <v>10</v>
      </c>
      <c r="B11">
        <f>[3]龟丞相!$C$11</f>
        <v>1250</v>
      </c>
      <c r="C11">
        <f t="shared" si="0"/>
        <v>200</v>
      </c>
      <c r="D11">
        <f>[3]龟丞相!$D$11</f>
        <v>135</v>
      </c>
      <c r="E11">
        <f>[3]龟丞相!$E$11</f>
        <v>148</v>
      </c>
      <c r="F11">
        <f>ROUND([3]龟丞相!$F$11*1000,0)</f>
        <v>101</v>
      </c>
      <c r="G11">
        <f>ROUND([3]龟丞相!$H$11*100,0)</f>
        <v>130</v>
      </c>
      <c r="H11">
        <f>[3]龟丞相!$I$11</f>
        <v>92</v>
      </c>
      <c r="I11">
        <f>[3]龟丞相!$J$11</f>
        <v>41</v>
      </c>
      <c r="J11">
        <f>[3]龟丞相!$V$11</f>
        <v>1.2</v>
      </c>
      <c r="K11">
        <f>[3]龟丞相!$Y$11</f>
        <v>1.2200000000000002</v>
      </c>
      <c r="L11">
        <f>[3]龟丞相!$Z$11</f>
        <v>0</v>
      </c>
    </row>
    <row r="12" spans="1:12" x14ac:dyDescent="0.15">
      <c r="A12">
        <v>11</v>
      </c>
      <c r="B12">
        <f>[3]龟丞相!$C$12</f>
        <v>1500</v>
      </c>
      <c r="C12">
        <f t="shared" si="0"/>
        <v>250</v>
      </c>
      <c r="D12">
        <f>[3]龟丞相!$D$12</f>
        <v>238</v>
      </c>
      <c r="E12">
        <f>[3]龟丞相!$E$12</f>
        <v>174</v>
      </c>
      <c r="F12">
        <f>ROUND([3]龟丞相!$F$12*1000,0)</f>
        <v>101</v>
      </c>
      <c r="G12">
        <f>ROUND([3]龟丞相!$H$12*100,0)</f>
        <v>130</v>
      </c>
      <c r="H12">
        <f>[3]龟丞相!$I$12</f>
        <v>107</v>
      </c>
      <c r="I12">
        <f>[3]龟丞相!$J$12</f>
        <v>71</v>
      </c>
      <c r="J12">
        <f>[3]龟丞相!$V$12</f>
        <v>1.2</v>
      </c>
      <c r="K12">
        <f>[3]龟丞相!$Y$12</f>
        <v>1.2700000000000002</v>
      </c>
      <c r="L12">
        <f>[3]龟丞相!$Z$12</f>
        <v>0</v>
      </c>
    </row>
    <row r="13" spans="1:12" x14ac:dyDescent="0.15">
      <c r="A13">
        <v>12</v>
      </c>
      <c r="B13">
        <f>[3]龟丞相!$C$13</f>
        <v>1750</v>
      </c>
      <c r="C13">
        <f t="shared" si="0"/>
        <v>250</v>
      </c>
      <c r="D13">
        <f>[3]龟丞相!$D$13</f>
        <v>271</v>
      </c>
      <c r="E13">
        <f>[3]龟丞相!$E$13</f>
        <v>203</v>
      </c>
      <c r="F13">
        <f>ROUND([3]龟丞相!$F$13*1000,0)</f>
        <v>102</v>
      </c>
      <c r="G13">
        <f>ROUND([3]龟丞相!$H$13*100,0)</f>
        <v>130</v>
      </c>
      <c r="H13">
        <f>[3]龟丞相!$I$13</f>
        <v>124</v>
      </c>
      <c r="I13">
        <f>[3]龟丞相!$J$13</f>
        <v>81</v>
      </c>
      <c r="J13">
        <f>[3]龟丞相!$V$13</f>
        <v>1.2</v>
      </c>
      <c r="K13">
        <f>[3]龟丞相!$Y$13</f>
        <v>1.3200000000000003</v>
      </c>
      <c r="L13">
        <f>[3]龟丞相!$Z$13</f>
        <v>0</v>
      </c>
    </row>
    <row r="14" spans="1:12" x14ac:dyDescent="0.15">
      <c r="A14">
        <v>13</v>
      </c>
      <c r="B14">
        <f>[3]龟丞相!$C$14</f>
        <v>2050</v>
      </c>
      <c r="C14">
        <f t="shared" si="0"/>
        <v>300</v>
      </c>
      <c r="D14">
        <f>[3]龟丞相!$D$14</f>
        <v>318</v>
      </c>
      <c r="E14">
        <f>[3]龟丞相!$E$14</f>
        <v>235</v>
      </c>
      <c r="F14">
        <f>ROUND([3]龟丞相!$F$14*1000,0)</f>
        <v>102</v>
      </c>
      <c r="G14">
        <f>ROUND([3]龟丞相!$H$14*100,0)</f>
        <v>130</v>
      </c>
      <c r="H14">
        <f>[3]龟丞相!$I$14</f>
        <v>143</v>
      </c>
      <c r="I14">
        <f>[3]龟丞相!$J$14</f>
        <v>95</v>
      </c>
      <c r="J14">
        <f>[3]龟丞相!$V$14</f>
        <v>1.2</v>
      </c>
      <c r="K14">
        <f>[3]龟丞相!$Y$14</f>
        <v>1.3800000000000003</v>
      </c>
      <c r="L14">
        <f>[3]龟丞相!$Z$14</f>
        <v>0</v>
      </c>
    </row>
    <row r="15" spans="1:12" x14ac:dyDescent="0.15">
      <c r="A15">
        <v>14</v>
      </c>
      <c r="B15">
        <f>[3]龟丞相!$C$15</f>
        <v>2400</v>
      </c>
      <c r="C15">
        <f t="shared" si="0"/>
        <v>350</v>
      </c>
      <c r="D15">
        <f>[3]龟丞相!$D$15</f>
        <v>491</v>
      </c>
      <c r="E15">
        <f>[3]龟丞相!$E$15</f>
        <v>271</v>
      </c>
      <c r="F15">
        <f>ROUND([3]龟丞相!$F$15*1000,0)</f>
        <v>102</v>
      </c>
      <c r="G15">
        <f>ROUND([3]龟丞相!$H$15*100,0)</f>
        <v>130</v>
      </c>
      <c r="H15">
        <f>[3]龟丞相!$I$15</f>
        <v>164</v>
      </c>
      <c r="I15">
        <f>[3]龟丞相!$J$15</f>
        <v>147</v>
      </c>
      <c r="J15">
        <f>[3]龟丞相!$V$15</f>
        <v>1.2</v>
      </c>
      <c r="K15">
        <f>[3]龟丞相!$Y$15</f>
        <v>1.4500000000000004</v>
      </c>
      <c r="L15">
        <f>[3]龟丞相!$Z$15</f>
        <v>0</v>
      </c>
    </row>
    <row r="16" spans="1:12" x14ac:dyDescent="0.15">
      <c r="A16">
        <v>15</v>
      </c>
      <c r="B16">
        <f>[3]龟丞相!$C$16</f>
        <v>2850</v>
      </c>
      <c r="C16">
        <f t="shared" si="0"/>
        <v>450</v>
      </c>
      <c r="D16">
        <f>[3]龟丞相!$D$16</f>
        <v>580</v>
      </c>
      <c r="E16">
        <f>[3]龟丞相!$E$16</f>
        <v>311</v>
      </c>
      <c r="F16">
        <f>ROUND([3]龟丞相!$F$16*1000,0)</f>
        <v>103</v>
      </c>
      <c r="G16">
        <f>ROUND([3]龟丞相!$H$16*100,0)</f>
        <v>140</v>
      </c>
      <c r="H16">
        <f>[3]龟丞相!$I$16</f>
        <v>187</v>
      </c>
      <c r="I16">
        <f>[3]龟丞相!$J$16</f>
        <v>174</v>
      </c>
      <c r="J16">
        <f>[3]龟丞相!$V$16</f>
        <v>1.2</v>
      </c>
      <c r="K16">
        <f>[3]龟丞相!$Y$16</f>
        <v>1.5400000000000005</v>
      </c>
      <c r="L16">
        <f>[3]龟丞相!$Z$16</f>
        <v>0</v>
      </c>
    </row>
    <row r="17" spans="1:12" x14ac:dyDescent="0.15">
      <c r="A17">
        <v>16</v>
      </c>
      <c r="B17">
        <f>[3]龟丞相!$C$17</f>
        <v>3350</v>
      </c>
      <c r="C17">
        <f t="shared" si="0"/>
        <v>500</v>
      </c>
      <c r="D17">
        <f>[3]龟丞相!$D$17</f>
        <v>859</v>
      </c>
      <c r="E17">
        <f>[3]龟丞相!$E$17</f>
        <v>355</v>
      </c>
      <c r="F17">
        <f>ROUND([3]龟丞相!$F$17*1000,0)</f>
        <v>103</v>
      </c>
      <c r="G17">
        <f>ROUND([3]龟丞相!$H$17*100,0)</f>
        <v>140</v>
      </c>
      <c r="H17">
        <f>[3]龟丞相!$I$17</f>
        <v>213</v>
      </c>
      <c r="I17">
        <f>[3]龟丞相!$J$17</f>
        <v>258</v>
      </c>
      <c r="J17">
        <f>[3]龟丞相!$V$17</f>
        <v>1.2</v>
      </c>
      <c r="K17">
        <f>[3]龟丞相!$Y$17</f>
        <v>1.6400000000000006</v>
      </c>
      <c r="L17">
        <f>[3]龟丞相!$Z$17</f>
        <v>0</v>
      </c>
    </row>
    <row r="18" spans="1:12" x14ac:dyDescent="0.15">
      <c r="A18">
        <v>17</v>
      </c>
      <c r="B18">
        <f>[3]龟丞相!$C$18</f>
        <v>3900</v>
      </c>
      <c r="C18">
        <f t="shared" si="0"/>
        <v>550</v>
      </c>
      <c r="D18">
        <f>[3]龟丞相!$D$18</f>
        <v>1015</v>
      </c>
      <c r="E18">
        <f>[3]龟丞相!$E$18</f>
        <v>404</v>
      </c>
      <c r="F18">
        <f>ROUND([3]龟丞相!$F$18*1000,0)</f>
        <v>104</v>
      </c>
      <c r="G18">
        <f>ROUND([3]龟丞相!$H$18*100,0)</f>
        <v>140</v>
      </c>
      <c r="H18">
        <f>[3]龟丞相!$I$18</f>
        <v>242</v>
      </c>
      <c r="I18">
        <f>[3]龟丞相!$J$18</f>
        <v>305</v>
      </c>
      <c r="J18">
        <f>[3]龟丞相!$V$18</f>
        <v>1.2</v>
      </c>
      <c r="K18">
        <f>[3]龟丞相!$Y$18</f>
        <v>1.7500000000000007</v>
      </c>
      <c r="L18">
        <f>[3]龟丞相!$Z$18</f>
        <v>0</v>
      </c>
    </row>
    <row r="19" spans="1:12" x14ac:dyDescent="0.15">
      <c r="A19">
        <v>18</v>
      </c>
      <c r="B19">
        <f>[3]龟丞相!$C$19</f>
        <v>4550</v>
      </c>
      <c r="C19">
        <f t="shared" si="0"/>
        <v>650</v>
      </c>
      <c r="D19">
        <f>[3]龟丞相!$D$19</f>
        <v>1210</v>
      </c>
      <c r="E19">
        <f>[3]龟丞相!$E$19</f>
        <v>458</v>
      </c>
      <c r="F19">
        <f>ROUND([3]龟丞相!$F$19*1000,0)</f>
        <v>105</v>
      </c>
      <c r="G19">
        <f>ROUND([3]龟丞相!$H$19*100,0)</f>
        <v>140</v>
      </c>
      <c r="H19">
        <f>[3]龟丞相!$I$19</f>
        <v>274</v>
      </c>
      <c r="I19">
        <f>[3]龟丞相!$J$19</f>
        <v>363</v>
      </c>
      <c r="J19">
        <f>[3]龟丞相!$V$19</f>
        <v>1.2</v>
      </c>
      <c r="K19">
        <f>[3]龟丞相!$Y$19</f>
        <v>1.8800000000000008</v>
      </c>
      <c r="L19">
        <f>[3]龟丞相!$Z$19</f>
        <v>0</v>
      </c>
    </row>
    <row r="20" spans="1:12" x14ac:dyDescent="0.15">
      <c r="A20">
        <v>19</v>
      </c>
      <c r="B20">
        <f>[3]龟丞相!$C$20</f>
        <v>5500</v>
      </c>
      <c r="C20">
        <f t="shared" si="0"/>
        <v>950</v>
      </c>
      <c r="D20">
        <f>[3]龟丞相!$D$20</f>
        <v>1799</v>
      </c>
      <c r="E20">
        <f>[3]龟丞相!$E$20</f>
        <v>518</v>
      </c>
      <c r="F20">
        <f>ROUND([3]龟丞相!$F$20*1000,0)</f>
        <v>105</v>
      </c>
      <c r="G20">
        <f>ROUND([3]龟丞相!$H$20*100,0)</f>
        <v>140</v>
      </c>
      <c r="H20">
        <f>[3]龟丞相!$I$20</f>
        <v>310</v>
      </c>
      <c r="I20">
        <f>[3]龟丞相!$J$20</f>
        <v>540</v>
      </c>
      <c r="J20">
        <f>[3]龟丞相!$V$20</f>
        <v>1.2</v>
      </c>
      <c r="K20">
        <f>[3]龟丞相!$Y$20</f>
        <v>2.0699999999999994</v>
      </c>
      <c r="L20">
        <f>[3]龟丞相!$Z$20</f>
        <v>0</v>
      </c>
    </row>
    <row r="21" spans="1:12" x14ac:dyDescent="0.15">
      <c r="A21">
        <v>20</v>
      </c>
      <c r="B21">
        <f>[3]龟丞相!$C$21</f>
        <v>6600</v>
      </c>
      <c r="C21">
        <f t="shared" si="0"/>
        <v>1100</v>
      </c>
      <c r="D21">
        <f>[3]龟丞相!$D$21</f>
        <v>2413</v>
      </c>
      <c r="E21">
        <f>[3]龟丞相!$E$21</f>
        <v>620</v>
      </c>
      <c r="F21">
        <f>ROUND([3]龟丞相!$F$21*1000,0)</f>
        <v>107</v>
      </c>
      <c r="G21">
        <f>ROUND([3]龟丞相!$H$21*100,0)</f>
        <v>150</v>
      </c>
      <c r="H21">
        <f>[3]龟丞相!$I$21</f>
        <v>350</v>
      </c>
      <c r="I21">
        <f>[3]龟丞相!$J$21</f>
        <v>724</v>
      </c>
      <c r="J21">
        <f>[3]龟丞相!$V$21</f>
        <v>1.2</v>
      </c>
      <c r="K21">
        <f>[3]龟丞相!$Y$21</f>
        <v>2.3899999999999926</v>
      </c>
      <c r="L21">
        <f>[3]龟丞相!$Z$21</f>
        <v>0</v>
      </c>
    </row>
    <row r="22" spans="1:12" x14ac:dyDescent="0.15">
      <c r="A22">
        <v>21</v>
      </c>
      <c r="B22">
        <f>[3]龟丞相!$C$22</f>
        <v>9450</v>
      </c>
      <c r="C22">
        <f t="shared" si="0"/>
        <v>2850</v>
      </c>
      <c r="D22">
        <f>[3]龟丞相!$D$22</f>
        <v>3380</v>
      </c>
      <c r="E22">
        <f>[3]龟丞相!$E$22</f>
        <v>764</v>
      </c>
      <c r="F22">
        <f>ROUND([3]龟丞相!$F$22*1000,0)</f>
        <v>109</v>
      </c>
      <c r="G22">
        <f>ROUND([3]龟丞相!$H$22*100,0)</f>
        <v>150</v>
      </c>
      <c r="H22">
        <f>[3]龟丞相!$I$22</f>
        <v>410</v>
      </c>
      <c r="I22">
        <f>[3]龟丞相!$J$22</f>
        <v>1014</v>
      </c>
      <c r="J22">
        <f>[3]龟丞相!$V$22</f>
        <v>1</v>
      </c>
      <c r="K22">
        <f>[3]龟丞相!$Y$22</f>
        <v>2.8599999999999826</v>
      </c>
      <c r="L22">
        <f>[3]龟丞相!$Z$22</f>
        <v>335</v>
      </c>
    </row>
    <row r="23" spans="1:12" x14ac:dyDescent="0.15">
      <c r="A23">
        <v>22</v>
      </c>
      <c r="B23">
        <f>[3]龟丞相!$C$23</f>
        <v>12800</v>
      </c>
      <c r="C23">
        <f t="shared" si="0"/>
        <v>3350</v>
      </c>
      <c r="D23">
        <f>[3]龟丞相!$D$23</f>
        <v>5227</v>
      </c>
      <c r="E23">
        <f>[3]龟丞相!$E$23</f>
        <v>1032</v>
      </c>
      <c r="F23">
        <f>ROUND([3]龟丞相!$F$23*1000,0)</f>
        <v>113</v>
      </c>
      <c r="G23">
        <f>ROUND([3]龟丞相!$H$23*100,0)</f>
        <v>150</v>
      </c>
      <c r="H23">
        <f>[3]龟丞相!$I$23</f>
        <v>500</v>
      </c>
      <c r="I23">
        <f>[3]龟丞相!$J$23</f>
        <v>1568</v>
      </c>
      <c r="J23">
        <f>[3]龟丞相!$V$23</f>
        <v>1</v>
      </c>
      <c r="K23">
        <f>[3]龟丞相!$Y$23</f>
        <v>3.5299999999999683</v>
      </c>
      <c r="L23">
        <f>[3]龟丞相!$Z$23</f>
        <v>460</v>
      </c>
    </row>
    <row r="24" spans="1:12" x14ac:dyDescent="0.15">
      <c r="A24">
        <v>23</v>
      </c>
      <c r="B24">
        <f>[3]龟丞相!$C$24</f>
        <v>17400</v>
      </c>
      <c r="C24">
        <f t="shared" si="0"/>
        <v>4600</v>
      </c>
      <c r="D24">
        <f>[3]龟丞相!$D$24</f>
        <v>7149</v>
      </c>
      <c r="E24">
        <f>[3]龟丞相!$E$24</f>
        <v>1400</v>
      </c>
      <c r="F24">
        <f>ROUND([3]龟丞相!$F$24*1000,0)</f>
        <v>117</v>
      </c>
      <c r="G24">
        <f>ROUND([3]龟丞相!$H$24*100,0)</f>
        <v>150</v>
      </c>
      <c r="H24">
        <f>[3]龟丞相!$I$24</f>
        <v>635</v>
      </c>
      <c r="I24">
        <f>[3]龟丞相!$J$24</f>
        <v>2145</v>
      </c>
      <c r="J24">
        <f>[3]龟丞相!$V$24</f>
        <v>1</v>
      </c>
      <c r="K24">
        <f>[3]龟丞相!$Y$24</f>
        <v>4.4499999999999487</v>
      </c>
      <c r="L24">
        <f>[3]龟丞相!$Z$24</f>
        <v>585</v>
      </c>
    </row>
    <row r="25" spans="1:12" x14ac:dyDescent="0.15">
      <c r="A25">
        <v>24</v>
      </c>
      <c r="B25">
        <f>[3]龟丞相!$C$25</f>
        <v>23250</v>
      </c>
      <c r="C25">
        <f t="shared" si="0"/>
        <v>5850</v>
      </c>
      <c r="D25">
        <f>[3]龟丞相!$D$25</f>
        <v>9415</v>
      </c>
      <c r="E25">
        <f>[3]龟丞相!$E$25</f>
        <v>1868</v>
      </c>
      <c r="F25">
        <f>ROUND([3]龟丞相!$F$25*1000,0)</f>
        <v>123</v>
      </c>
      <c r="G25">
        <f>ROUND([3]龟丞相!$H$25*100,0)</f>
        <v>160</v>
      </c>
      <c r="H25">
        <f>[3]龟丞相!$I$25</f>
        <v>838</v>
      </c>
      <c r="I25">
        <f>[3]龟丞相!$J$25</f>
        <v>2825</v>
      </c>
      <c r="J25">
        <f>[3]龟丞相!$V$25</f>
        <v>1</v>
      </c>
      <c r="K25">
        <f>[3]龟丞相!$Y$25</f>
        <v>5.6199999999999237</v>
      </c>
      <c r="L25">
        <f>[3]龟丞相!$Z$25</f>
        <v>750</v>
      </c>
    </row>
    <row r="26" spans="1:12" x14ac:dyDescent="0.15">
      <c r="A26">
        <v>25</v>
      </c>
      <c r="B26">
        <f>[3]龟丞相!$C$26</f>
        <v>30750</v>
      </c>
      <c r="C26">
        <f t="shared" si="0"/>
        <v>7500</v>
      </c>
      <c r="D26">
        <f>[3]龟丞相!$D$26</f>
        <v>12394</v>
      </c>
      <c r="E26">
        <f>[3]龟丞相!$E$26</f>
        <v>2468</v>
      </c>
      <c r="F26">
        <f>ROUND([3]龟丞相!$F$26*1000,0)</f>
        <v>131</v>
      </c>
      <c r="G26">
        <f>ROUND([3]龟丞相!$H$26*100,0)</f>
        <v>160</v>
      </c>
      <c r="H26">
        <f>[3]龟丞相!$I$26</f>
        <v>1143</v>
      </c>
      <c r="I26">
        <f>[3]龟丞相!$J$26</f>
        <v>3718</v>
      </c>
      <c r="J26">
        <f>[3]龟丞相!$V$26</f>
        <v>1</v>
      </c>
      <c r="K26">
        <f>[3]龟丞相!$Y$26</f>
        <v>7.1199999999998917</v>
      </c>
      <c r="L26">
        <f>[3]龟丞相!$Z$26</f>
        <v>1000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-0.499984740745262"/>
  </sheetPr>
  <dimension ref="A1:L26"/>
  <sheetViews>
    <sheetView topLeftCell="A7" workbookViewId="0">
      <selection activeCell="J7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[3]凌虚子!$C$2</f>
        <v>50</v>
      </c>
      <c r="C2">
        <f>B2-0</f>
        <v>50</v>
      </c>
      <c r="D2">
        <f>[3]凌虚子!$D$2</f>
        <v>27</v>
      </c>
      <c r="E2">
        <f>[3]凌虚子!$E$2</f>
        <v>8</v>
      </c>
      <c r="F2">
        <f>ROUND([3]凌虚子!$F$2 *1000,0)</f>
        <v>0</v>
      </c>
      <c r="G2">
        <f>ROUND([3]凌虚子!$H$2 *100,0)</f>
        <v>100</v>
      </c>
      <c r="H2">
        <f>[3]凌虚子!$I$2</f>
        <v>6</v>
      </c>
      <c r="I2">
        <f>[3]凌虚子!$J$2</f>
        <v>14</v>
      </c>
      <c r="J2">
        <f>[3]凌虚子!$V$2</f>
        <v>1.5</v>
      </c>
      <c r="K2">
        <f>[3]凌虚子!$Y$2</f>
        <v>1</v>
      </c>
      <c r="L2">
        <f>[3]凌虚子!$Z$2</f>
        <v>0</v>
      </c>
    </row>
    <row r="3" spans="1:12" x14ac:dyDescent="0.15">
      <c r="A3">
        <v>2</v>
      </c>
      <c r="B3">
        <f>[3]凌虚子!$C$3</f>
        <v>100</v>
      </c>
      <c r="C3">
        <f>B3-B2</f>
        <v>50</v>
      </c>
      <c r="D3">
        <f>[3]凌虚子!$D$3</f>
        <v>32</v>
      </c>
      <c r="E3">
        <f>[3]凌虚子!$E$3</f>
        <v>12</v>
      </c>
      <c r="F3">
        <f>ROUND([3]凌虚子!$F$3 *1000,0)</f>
        <v>0</v>
      </c>
      <c r="G3">
        <f>ROUND([3]凌虚子!$H$3 *100,0)</f>
        <v>100</v>
      </c>
      <c r="H3">
        <f>[3]凌虚子!$I$3</f>
        <v>10</v>
      </c>
      <c r="I3">
        <f>[3]凌虚子!$J$3</f>
        <v>16</v>
      </c>
      <c r="J3">
        <f>[3]凌虚子!$V$3</f>
        <v>1.5</v>
      </c>
      <c r="K3">
        <f>[3]凌虚子!$Y$3</f>
        <v>1</v>
      </c>
      <c r="L3">
        <f>[3]凌虚子!$Z$3</f>
        <v>0</v>
      </c>
    </row>
    <row r="4" spans="1:12" x14ac:dyDescent="0.15">
      <c r="A4">
        <v>3</v>
      </c>
      <c r="B4">
        <f>[3]凌虚子!$C$4</f>
        <v>150</v>
      </c>
      <c r="C4">
        <f t="shared" ref="C4:C26" si="0">B4-B3</f>
        <v>50</v>
      </c>
      <c r="D4">
        <f>[3]凌虚子!$D$4</f>
        <v>35</v>
      </c>
      <c r="E4">
        <f>[3]凌虚子!$E$4</f>
        <v>18</v>
      </c>
      <c r="F4">
        <f>ROUND([3]凌虚子!$F$4 *1000,0)</f>
        <v>0</v>
      </c>
      <c r="G4">
        <f>ROUND([3]凌虚子!$H$4 *100,0)</f>
        <v>100</v>
      </c>
      <c r="H4">
        <f>[3]凌虚子!$I$4</f>
        <v>14</v>
      </c>
      <c r="I4">
        <f>[3]凌虚子!$J$4</f>
        <v>18</v>
      </c>
      <c r="J4">
        <f>[3]凌虚子!$V$4</f>
        <v>1.5</v>
      </c>
      <c r="K4">
        <f>[3]凌虚子!$Y$4</f>
        <v>1</v>
      </c>
      <c r="L4">
        <f>[3]凌虚子!$Z$4</f>
        <v>0</v>
      </c>
    </row>
    <row r="5" spans="1:12" x14ac:dyDescent="0.15">
      <c r="A5">
        <v>4</v>
      </c>
      <c r="B5">
        <f>[3]凌虚子!$C$5</f>
        <v>250</v>
      </c>
      <c r="C5">
        <f t="shared" si="0"/>
        <v>100</v>
      </c>
      <c r="D5">
        <f>[3]凌虚子!$D$5</f>
        <v>45</v>
      </c>
      <c r="E5">
        <f>[3]凌虚子!$E$5</f>
        <v>30</v>
      </c>
      <c r="F5">
        <f>ROUND([3]凌虚子!$F$5 *1000,0)</f>
        <v>0</v>
      </c>
      <c r="G5">
        <f>ROUND([3]凌虚子!$H$5 *100,0)</f>
        <v>100</v>
      </c>
      <c r="H5">
        <f>[3]凌虚子!$I$5</f>
        <v>18</v>
      </c>
      <c r="I5">
        <f>[3]凌虚子!$J$5</f>
        <v>23</v>
      </c>
      <c r="J5">
        <f>[3]凌虚子!$V$5</f>
        <v>1.5</v>
      </c>
      <c r="K5">
        <f>[3]凌虚子!$Y$5</f>
        <v>1.02</v>
      </c>
      <c r="L5">
        <f>[3]凌虚子!$Z$5</f>
        <v>0</v>
      </c>
    </row>
    <row r="6" spans="1:12" x14ac:dyDescent="0.15">
      <c r="A6">
        <v>5</v>
      </c>
      <c r="B6">
        <f>[3]凌虚子!$C$6</f>
        <v>350</v>
      </c>
      <c r="C6">
        <f t="shared" si="0"/>
        <v>100</v>
      </c>
      <c r="D6">
        <f>[3]凌虚子!$D$6</f>
        <v>54</v>
      </c>
      <c r="E6">
        <f>[3]凌虚子!$E$6</f>
        <v>42</v>
      </c>
      <c r="F6">
        <f>ROUND([3]凌虚子!$F$6 *1000,0)</f>
        <v>0</v>
      </c>
      <c r="G6">
        <f>ROUND([3]凌虚子!$H$6 *100,0)</f>
        <v>100</v>
      </c>
      <c r="H6">
        <f>[3]凌虚子!$I$6</f>
        <v>23</v>
      </c>
      <c r="I6">
        <f>[3]凌虚子!$J$6</f>
        <v>27</v>
      </c>
      <c r="J6">
        <f>[3]凌虚子!$V$6</f>
        <v>1.5</v>
      </c>
      <c r="K6">
        <f>[3]凌虚子!$Y$6</f>
        <v>1.04</v>
      </c>
      <c r="L6">
        <f>[3]凌虚子!$Z$6</f>
        <v>0</v>
      </c>
    </row>
    <row r="7" spans="1:12" x14ac:dyDescent="0.15">
      <c r="A7">
        <v>6</v>
      </c>
      <c r="B7">
        <f>[3]凌虚子!$C$7</f>
        <v>500</v>
      </c>
      <c r="C7">
        <f t="shared" si="0"/>
        <v>150</v>
      </c>
      <c r="D7">
        <f>[3]凌虚子!$D$7</f>
        <v>75</v>
      </c>
      <c r="E7">
        <f>[3]凌虚子!$E$7</f>
        <v>55</v>
      </c>
      <c r="F7">
        <f>ROUND([3]凌虚子!$F$7 *1000,0)</f>
        <v>0</v>
      </c>
      <c r="G7">
        <f>ROUND([3]凌虚子!$H$7 *100,0)</f>
        <v>100</v>
      </c>
      <c r="H7">
        <f>[3]凌虚子!$I$7</f>
        <v>29</v>
      </c>
      <c r="I7">
        <f>[3]凌虚子!$J$7</f>
        <v>38</v>
      </c>
      <c r="J7">
        <f>[3]凌虚子!$V$7</f>
        <v>1.5</v>
      </c>
      <c r="K7">
        <f>[3]凌虚子!$Y$7</f>
        <v>1.07</v>
      </c>
      <c r="L7">
        <f>[3]凌虚子!$Z$7</f>
        <v>0</v>
      </c>
    </row>
    <row r="8" spans="1:12" x14ac:dyDescent="0.15">
      <c r="A8">
        <v>7</v>
      </c>
      <c r="B8">
        <f>[3]凌虚子!$C$8</f>
        <v>650</v>
      </c>
      <c r="C8">
        <f t="shared" si="0"/>
        <v>150</v>
      </c>
      <c r="D8">
        <f>[3]凌虚子!$D$8</f>
        <v>86</v>
      </c>
      <c r="E8">
        <f>[3]凌虚子!$E$8</f>
        <v>76</v>
      </c>
      <c r="F8">
        <f>ROUND([3]凌虚子!$F$8 *1000,0)</f>
        <v>0</v>
      </c>
      <c r="G8">
        <f>ROUND([3]凌虚子!$H$8 *100,0)</f>
        <v>100</v>
      </c>
      <c r="H8">
        <f>[3]凌虚子!$I$8</f>
        <v>36</v>
      </c>
      <c r="I8">
        <f>[3]凌虚子!$J$8</f>
        <v>43</v>
      </c>
      <c r="J8">
        <f>[3]凌虚子!$V$8</f>
        <v>1.5</v>
      </c>
      <c r="K8">
        <f>[3]凌虚子!$Y$8</f>
        <v>1.1000000000000001</v>
      </c>
      <c r="L8">
        <f>[3]凌虚子!$Z$8</f>
        <v>0</v>
      </c>
    </row>
    <row r="9" spans="1:12" x14ac:dyDescent="0.15">
      <c r="A9">
        <v>8</v>
      </c>
      <c r="B9">
        <f>[3]凌虚子!$C$9</f>
        <v>850</v>
      </c>
      <c r="C9">
        <f t="shared" si="0"/>
        <v>200</v>
      </c>
      <c r="D9">
        <f>[3]凌虚子!$D$9</f>
        <v>147</v>
      </c>
      <c r="E9">
        <f>[3]凌虚子!$E$9</f>
        <v>98</v>
      </c>
      <c r="F9">
        <f>ROUND([3]凌虚子!$F$9 *1000,0)</f>
        <v>0</v>
      </c>
      <c r="G9">
        <f>ROUND([3]凌虚子!$H$9 *100,0)</f>
        <v>100</v>
      </c>
      <c r="H9">
        <f>[3]凌虚子!$I$9</f>
        <v>44</v>
      </c>
      <c r="I9">
        <f>[3]凌虚子!$J$9</f>
        <v>74</v>
      </c>
      <c r="J9">
        <f>[3]凌虚子!$V$9</f>
        <v>1.5</v>
      </c>
      <c r="K9">
        <f>[3]凌虚子!$Y$9</f>
        <v>1.1400000000000001</v>
      </c>
      <c r="L9">
        <f>[3]凌虚子!$Z$9</f>
        <v>0</v>
      </c>
    </row>
    <row r="10" spans="1:12" x14ac:dyDescent="0.15">
      <c r="A10">
        <v>9</v>
      </c>
      <c r="B10">
        <f>[3]凌虚子!$C$10</f>
        <v>1050</v>
      </c>
      <c r="C10">
        <f t="shared" si="0"/>
        <v>200</v>
      </c>
      <c r="D10">
        <f>[3]凌虚子!$D$10</f>
        <v>179</v>
      </c>
      <c r="E10">
        <f>[3]凌虚子!$E$10</f>
        <v>118</v>
      </c>
      <c r="F10">
        <f>ROUND([3]凌虚子!$F$10*1000,0)</f>
        <v>0</v>
      </c>
      <c r="G10">
        <f>ROUND([3]凌虚子!$H$10*100,0)</f>
        <v>100</v>
      </c>
      <c r="H10">
        <f>[3]凌虚子!$I$10</f>
        <v>53</v>
      </c>
      <c r="I10">
        <f>[3]凌虚子!$J$10</f>
        <v>90</v>
      </c>
      <c r="J10">
        <f>[3]凌虚子!$V$10</f>
        <v>1.5</v>
      </c>
      <c r="K10">
        <f>[3]凌虚子!$Y$10</f>
        <v>1.1800000000000002</v>
      </c>
      <c r="L10">
        <f>[3]凌虚子!$Z$10</f>
        <v>0</v>
      </c>
    </row>
    <row r="11" spans="1:12" x14ac:dyDescent="0.15">
      <c r="A11">
        <v>10</v>
      </c>
      <c r="B11">
        <f>[3]凌虚子!$C$11</f>
        <v>1250</v>
      </c>
      <c r="C11">
        <f t="shared" si="0"/>
        <v>200</v>
      </c>
      <c r="D11">
        <f>[3]凌虚子!$D$11</f>
        <v>205</v>
      </c>
      <c r="E11">
        <f>[3]凌虚子!$E$11</f>
        <v>143</v>
      </c>
      <c r="F11">
        <f>ROUND([3]凌虚子!$F$11*1000,0)</f>
        <v>0</v>
      </c>
      <c r="G11">
        <f>ROUND([3]凌虚子!$H$11*100,0)</f>
        <v>100</v>
      </c>
      <c r="H11">
        <f>[3]凌虚子!$I$11</f>
        <v>63</v>
      </c>
      <c r="I11">
        <f>[3]凌虚子!$J$11</f>
        <v>103</v>
      </c>
      <c r="J11">
        <f>[3]凌虚子!$V$11</f>
        <v>1.5</v>
      </c>
      <c r="K11">
        <f>[3]凌虚子!$Y$11</f>
        <v>1.2200000000000002</v>
      </c>
      <c r="L11">
        <f>[3]凌虚子!$Z$11</f>
        <v>0</v>
      </c>
    </row>
    <row r="12" spans="1:12" x14ac:dyDescent="0.15">
      <c r="A12">
        <v>11</v>
      </c>
      <c r="B12">
        <f>[3]凌虚子!$C$12</f>
        <v>1500</v>
      </c>
      <c r="C12">
        <f t="shared" si="0"/>
        <v>250</v>
      </c>
      <c r="D12">
        <f>[3]凌虚子!$D$12</f>
        <v>311</v>
      </c>
      <c r="E12">
        <f>[3]凌虚子!$E$12</f>
        <v>167</v>
      </c>
      <c r="F12">
        <f>ROUND([3]凌虚子!$F$12*1000,0)</f>
        <v>0</v>
      </c>
      <c r="G12">
        <f>ROUND([3]凌虚子!$H$12*100,0)</f>
        <v>100</v>
      </c>
      <c r="H12">
        <f>[3]凌虚子!$I$12</f>
        <v>74</v>
      </c>
      <c r="I12">
        <f>[3]凌虚子!$J$12</f>
        <v>156</v>
      </c>
      <c r="J12">
        <f>[3]凌虚子!$V$12</f>
        <v>1.5</v>
      </c>
      <c r="K12">
        <f>[3]凌虚子!$Y$12</f>
        <v>1.2700000000000002</v>
      </c>
      <c r="L12">
        <f>[3]凌虚子!$Z$12</f>
        <v>0</v>
      </c>
    </row>
    <row r="13" spans="1:12" x14ac:dyDescent="0.15">
      <c r="A13">
        <v>12</v>
      </c>
      <c r="B13">
        <f>[3]凌虚子!$C$13</f>
        <v>1750</v>
      </c>
      <c r="C13">
        <f t="shared" si="0"/>
        <v>250</v>
      </c>
      <c r="D13">
        <f>[3]凌虚子!$D$13</f>
        <v>358</v>
      </c>
      <c r="E13">
        <f>[3]凌虚子!$E$13</f>
        <v>194</v>
      </c>
      <c r="F13">
        <f>ROUND([3]凌虚子!$F$13*1000,0)</f>
        <v>0</v>
      </c>
      <c r="G13">
        <f>ROUND([3]凌虚子!$H$13*100,0)</f>
        <v>100</v>
      </c>
      <c r="H13">
        <f>[3]凌虚子!$I$13</f>
        <v>86</v>
      </c>
      <c r="I13">
        <f>[3]凌虚子!$J$13</f>
        <v>179</v>
      </c>
      <c r="J13">
        <f>[3]凌虚子!$V$13</f>
        <v>1.5</v>
      </c>
      <c r="K13">
        <f>[3]凌虚子!$Y$13</f>
        <v>1.3200000000000003</v>
      </c>
      <c r="L13">
        <f>[3]凌虚子!$Z$13</f>
        <v>0</v>
      </c>
    </row>
    <row r="14" spans="1:12" x14ac:dyDescent="0.15">
      <c r="A14">
        <v>13</v>
      </c>
      <c r="B14">
        <f>[3]凌虚子!$C$14</f>
        <v>2050</v>
      </c>
      <c r="C14">
        <f t="shared" si="0"/>
        <v>300</v>
      </c>
      <c r="D14">
        <f>[3]凌虚子!$D$14</f>
        <v>419</v>
      </c>
      <c r="E14">
        <f>[3]凌虚子!$E$14</f>
        <v>224</v>
      </c>
      <c r="F14">
        <f>ROUND([3]凌虚子!$F$14*1000,0)</f>
        <v>0</v>
      </c>
      <c r="G14">
        <f>ROUND([3]凌虚子!$H$14*100,0)</f>
        <v>100</v>
      </c>
      <c r="H14">
        <f>[3]凌虚子!$I$14</f>
        <v>99</v>
      </c>
      <c r="I14">
        <f>[3]凌虚子!$J$14</f>
        <v>210</v>
      </c>
      <c r="J14">
        <f>[3]凌虚子!$V$14</f>
        <v>1.5</v>
      </c>
      <c r="K14">
        <f>[3]凌虚子!$Y$14</f>
        <v>1.3800000000000003</v>
      </c>
      <c r="L14">
        <f>[3]凌虚子!$Z$14</f>
        <v>0</v>
      </c>
    </row>
    <row r="15" spans="1:12" x14ac:dyDescent="0.15">
      <c r="A15">
        <v>14</v>
      </c>
      <c r="B15">
        <f>[3]凌虚子!$C$15</f>
        <v>2400</v>
      </c>
      <c r="C15">
        <f t="shared" si="0"/>
        <v>350</v>
      </c>
      <c r="D15">
        <f>[3]凌虚子!$D$15</f>
        <v>594</v>
      </c>
      <c r="E15">
        <f>[3]凌虚子!$E$15</f>
        <v>257</v>
      </c>
      <c r="F15">
        <f>ROUND([3]凌虚子!$F$15*1000,0)</f>
        <v>0</v>
      </c>
      <c r="G15">
        <f>ROUND([3]凌虚子!$H$15*100,0)</f>
        <v>100</v>
      </c>
      <c r="H15">
        <f>[3]凌虚子!$I$15</f>
        <v>114</v>
      </c>
      <c r="I15">
        <f>[3]凌虚子!$J$15</f>
        <v>297</v>
      </c>
      <c r="J15">
        <f>[3]凌虚子!$V$15</f>
        <v>1.5</v>
      </c>
      <c r="K15">
        <f>[3]凌虚子!$Y$15</f>
        <v>1.4500000000000004</v>
      </c>
      <c r="L15">
        <f>[3]凌虚子!$Z$15</f>
        <v>0</v>
      </c>
    </row>
    <row r="16" spans="1:12" x14ac:dyDescent="0.15">
      <c r="A16">
        <v>15</v>
      </c>
      <c r="B16">
        <f>[3]凌虚子!$C$16</f>
        <v>2850</v>
      </c>
      <c r="C16">
        <f t="shared" si="0"/>
        <v>450</v>
      </c>
      <c r="D16">
        <f>[3]凌虚子!$D$16</f>
        <v>717</v>
      </c>
      <c r="E16">
        <f>[3]凌虚子!$E$16</f>
        <v>293</v>
      </c>
      <c r="F16">
        <f>ROUND([3]凌虚子!$F$16*1000,0)</f>
        <v>0</v>
      </c>
      <c r="G16">
        <f>ROUND([3]凌虚子!$H$16*100,0)</f>
        <v>100</v>
      </c>
      <c r="H16">
        <f>[3]凌虚子!$I$16</f>
        <v>131</v>
      </c>
      <c r="I16">
        <f>[3]凌虚子!$J$16</f>
        <v>359</v>
      </c>
      <c r="J16">
        <f>[3]凌虚子!$V$16</f>
        <v>1.5</v>
      </c>
      <c r="K16">
        <f>[3]凌虚子!$Y$16</f>
        <v>1.5400000000000005</v>
      </c>
      <c r="L16">
        <f>[3]凌虚子!$Z$16</f>
        <v>0</v>
      </c>
    </row>
    <row r="17" spans="1:12" x14ac:dyDescent="0.15">
      <c r="A17">
        <v>16</v>
      </c>
      <c r="B17">
        <f>[3]凌虚子!$C$17</f>
        <v>3350</v>
      </c>
      <c r="C17">
        <f t="shared" si="0"/>
        <v>500</v>
      </c>
      <c r="D17">
        <f>[3]凌虚子!$D$17</f>
        <v>992</v>
      </c>
      <c r="E17">
        <f>[3]凌虚子!$E$17</f>
        <v>333</v>
      </c>
      <c r="F17">
        <f>ROUND([3]凌虚子!$F$17*1000,0)</f>
        <v>0</v>
      </c>
      <c r="G17">
        <f>ROUND([3]凌虚子!$H$17*100,0)</f>
        <v>100</v>
      </c>
      <c r="H17">
        <f>[3]凌虚子!$I$17</f>
        <v>150</v>
      </c>
      <c r="I17">
        <f>[3]凌虚子!$J$17</f>
        <v>496</v>
      </c>
      <c r="J17">
        <f>[3]凌虚子!$V$17</f>
        <v>1.5</v>
      </c>
      <c r="K17">
        <f>[3]凌虚子!$Y$17</f>
        <v>1.6400000000000006</v>
      </c>
      <c r="L17">
        <f>[3]凌虚子!$Z$17</f>
        <v>0</v>
      </c>
    </row>
    <row r="18" spans="1:12" x14ac:dyDescent="0.15">
      <c r="A18">
        <v>17</v>
      </c>
      <c r="B18">
        <f>[3]凌虚子!$C$18</f>
        <v>3900</v>
      </c>
      <c r="C18">
        <f t="shared" si="0"/>
        <v>550</v>
      </c>
      <c r="D18">
        <f>[3]凌虚子!$D$18</f>
        <v>1166</v>
      </c>
      <c r="E18">
        <f>[3]凌虚子!$E$18</f>
        <v>376</v>
      </c>
      <c r="F18">
        <f>ROUND([3]凌虚子!$F$18*1000,0)</f>
        <v>0</v>
      </c>
      <c r="G18">
        <f>ROUND([3]凌虚子!$H$18*100,0)</f>
        <v>100</v>
      </c>
      <c r="H18">
        <f>[3]凌虚子!$I$18</f>
        <v>171</v>
      </c>
      <c r="I18">
        <f>[3]凌虚子!$J$18</f>
        <v>583</v>
      </c>
      <c r="J18">
        <f>[3]凌虚子!$V$18</f>
        <v>1.5</v>
      </c>
      <c r="K18">
        <f>[3]凌虚子!$Y$18</f>
        <v>1.7500000000000007</v>
      </c>
      <c r="L18">
        <f>[3]凌虚子!$Z$18</f>
        <v>0</v>
      </c>
    </row>
    <row r="19" spans="1:12" x14ac:dyDescent="0.15">
      <c r="A19">
        <v>18</v>
      </c>
      <c r="B19">
        <f>[3]凌虚子!$C$19</f>
        <v>4550</v>
      </c>
      <c r="C19">
        <f t="shared" si="0"/>
        <v>650</v>
      </c>
      <c r="D19">
        <f>[3]凌虚子!$D$19</f>
        <v>1375</v>
      </c>
      <c r="E19">
        <f>[3]凌虚子!$E$19</f>
        <v>425</v>
      </c>
      <c r="F19">
        <f>ROUND([3]凌虚子!$F$19*1000,0)</f>
        <v>0</v>
      </c>
      <c r="G19">
        <f>ROUND([3]凌虚子!$H$19*100,0)</f>
        <v>100</v>
      </c>
      <c r="H19">
        <f>[3]凌虚子!$I$19</f>
        <v>195</v>
      </c>
      <c r="I19">
        <f>[3]凌虚子!$J$19</f>
        <v>688</v>
      </c>
      <c r="J19">
        <f>[3]凌虚子!$V$19</f>
        <v>1.5</v>
      </c>
      <c r="K19">
        <f>[3]凌虚子!$Y$19</f>
        <v>1.8800000000000008</v>
      </c>
      <c r="L19">
        <f>[3]凌虚子!$Z$19</f>
        <v>0</v>
      </c>
    </row>
    <row r="20" spans="1:12" x14ac:dyDescent="0.15">
      <c r="A20">
        <v>19</v>
      </c>
      <c r="B20">
        <f>[3]凌虚子!$C$20</f>
        <v>5500</v>
      </c>
      <c r="C20">
        <f t="shared" si="0"/>
        <v>950</v>
      </c>
      <c r="D20">
        <f>[3]凌虚子!$D$20</f>
        <v>1935</v>
      </c>
      <c r="E20">
        <f>[3]凌虚子!$E$20</f>
        <v>480</v>
      </c>
      <c r="F20">
        <f>ROUND([3]凌虚子!$F$20*1000,0)</f>
        <v>0</v>
      </c>
      <c r="G20">
        <f>ROUND([3]凌虚子!$H$20*100,0)</f>
        <v>100</v>
      </c>
      <c r="H20">
        <f>[3]凌虚子!$I$20</f>
        <v>221</v>
      </c>
      <c r="I20">
        <f>[3]凌虚子!$J$20</f>
        <v>968</v>
      </c>
      <c r="J20">
        <f>[3]凌虚子!$V$20</f>
        <v>1.5</v>
      </c>
      <c r="K20">
        <f>[3]凌虚子!$Y$20</f>
        <v>2.0699999999999994</v>
      </c>
      <c r="L20">
        <f>[3]凌虚子!$Z$20</f>
        <v>0</v>
      </c>
    </row>
    <row r="21" spans="1:12" x14ac:dyDescent="0.15">
      <c r="A21">
        <v>20</v>
      </c>
      <c r="B21">
        <f>[3]凌虚子!$C$21</f>
        <v>6600</v>
      </c>
      <c r="C21">
        <f t="shared" si="0"/>
        <v>1100</v>
      </c>
      <c r="D21">
        <f>[3]凌虚子!$D$21</f>
        <v>2339</v>
      </c>
      <c r="E21">
        <f>[3]凌虚子!$E$21</f>
        <v>620</v>
      </c>
      <c r="F21">
        <f>ROUND([3]凌虚子!$F$21*1000,0)</f>
        <v>0</v>
      </c>
      <c r="G21">
        <f>ROUND([3]凌虚子!$H$21*100,0)</f>
        <v>100</v>
      </c>
      <c r="H21">
        <f>[3]凌虚子!$I$21</f>
        <v>250</v>
      </c>
      <c r="I21">
        <f>[3]凌虚子!$J$21</f>
        <v>1170</v>
      </c>
      <c r="J21">
        <f>[3]凌虚子!$V$21</f>
        <v>1.5</v>
      </c>
      <c r="K21">
        <f>[3]凌虚子!$Y$21</f>
        <v>2.3899999999999926</v>
      </c>
      <c r="L21">
        <f>[3]凌虚子!$Z$21</f>
        <v>0</v>
      </c>
    </row>
    <row r="22" spans="1:12" x14ac:dyDescent="0.15">
      <c r="A22">
        <v>21</v>
      </c>
      <c r="B22">
        <f>[3]凌虚子!$C$22</f>
        <v>9450</v>
      </c>
      <c r="C22">
        <f t="shared" si="0"/>
        <v>2850</v>
      </c>
      <c r="D22">
        <f>[3]凌虚子!$D$22</f>
        <v>3218</v>
      </c>
      <c r="E22">
        <f>[3]凌虚子!$E$22</f>
        <v>764</v>
      </c>
      <c r="F22">
        <f>ROUND([3]凌虚子!$F$22*1000,0)</f>
        <v>0</v>
      </c>
      <c r="G22">
        <f>ROUND([3]凌虚子!$H$22*100,0)</f>
        <v>100</v>
      </c>
      <c r="H22">
        <f>[3]凌虚子!$I$22</f>
        <v>294</v>
      </c>
      <c r="I22">
        <f>[3]凌虚子!$J$22</f>
        <v>1609</v>
      </c>
      <c r="J22">
        <f>[3]凌虚子!$V$22</f>
        <v>1</v>
      </c>
      <c r="K22">
        <f>[3]凌虚子!$Y$22</f>
        <v>2.8599999999999826</v>
      </c>
      <c r="L22">
        <f>[3]凌虚子!$Z$22</f>
        <v>335</v>
      </c>
    </row>
    <row r="23" spans="1:12" x14ac:dyDescent="0.15">
      <c r="A23">
        <v>22</v>
      </c>
      <c r="B23">
        <f>[3]凌虚子!$C$23</f>
        <v>12800</v>
      </c>
      <c r="C23">
        <f t="shared" si="0"/>
        <v>3350</v>
      </c>
      <c r="D23">
        <f>[3]凌虚子!$D$23</f>
        <v>4888</v>
      </c>
      <c r="E23">
        <f>[3]凌虚子!$E$23</f>
        <v>1032</v>
      </c>
      <c r="F23">
        <f>ROUND([3]凌虚子!$F$23*1000,0)</f>
        <v>0</v>
      </c>
      <c r="G23">
        <f>ROUND([3]凌虚子!$H$23*100,0)</f>
        <v>100</v>
      </c>
      <c r="H23">
        <f>[3]凌虚子!$I$23</f>
        <v>360</v>
      </c>
      <c r="I23">
        <f>[3]凌虚子!$J$23</f>
        <v>2444</v>
      </c>
      <c r="J23">
        <f>[3]凌虚子!$V$23</f>
        <v>1</v>
      </c>
      <c r="K23">
        <f>[3]凌虚子!$Y$23</f>
        <v>3.5299999999999683</v>
      </c>
      <c r="L23">
        <f>[3]凌虚子!$Z$23</f>
        <v>460</v>
      </c>
    </row>
    <row r="24" spans="1:12" x14ac:dyDescent="0.15">
      <c r="A24">
        <v>23</v>
      </c>
      <c r="B24">
        <f>[3]凌虚子!$C$24</f>
        <v>17400</v>
      </c>
      <c r="C24">
        <f t="shared" si="0"/>
        <v>4600</v>
      </c>
      <c r="D24">
        <f>[3]凌虚子!$D$24</f>
        <v>6676</v>
      </c>
      <c r="E24">
        <f>[3]凌虚子!$E$24</f>
        <v>1400</v>
      </c>
      <c r="F24">
        <f>ROUND([3]凌虚子!$F$24*1000,0)</f>
        <v>0</v>
      </c>
      <c r="G24">
        <f>ROUND([3]凌虚子!$H$24*100,0)</f>
        <v>100</v>
      </c>
      <c r="H24">
        <f>[3]凌虚子!$I$24</f>
        <v>459</v>
      </c>
      <c r="I24">
        <f>[3]凌虚子!$J$24</f>
        <v>3338</v>
      </c>
      <c r="J24">
        <f>[3]凌虚子!$V$24</f>
        <v>1</v>
      </c>
      <c r="K24">
        <f>[3]凌虚子!$Y$24</f>
        <v>4.4499999999999487</v>
      </c>
      <c r="L24">
        <f>[3]凌虚子!$Z$24</f>
        <v>585</v>
      </c>
    </row>
    <row r="25" spans="1:12" x14ac:dyDescent="0.15">
      <c r="A25">
        <v>24</v>
      </c>
      <c r="B25">
        <f>[3]凌虚子!$C$25</f>
        <v>23250</v>
      </c>
      <c r="C25">
        <f t="shared" si="0"/>
        <v>5850</v>
      </c>
      <c r="D25">
        <f>[3]凌虚子!$D$25</f>
        <v>8931</v>
      </c>
      <c r="E25">
        <f>[3]凌虚子!$E$25</f>
        <v>1868</v>
      </c>
      <c r="F25">
        <f>ROUND([3]凌虚子!$F$25*1000,0)</f>
        <v>0</v>
      </c>
      <c r="G25">
        <f>ROUND([3]凌虚子!$H$25*100,0)</f>
        <v>100</v>
      </c>
      <c r="H25">
        <f>[3]凌虚子!$I$25</f>
        <v>608</v>
      </c>
      <c r="I25">
        <f>[3]凌虚子!$J$25</f>
        <v>4466</v>
      </c>
      <c r="J25">
        <f>[3]凌虚子!$V$25</f>
        <v>1</v>
      </c>
      <c r="K25">
        <f>[3]凌虚子!$Y$25</f>
        <v>5.6199999999999237</v>
      </c>
      <c r="L25">
        <f>[3]凌虚子!$Z$25</f>
        <v>750</v>
      </c>
    </row>
    <row r="26" spans="1:12" x14ac:dyDescent="0.15">
      <c r="A26">
        <v>25</v>
      </c>
      <c r="B26">
        <f>[3]凌虚子!$C$26</f>
        <v>30750</v>
      </c>
      <c r="C26">
        <f t="shared" si="0"/>
        <v>7500</v>
      </c>
      <c r="D26">
        <f>[3]凌虚子!$D$26</f>
        <v>11795</v>
      </c>
      <c r="E26">
        <f>[3]凌虚子!$E$26</f>
        <v>2468</v>
      </c>
      <c r="F26">
        <f>ROUND([3]凌虚子!$F$26*1000,0)</f>
        <v>0</v>
      </c>
      <c r="G26">
        <f>ROUND([3]凌虚子!$H$26*100,0)</f>
        <v>100</v>
      </c>
      <c r="H26">
        <f>[3]凌虚子!$I$26</f>
        <v>832</v>
      </c>
      <c r="I26">
        <f>[3]凌虚子!$J$26</f>
        <v>5898</v>
      </c>
      <c r="J26">
        <f>[3]凌虚子!$V$26</f>
        <v>1</v>
      </c>
      <c r="K26">
        <f>[3]凌虚子!$Y$26</f>
        <v>7.1199999999998917</v>
      </c>
      <c r="L26">
        <f>[3]凌虚子!$Z$26</f>
        <v>1000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-0.499984740745262"/>
  </sheetPr>
  <dimension ref="A1:L26"/>
  <sheetViews>
    <sheetView topLeftCell="A13" workbookViewId="0">
      <selection activeCell="J13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[3]黑熊精!$C$2</f>
        <v>50</v>
      </c>
      <c r="C2">
        <f>B2-0</f>
        <v>50</v>
      </c>
      <c r="D2">
        <f>[3]黑熊精!$D$2</f>
        <v>25</v>
      </c>
      <c r="E2">
        <f>[3]黑熊精!$E$2</f>
        <v>8</v>
      </c>
      <c r="F2">
        <f>ROUND([3]黑熊精!$F$2 *1000,0)</f>
        <v>0</v>
      </c>
      <c r="G2">
        <f>ROUND([3]黑熊精!$H$2 *100,0)</f>
        <v>100</v>
      </c>
      <c r="H2">
        <f>[3]黑熊精!$I$2</f>
        <v>12</v>
      </c>
      <c r="I2">
        <f>[3]黑熊精!$J$2</f>
        <v>8</v>
      </c>
      <c r="J2">
        <f>[3]黑熊精!$V$2</f>
        <v>1</v>
      </c>
      <c r="K2">
        <f>[3]黑熊精!$Y$2</f>
        <v>1</v>
      </c>
      <c r="L2">
        <f>[3]黑熊精!$Z$2</f>
        <v>0</v>
      </c>
    </row>
    <row r="3" spans="1:12" x14ac:dyDescent="0.15">
      <c r="A3">
        <v>2</v>
      </c>
      <c r="B3">
        <f>[3]黑熊精!$C$3</f>
        <v>100</v>
      </c>
      <c r="C3">
        <f>B3-B2</f>
        <v>50</v>
      </c>
      <c r="D3">
        <f>[3]黑熊精!$D$3</f>
        <v>27</v>
      </c>
      <c r="E3">
        <f>[3]黑熊精!$E$3</f>
        <v>14</v>
      </c>
      <c r="F3">
        <f>ROUND([3]黑熊精!$F$3 *1000,0)</f>
        <v>0</v>
      </c>
      <c r="G3">
        <f>ROUND([3]黑熊精!$H$3 *100,0)</f>
        <v>100</v>
      </c>
      <c r="H3">
        <f>[3]黑熊精!$I$3</f>
        <v>18</v>
      </c>
      <c r="I3">
        <f>[3]黑熊精!$J$3</f>
        <v>8</v>
      </c>
      <c r="J3">
        <f>[3]黑熊精!$V$3</f>
        <v>1</v>
      </c>
      <c r="K3">
        <f>[3]黑熊精!$Y$3</f>
        <v>1</v>
      </c>
      <c r="L3">
        <f>[3]黑熊精!$Z$3</f>
        <v>0</v>
      </c>
    </row>
    <row r="4" spans="1:12" x14ac:dyDescent="0.15">
      <c r="A4">
        <v>3</v>
      </c>
      <c r="B4">
        <f>[3]黑熊精!$C$4</f>
        <v>150</v>
      </c>
      <c r="C4">
        <f t="shared" ref="C4:C26" si="0">B4-B3</f>
        <v>50</v>
      </c>
      <c r="D4">
        <f>[3]黑熊精!$D$4</f>
        <v>27</v>
      </c>
      <c r="E4">
        <f>[3]黑熊精!$E$4</f>
        <v>20</v>
      </c>
      <c r="F4">
        <f>ROUND([3]黑熊精!$F$4 *1000,0)</f>
        <v>0</v>
      </c>
      <c r="G4">
        <f>ROUND([3]黑熊精!$H$4 *100,0)</f>
        <v>100</v>
      </c>
      <c r="H4">
        <f>[3]黑熊精!$I$4</f>
        <v>26</v>
      </c>
      <c r="I4">
        <f>[3]黑熊精!$J$4</f>
        <v>8</v>
      </c>
      <c r="J4">
        <f>[3]黑熊精!$V$4</f>
        <v>1</v>
      </c>
      <c r="K4">
        <f>[3]黑熊精!$Y$4</f>
        <v>1</v>
      </c>
      <c r="L4">
        <f>[3]黑熊精!$Z$4</f>
        <v>0</v>
      </c>
    </row>
    <row r="5" spans="1:12" x14ac:dyDescent="0.15">
      <c r="A5">
        <v>4</v>
      </c>
      <c r="B5">
        <f>[3]黑熊精!$C$5</f>
        <v>250</v>
      </c>
      <c r="C5">
        <f t="shared" si="0"/>
        <v>100</v>
      </c>
      <c r="D5">
        <f>[3]黑熊精!$D$5</f>
        <v>35</v>
      </c>
      <c r="E5">
        <f>[3]黑熊精!$E$5</f>
        <v>31</v>
      </c>
      <c r="F5">
        <f>ROUND([3]黑熊精!$F$5 *1000,0)</f>
        <v>0</v>
      </c>
      <c r="G5">
        <f>ROUND([3]黑熊精!$H$5 *100,0)</f>
        <v>100</v>
      </c>
      <c r="H5">
        <f>[3]黑熊精!$I$5</f>
        <v>34</v>
      </c>
      <c r="I5">
        <f>[3]黑熊精!$J$5</f>
        <v>11</v>
      </c>
      <c r="J5">
        <f>[3]黑熊精!$V$5</f>
        <v>1</v>
      </c>
      <c r="K5">
        <f>[3]黑熊精!$Y$5</f>
        <v>1.02</v>
      </c>
      <c r="L5">
        <f>[3]黑熊精!$Z$5</f>
        <v>0</v>
      </c>
    </row>
    <row r="6" spans="1:12" x14ac:dyDescent="0.15">
      <c r="A6">
        <v>5</v>
      </c>
      <c r="B6">
        <f>[3]黑熊精!$C$6</f>
        <v>350</v>
      </c>
      <c r="C6">
        <f t="shared" si="0"/>
        <v>100</v>
      </c>
      <c r="D6">
        <f>[3]黑熊精!$D$6</f>
        <v>42</v>
      </c>
      <c r="E6">
        <f>[3]黑熊精!$E$6</f>
        <v>42</v>
      </c>
      <c r="F6">
        <f>ROUND([3]黑熊精!$F$6 *1000,0)</f>
        <v>0</v>
      </c>
      <c r="G6">
        <f>ROUND([3]黑熊精!$H$6 *100,0)</f>
        <v>100</v>
      </c>
      <c r="H6">
        <f>[3]黑熊精!$I$6</f>
        <v>43</v>
      </c>
      <c r="I6">
        <f>[3]黑熊精!$J$6</f>
        <v>13</v>
      </c>
      <c r="J6">
        <f>[3]黑熊精!$V$6</f>
        <v>1</v>
      </c>
      <c r="K6">
        <f>[3]黑熊精!$Y$6</f>
        <v>1.04</v>
      </c>
      <c r="L6">
        <f>[3]黑熊精!$Z$6</f>
        <v>0</v>
      </c>
    </row>
    <row r="7" spans="1:12" x14ac:dyDescent="0.15">
      <c r="A7">
        <v>6</v>
      </c>
      <c r="B7">
        <f>[3]黑熊精!$C$7</f>
        <v>500</v>
      </c>
      <c r="C7">
        <f t="shared" si="0"/>
        <v>150</v>
      </c>
      <c r="D7">
        <f>[3]黑熊精!$D$7</f>
        <v>64</v>
      </c>
      <c r="E7">
        <f>[3]黑熊精!$E$7</f>
        <v>55</v>
      </c>
      <c r="F7">
        <f>ROUND([3]黑熊精!$F$7 *1000,0)</f>
        <v>0</v>
      </c>
      <c r="G7">
        <f>ROUND([3]黑熊精!$H$7 *100,0)</f>
        <v>100</v>
      </c>
      <c r="H7">
        <f>[3]黑熊精!$I$7</f>
        <v>53</v>
      </c>
      <c r="I7">
        <f>[3]黑熊精!$J$7</f>
        <v>19</v>
      </c>
      <c r="J7">
        <f>[3]黑熊精!$V$7</f>
        <v>1</v>
      </c>
      <c r="K7">
        <f>[3]黑熊精!$Y$7</f>
        <v>1.07</v>
      </c>
      <c r="L7">
        <f>[3]黑熊精!$Z$7</f>
        <v>0</v>
      </c>
    </row>
    <row r="8" spans="1:12" x14ac:dyDescent="0.15">
      <c r="A8">
        <v>7</v>
      </c>
      <c r="B8">
        <f>[3]黑熊精!$C$8</f>
        <v>650</v>
      </c>
      <c r="C8">
        <f t="shared" si="0"/>
        <v>150</v>
      </c>
      <c r="D8">
        <f>[3]黑熊精!$D$8</f>
        <v>71</v>
      </c>
      <c r="E8">
        <f>[3]黑熊精!$E$8</f>
        <v>78</v>
      </c>
      <c r="F8">
        <f>ROUND([3]黑熊精!$F$8 *1000,0)</f>
        <v>0</v>
      </c>
      <c r="G8">
        <f>ROUND([3]黑熊精!$H$8 *100,0)</f>
        <v>100</v>
      </c>
      <c r="H8">
        <f>[3]黑熊精!$I$8</f>
        <v>64</v>
      </c>
      <c r="I8">
        <f>[3]黑熊精!$J$8</f>
        <v>21</v>
      </c>
      <c r="J8">
        <f>[3]黑熊精!$V$8</f>
        <v>1</v>
      </c>
      <c r="K8">
        <f>[3]黑熊精!$Y$8</f>
        <v>1.1000000000000001</v>
      </c>
      <c r="L8">
        <f>[3]黑熊精!$Z$8</f>
        <v>0</v>
      </c>
    </row>
    <row r="9" spans="1:12" x14ac:dyDescent="0.15">
      <c r="A9">
        <v>8</v>
      </c>
      <c r="B9">
        <f>[3]黑熊精!$C$9</f>
        <v>850</v>
      </c>
      <c r="C9">
        <f t="shared" si="0"/>
        <v>200</v>
      </c>
      <c r="D9">
        <f>[3]黑熊精!$D$9</f>
        <v>137</v>
      </c>
      <c r="E9">
        <f>[3]黑熊精!$E$9</f>
        <v>103</v>
      </c>
      <c r="F9">
        <f>ROUND([3]黑熊精!$F$9 *1000,0)</f>
        <v>0</v>
      </c>
      <c r="G9">
        <f>ROUND([3]黑熊精!$H$9 *100,0)</f>
        <v>100</v>
      </c>
      <c r="H9">
        <f>[3]黑熊精!$I$9</f>
        <v>76</v>
      </c>
      <c r="I9">
        <f>[3]黑熊精!$J$9</f>
        <v>41</v>
      </c>
      <c r="J9">
        <f>[3]黑熊精!$V$9</f>
        <v>1</v>
      </c>
      <c r="K9">
        <f>[3]黑熊精!$Y$9</f>
        <v>1.1400000000000001</v>
      </c>
      <c r="L9">
        <f>[3]黑熊精!$Z$9</f>
        <v>0</v>
      </c>
    </row>
    <row r="10" spans="1:12" x14ac:dyDescent="0.15">
      <c r="A10">
        <v>9</v>
      </c>
      <c r="B10">
        <f>[3]黑熊精!$C$10</f>
        <v>1050</v>
      </c>
      <c r="C10">
        <f t="shared" si="0"/>
        <v>200</v>
      </c>
      <c r="D10">
        <f>[3]黑熊精!$D$10</f>
        <v>166</v>
      </c>
      <c r="E10">
        <f>[3]黑熊精!$E$10</f>
        <v>127</v>
      </c>
      <c r="F10">
        <f>ROUND([3]黑熊精!$F$10*1000,0)</f>
        <v>0</v>
      </c>
      <c r="G10">
        <f>ROUND([3]黑熊精!$H$10*100,0)</f>
        <v>100</v>
      </c>
      <c r="H10">
        <f>[3]黑熊精!$I$10</f>
        <v>89</v>
      </c>
      <c r="I10">
        <f>[3]黑熊精!$J$10</f>
        <v>50</v>
      </c>
      <c r="J10">
        <f>[3]黑熊精!$V$10</f>
        <v>1</v>
      </c>
      <c r="K10">
        <f>[3]黑熊精!$Y$10</f>
        <v>1.1800000000000002</v>
      </c>
      <c r="L10">
        <f>[3]黑熊精!$Z$10</f>
        <v>0</v>
      </c>
    </row>
    <row r="11" spans="1:12" x14ac:dyDescent="0.15">
      <c r="A11">
        <v>10</v>
      </c>
      <c r="B11">
        <f>[3]黑熊精!$C$11</f>
        <v>1250</v>
      </c>
      <c r="C11">
        <f t="shared" si="0"/>
        <v>200</v>
      </c>
      <c r="D11">
        <f>[3]黑熊精!$D$11</f>
        <v>196</v>
      </c>
      <c r="E11">
        <f>[3]黑熊精!$E$11</f>
        <v>150</v>
      </c>
      <c r="F11">
        <f>ROUND([3]黑熊精!$F$11*1000,0)</f>
        <v>0</v>
      </c>
      <c r="G11">
        <f>ROUND([3]黑熊精!$H$11*100,0)</f>
        <v>100</v>
      </c>
      <c r="H11">
        <f>[3]黑熊精!$I$11</f>
        <v>103</v>
      </c>
      <c r="I11">
        <f>[3]黑熊精!$J$11</f>
        <v>59</v>
      </c>
      <c r="J11">
        <f>[3]黑熊精!$V$11</f>
        <v>1</v>
      </c>
      <c r="K11">
        <f>[3]黑熊精!$Y$11</f>
        <v>1.2200000000000002</v>
      </c>
      <c r="L11">
        <f>[3]黑熊精!$Z$11</f>
        <v>0</v>
      </c>
    </row>
    <row r="12" spans="1:12" x14ac:dyDescent="0.15">
      <c r="A12">
        <v>11</v>
      </c>
      <c r="B12">
        <f>[3]黑熊精!$C$12</f>
        <v>1500</v>
      </c>
      <c r="C12">
        <f t="shared" si="0"/>
        <v>250</v>
      </c>
      <c r="D12">
        <f>[3]黑熊精!$D$12</f>
        <v>315</v>
      </c>
      <c r="E12">
        <f>[3]黑熊精!$E$12</f>
        <v>176</v>
      </c>
      <c r="F12">
        <f>ROUND([3]黑熊精!$F$12*1000,0)</f>
        <v>0</v>
      </c>
      <c r="G12">
        <f>ROUND([3]黑熊精!$H$12*100,0)</f>
        <v>100</v>
      </c>
      <c r="H12">
        <f>[3]黑熊精!$I$12</f>
        <v>119</v>
      </c>
      <c r="I12">
        <f>[3]黑熊精!$J$12</f>
        <v>95</v>
      </c>
      <c r="J12">
        <f>[3]黑熊精!$V$12</f>
        <v>1</v>
      </c>
      <c r="K12">
        <f>[3]黑熊精!$Y$12</f>
        <v>1.2700000000000002</v>
      </c>
      <c r="L12">
        <f>[3]黑熊精!$Z$12</f>
        <v>0</v>
      </c>
    </row>
    <row r="13" spans="1:12" x14ac:dyDescent="0.15">
      <c r="A13">
        <v>12</v>
      </c>
      <c r="B13">
        <f>[3]黑熊精!$C$13</f>
        <v>1750</v>
      </c>
      <c r="C13">
        <f t="shared" si="0"/>
        <v>250</v>
      </c>
      <c r="D13">
        <f>[3]黑熊精!$D$13</f>
        <v>364</v>
      </c>
      <c r="E13">
        <f>[3]黑熊精!$E$13</f>
        <v>205</v>
      </c>
      <c r="F13">
        <f>ROUND([3]黑熊精!$F$13*1000,0)</f>
        <v>0</v>
      </c>
      <c r="G13">
        <f>ROUND([3]黑熊精!$H$13*100,0)</f>
        <v>100</v>
      </c>
      <c r="H13">
        <f>[3]黑熊精!$I$13</f>
        <v>137</v>
      </c>
      <c r="I13">
        <f>[3]黑熊精!$J$13</f>
        <v>109</v>
      </c>
      <c r="J13">
        <f>[3]黑熊精!$V$13</f>
        <v>1</v>
      </c>
      <c r="K13">
        <f>[3]黑熊精!$Y$13</f>
        <v>1.3200000000000003</v>
      </c>
      <c r="L13">
        <f>[3]黑熊精!$Z$13</f>
        <v>0</v>
      </c>
    </row>
    <row r="14" spans="1:12" x14ac:dyDescent="0.15">
      <c r="A14">
        <v>13</v>
      </c>
      <c r="B14">
        <f>[3]黑熊精!$C$14</f>
        <v>2050</v>
      </c>
      <c r="C14">
        <f t="shared" si="0"/>
        <v>300</v>
      </c>
      <c r="D14">
        <f>[3]黑熊精!$D$14</f>
        <v>428</v>
      </c>
      <c r="E14">
        <f>[3]黑熊精!$E$14</f>
        <v>237</v>
      </c>
      <c r="F14">
        <f>ROUND([3]黑熊精!$F$14*1000,0)</f>
        <v>0</v>
      </c>
      <c r="G14">
        <f>ROUND([3]黑熊精!$H$14*100,0)</f>
        <v>100</v>
      </c>
      <c r="H14">
        <f>[3]黑熊精!$I$14</f>
        <v>157</v>
      </c>
      <c r="I14">
        <f>[3]黑熊精!$J$14</f>
        <v>128</v>
      </c>
      <c r="J14">
        <f>[3]黑熊精!$V$14</f>
        <v>1</v>
      </c>
      <c r="K14">
        <f>[3]黑熊精!$Y$14</f>
        <v>1.3800000000000003</v>
      </c>
      <c r="L14">
        <f>[3]黑熊精!$Z$14</f>
        <v>0</v>
      </c>
    </row>
    <row r="15" spans="1:12" x14ac:dyDescent="0.15">
      <c r="A15">
        <v>14</v>
      </c>
      <c r="B15">
        <f>[3]黑熊精!$C$15</f>
        <v>2400</v>
      </c>
      <c r="C15">
        <f t="shared" si="0"/>
        <v>350</v>
      </c>
      <c r="D15">
        <f>[3]黑熊精!$D$15</f>
        <v>626</v>
      </c>
      <c r="E15">
        <f>[3]黑熊精!$E$15</f>
        <v>273</v>
      </c>
      <c r="F15">
        <f>ROUND([3]黑熊精!$F$15*1000,0)</f>
        <v>0</v>
      </c>
      <c r="G15">
        <f>ROUND([3]黑熊精!$H$15*100,0)</f>
        <v>100</v>
      </c>
      <c r="H15">
        <f>[3]黑熊精!$I$15</f>
        <v>179</v>
      </c>
      <c r="I15">
        <f>[3]黑熊精!$J$15</f>
        <v>188</v>
      </c>
      <c r="J15">
        <f>[3]黑熊精!$V$15</f>
        <v>1</v>
      </c>
      <c r="K15">
        <f>[3]黑熊精!$Y$15</f>
        <v>1.4500000000000004</v>
      </c>
      <c r="L15">
        <f>[3]黑熊精!$Z$15</f>
        <v>0</v>
      </c>
    </row>
    <row r="16" spans="1:12" x14ac:dyDescent="0.15">
      <c r="A16">
        <v>15</v>
      </c>
      <c r="B16">
        <f>[3]黑熊精!$C$16</f>
        <v>2850</v>
      </c>
      <c r="C16">
        <f t="shared" si="0"/>
        <v>450</v>
      </c>
      <c r="D16">
        <f>[3]黑熊精!$D$16</f>
        <v>760</v>
      </c>
      <c r="E16">
        <f>[3]黑熊精!$E$16</f>
        <v>313</v>
      </c>
      <c r="F16">
        <f>ROUND([3]黑熊精!$F$16*1000,0)</f>
        <v>0</v>
      </c>
      <c r="G16">
        <f>ROUND([3]黑熊精!$H$16*100,0)</f>
        <v>100</v>
      </c>
      <c r="H16">
        <f>[3]黑熊精!$I$16</f>
        <v>204</v>
      </c>
      <c r="I16">
        <f>[3]黑熊精!$J$16</f>
        <v>228</v>
      </c>
      <c r="J16">
        <f>[3]黑熊精!$V$16</f>
        <v>1</v>
      </c>
      <c r="K16">
        <f>[3]黑熊精!$Y$16</f>
        <v>1.5400000000000005</v>
      </c>
      <c r="L16">
        <f>[3]黑熊精!$Z$16</f>
        <v>0</v>
      </c>
    </row>
    <row r="17" spans="1:12" x14ac:dyDescent="0.15">
      <c r="A17">
        <v>16</v>
      </c>
      <c r="B17">
        <f>[3]黑熊精!$C$17</f>
        <v>3350</v>
      </c>
      <c r="C17">
        <f t="shared" si="0"/>
        <v>500</v>
      </c>
      <c r="D17">
        <f>[3]黑熊精!$D$17</f>
        <v>1076</v>
      </c>
      <c r="E17">
        <f>[3]黑熊精!$E$17</f>
        <v>357</v>
      </c>
      <c r="F17">
        <f>ROUND([3]黑熊精!$F$17*1000,0)</f>
        <v>0</v>
      </c>
      <c r="G17">
        <f>ROUND([3]黑熊精!$H$17*100,0)</f>
        <v>100</v>
      </c>
      <c r="H17">
        <f>[3]黑熊精!$I$17</f>
        <v>232</v>
      </c>
      <c r="I17">
        <f>[3]黑熊精!$J$17</f>
        <v>323</v>
      </c>
      <c r="J17">
        <f>[3]黑熊精!$V$17</f>
        <v>1</v>
      </c>
      <c r="K17">
        <f>[3]黑熊精!$Y$17</f>
        <v>1.6400000000000006</v>
      </c>
      <c r="L17">
        <f>[3]黑熊精!$Z$17</f>
        <v>0</v>
      </c>
    </row>
    <row r="18" spans="1:12" x14ac:dyDescent="0.15">
      <c r="A18">
        <v>17</v>
      </c>
      <c r="B18">
        <f>[3]黑熊精!$C$18</f>
        <v>3900</v>
      </c>
      <c r="C18">
        <f t="shared" si="0"/>
        <v>550</v>
      </c>
      <c r="D18">
        <f>[3]黑熊精!$D$18</f>
        <v>1267</v>
      </c>
      <c r="E18">
        <f>[3]黑熊精!$E$18</f>
        <v>406</v>
      </c>
      <c r="F18">
        <f>ROUND([3]黑熊精!$F$18*1000,0)</f>
        <v>0</v>
      </c>
      <c r="G18">
        <f>ROUND([3]黑熊精!$H$18*100,0)</f>
        <v>100</v>
      </c>
      <c r="H18">
        <f>[3]黑熊精!$I$18</f>
        <v>263</v>
      </c>
      <c r="I18">
        <f>[3]黑熊精!$J$18</f>
        <v>380</v>
      </c>
      <c r="J18">
        <f>[3]黑熊精!$V$18</f>
        <v>1</v>
      </c>
      <c r="K18">
        <f>[3]黑熊精!$Y$18</f>
        <v>1.7500000000000007</v>
      </c>
      <c r="L18">
        <f>[3]黑熊精!$Z$18</f>
        <v>0</v>
      </c>
    </row>
    <row r="19" spans="1:12" x14ac:dyDescent="0.15">
      <c r="A19">
        <v>18</v>
      </c>
      <c r="B19">
        <f>[3]黑熊精!$C$19</f>
        <v>4550</v>
      </c>
      <c r="C19">
        <f t="shared" si="0"/>
        <v>650</v>
      </c>
      <c r="D19">
        <f>[3]黑熊精!$D$19</f>
        <v>1498</v>
      </c>
      <c r="E19">
        <f>[3]黑熊精!$E$19</f>
        <v>461</v>
      </c>
      <c r="F19">
        <f>ROUND([3]黑熊精!$F$19*1000,0)</f>
        <v>0</v>
      </c>
      <c r="G19">
        <f>ROUND([3]黑熊精!$H$19*100,0)</f>
        <v>100</v>
      </c>
      <c r="H19">
        <f>[3]黑熊精!$I$19</f>
        <v>298</v>
      </c>
      <c r="I19">
        <f>[3]黑熊精!$J$19</f>
        <v>449</v>
      </c>
      <c r="J19">
        <f>[3]黑熊精!$V$19</f>
        <v>1</v>
      </c>
      <c r="K19">
        <f>[3]黑熊精!$Y$19</f>
        <v>1.8800000000000008</v>
      </c>
      <c r="L19">
        <f>[3]黑熊精!$Z$19</f>
        <v>0</v>
      </c>
    </row>
    <row r="20" spans="1:12" x14ac:dyDescent="0.15">
      <c r="A20">
        <v>19</v>
      </c>
      <c r="B20">
        <f>[3]黑熊精!$C$20</f>
        <v>5500</v>
      </c>
      <c r="C20">
        <f t="shared" si="0"/>
        <v>950</v>
      </c>
      <c r="D20">
        <f>[3]黑熊精!$D$20</f>
        <v>2147</v>
      </c>
      <c r="E20">
        <f>[3]黑熊精!$E$20</f>
        <v>522</v>
      </c>
      <c r="F20">
        <f>ROUND([3]黑熊精!$F$20*1000,0)</f>
        <v>0</v>
      </c>
      <c r="G20">
        <f>ROUND([3]黑熊精!$H$20*100,0)</f>
        <v>100</v>
      </c>
      <c r="H20">
        <f>[3]黑熊精!$I$20</f>
        <v>337</v>
      </c>
      <c r="I20">
        <f>[3]黑熊精!$J$20</f>
        <v>644</v>
      </c>
      <c r="J20">
        <f>[3]黑熊精!$V$20</f>
        <v>1</v>
      </c>
      <c r="K20">
        <f>[3]黑熊精!$Y$20</f>
        <v>2.0699999999999994</v>
      </c>
      <c r="L20">
        <f>[3]黑熊精!$Z$20</f>
        <v>0</v>
      </c>
    </row>
    <row r="21" spans="1:12" x14ac:dyDescent="0.15">
      <c r="A21">
        <v>20</v>
      </c>
      <c r="B21">
        <f>[3]黑熊精!$C$21</f>
        <v>6600</v>
      </c>
      <c r="C21">
        <f t="shared" si="0"/>
        <v>1100</v>
      </c>
      <c r="D21">
        <f>[3]黑熊精!$D$21</f>
        <v>2861</v>
      </c>
      <c r="E21">
        <f>[3]黑熊精!$E$21</f>
        <v>650</v>
      </c>
      <c r="F21">
        <f>ROUND([3]黑熊精!$F$21*1000,0)</f>
        <v>0</v>
      </c>
      <c r="G21">
        <f>ROUND([3]黑熊精!$H$21*100,0)</f>
        <v>100</v>
      </c>
      <c r="H21">
        <f>[3]黑熊精!$I$21</f>
        <v>380</v>
      </c>
      <c r="I21">
        <f>[3]黑熊精!$J$21</f>
        <v>858</v>
      </c>
      <c r="J21">
        <f>[3]黑熊精!$V$21</f>
        <v>1</v>
      </c>
      <c r="K21">
        <f>[3]黑熊精!$Y$21</f>
        <v>2.3899999999999926</v>
      </c>
      <c r="L21">
        <f>[3]黑熊精!$Z$21</f>
        <v>0</v>
      </c>
    </row>
    <row r="22" spans="1:12" x14ac:dyDescent="0.15">
      <c r="A22">
        <v>21</v>
      </c>
      <c r="B22">
        <f>[3]黑熊精!$C$22</f>
        <v>9450</v>
      </c>
      <c r="C22">
        <f t="shared" si="0"/>
        <v>2850</v>
      </c>
      <c r="D22">
        <f>[3]黑熊精!$D$22</f>
        <v>4004</v>
      </c>
      <c r="E22">
        <f>[3]黑熊精!$E$22</f>
        <v>764</v>
      </c>
      <c r="F22">
        <f>ROUND([3]黑熊精!$F$22*1000,0)</f>
        <v>0</v>
      </c>
      <c r="G22">
        <f>ROUND([3]黑熊精!$H$22*100,0)</f>
        <v>100</v>
      </c>
      <c r="H22">
        <f>[3]黑熊精!$I$22</f>
        <v>447</v>
      </c>
      <c r="I22">
        <f>[3]黑熊精!$J$22</f>
        <v>1201</v>
      </c>
      <c r="J22">
        <f>[3]黑熊精!$V$22</f>
        <v>1</v>
      </c>
      <c r="K22">
        <f>[3]黑熊精!$Y$22</f>
        <v>2.8599999999999826</v>
      </c>
      <c r="L22">
        <f>[3]黑熊精!$Z$22</f>
        <v>335</v>
      </c>
    </row>
    <row r="23" spans="1:12" x14ac:dyDescent="0.15">
      <c r="A23">
        <v>22</v>
      </c>
      <c r="B23">
        <f>[3]黑熊精!$C$23</f>
        <v>12800</v>
      </c>
      <c r="C23">
        <f t="shared" si="0"/>
        <v>3350</v>
      </c>
      <c r="D23">
        <f>[3]黑熊精!$D$23</f>
        <v>6105</v>
      </c>
      <c r="E23">
        <f>[3]黑熊精!$E$23</f>
        <v>1032</v>
      </c>
      <c r="F23">
        <f>ROUND([3]黑熊精!$F$23*1000,0)</f>
        <v>0</v>
      </c>
      <c r="G23">
        <f>ROUND([3]黑熊精!$H$23*100,0)</f>
        <v>100</v>
      </c>
      <c r="H23">
        <f>[3]黑熊精!$I$23</f>
        <v>551</v>
      </c>
      <c r="I23">
        <f>[3]黑熊精!$J$23</f>
        <v>1832</v>
      </c>
      <c r="J23">
        <f>[3]黑熊精!$V$23</f>
        <v>1</v>
      </c>
      <c r="K23">
        <f>[3]黑熊精!$Y$23</f>
        <v>3.5299999999999683</v>
      </c>
      <c r="L23">
        <f>[3]黑熊精!$Z$23</f>
        <v>460</v>
      </c>
    </row>
    <row r="24" spans="1:12" x14ac:dyDescent="0.15">
      <c r="A24">
        <v>23</v>
      </c>
      <c r="B24">
        <f>[3]黑熊精!$C$24</f>
        <v>17400</v>
      </c>
      <c r="C24">
        <f t="shared" si="0"/>
        <v>4600</v>
      </c>
      <c r="D24">
        <f>[3]黑熊精!$D$24</f>
        <v>8343</v>
      </c>
      <c r="E24">
        <f>[3]黑熊精!$E$24</f>
        <v>1400</v>
      </c>
      <c r="F24">
        <f>ROUND([3]黑熊精!$F$24*1000,0)</f>
        <v>0</v>
      </c>
      <c r="G24">
        <f>ROUND([3]黑熊精!$H$24*100,0)</f>
        <v>100</v>
      </c>
      <c r="H24">
        <f>[3]黑熊精!$I$24</f>
        <v>712</v>
      </c>
      <c r="I24">
        <f>[3]黑熊精!$J$24</f>
        <v>2503</v>
      </c>
      <c r="J24">
        <f>[3]黑熊精!$V$24</f>
        <v>1</v>
      </c>
      <c r="K24">
        <f>[3]黑熊精!$Y$24</f>
        <v>4.4499999999999487</v>
      </c>
      <c r="L24">
        <f>[3]黑熊精!$Z$24</f>
        <v>585</v>
      </c>
    </row>
    <row r="25" spans="1:12" x14ac:dyDescent="0.15">
      <c r="A25">
        <v>24</v>
      </c>
      <c r="B25">
        <f>[3]黑熊精!$C$25</f>
        <v>23250</v>
      </c>
      <c r="C25">
        <f t="shared" si="0"/>
        <v>5850</v>
      </c>
      <c r="D25">
        <f>[3]黑熊精!$D$25</f>
        <v>11138</v>
      </c>
      <c r="E25">
        <f>[3]黑熊精!$E$25</f>
        <v>1868</v>
      </c>
      <c r="F25">
        <f>ROUND([3]黑熊精!$F$25*1000,0)</f>
        <v>0</v>
      </c>
      <c r="G25">
        <f>ROUND([3]黑熊精!$H$25*100,0)</f>
        <v>100</v>
      </c>
      <c r="H25">
        <f>[3]黑熊精!$I$25</f>
        <v>962</v>
      </c>
      <c r="I25">
        <f>[3]黑熊精!$J$25</f>
        <v>3341</v>
      </c>
      <c r="J25">
        <f>[3]黑熊精!$V$25</f>
        <v>1</v>
      </c>
      <c r="K25">
        <f>[3]黑熊精!$Y$25</f>
        <v>5.6199999999999237</v>
      </c>
      <c r="L25">
        <f>[3]黑熊精!$Z$25</f>
        <v>750</v>
      </c>
    </row>
    <row r="26" spans="1:12" x14ac:dyDescent="0.15">
      <c r="A26">
        <v>25</v>
      </c>
      <c r="B26">
        <f>[3]黑熊精!$C$26</f>
        <v>30750</v>
      </c>
      <c r="C26">
        <f t="shared" si="0"/>
        <v>7500</v>
      </c>
      <c r="D26">
        <f>[3]黑熊精!$D$26</f>
        <v>14647</v>
      </c>
      <c r="E26">
        <f>[3]黑熊精!$E$26</f>
        <v>2468</v>
      </c>
      <c r="F26">
        <f>ROUND([3]黑熊精!$F$26*1000,0)</f>
        <v>0</v>
      </c>
      <c r="G26">
        <f>ROUND([3]黑熊精!$H$26*100,0)</f>
        <v>100</v>
      </c>
      <c r="H26">
        <f>[3]黑熊精!$I$26</f>
        <v>1350</v>
      </c>
      <c r="I26">
        <f>[3]黑熊精!$J$26</f>
        <v>4394</v>
      </c>
      <c r="J26">
        <f>[3]黑熊精!$V$26</f>
        <v>1</v>
      </c>
      <c r="K26">
        <f>[3]黑熊精!$Y$26</f>
        <v>7.1199999999998917</v>
      </c>
      <c r="L26">
        <f>[3]黑熊精!$Z$26</f>
        <v>1000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[3]虎先锋!$C$2</f>
        <v>50</v>
      </c>
      <c r="C2">
        <f>B2-0</f>
        <v>50</v>
      </c>
      <c r="D2">
        <f>[3]虎先锋!$D$2</f>
        <v>28</v>
      </c>
      <c r="E2">
        <f>[3]虎先锋!$E$2</f>
        <v>8</v>
      </c>
      <c r="F2">
        <f>ROUND([3]虎先锋!$F$2 *1000,0)</f>
        <v>100</v>
      </c>
      <c r="G2">
        <f>ROUND([3]虎先锋!$H$2 *100,0)</f>
        <v>100</v>
      </c>
      <c r="H2">
        <f>[3]虎先锋!$I$2</f>
        <v>8</v>
      </c>
      <c r="I2">
        <f>[3]虎先锋!$J$2</f>
        <v>8</v>
      </c>
      <c r="J2">
        <f>[3]虎先锋!$V$2</f>
        <v>1</v>
      </c>
      <c r="K2">
        <f>[3]虎先锋!$Y$2</f>
        <v>1</v>
      </c>
      <c r="L2">
        <f>[3]虎先锋!$Z$2</f>
        <v>0</v>
      </c>
    </row>
    <row r="3" spans="1:12" x14ac:dyDescent="0.15">
      <c r="A3">
        <v>2</v>
      </c>
      <c r="B3">
        <f>[3]虎先锋!$C$3</f>
        <v>100</v>
      </c>
      <c r="C3">
        <f>B3-B2</f>
        <v>50</v>
      </c>
      <c r="D3">
        <f>[3]虎先锋!$D$3</f>
        <v>31</v>
      </c>
      <c r="E3">
        <f>[3]虎先锋!$E$3</f>
        <v>13</v>
      </c>
      <c r="F3">
        <f>ROUND([3]虎先锋!$F$3 *1000,0)</f>
        <v>100</v>
      </c>
      <c r="G3">
        <f>ROUND([3]虎先锋!$H$3 *100,0)</f>
        <v>100</v>
      </c>
      <c r="H3">
        <f>[3]虎先锋!$I$3</f>
        <v>12</v>
      </c>
      <c r="I3">
        <f>[3]虎先锋!$J$3</f>
        <v>9</v>
      </c>
      <c r="J3">
        <f>[3]虎先锋!$V$3</f>
        <v>1</v>
      </c>
      <c r="K3">
        <f>[3]虎先锋!$Y$3</f>
        <v>1</v>
      </c>
      <c r="L3">
        <f>[3]虎先锋!$Z$3</f>
        <v>0</v>
      </c>
    </row>
    <row r="4" spans="1:12" x14ac:dyDescent="0.15">
      <c r="A4">
        <v>3</v>
      </c>
      <c r="B4">
        <f>[3]虎先锋!$C$4</f>
        <v>150</v>
      </c>
      <c r="C4">
        <f t="shared" ref="C4:C26" si="0">B4-B3</f>
        <v>50</v>
      </c>
      <c r="D4">
        <f>[3]虎先锋!$D$4</f>
        <v>32</v>
      </c>
      <c r="E4">
        <f>[3]虎先锋!$E$4</f>
        <v>20</v>
      </c>
      <c r="F4">
        <f>ROUND([3]虎先锋!$F$4 *1000,0)</f>
        <v>100</v>
      </c>
      <c r="G4">
        <f>ROUND([3]虎先锋!$H$4 *100,0)</f>
        <v>100</v>
      </c>
      <c r="H4">
        <f>[3]虎先锋!$I$4</f>
        <v>16</v>
      </c>
      <c r="I4">
        <f>[3]虎先锋!$J$4</f>
        <v>10</v>
      </c>
      <c r="J4">
        <f>[3]虎先锋!$V$4</f>
        <v>1</v>
      </c>
      <c r="K4">
        <f>[3]虎先锋!$Y$4</f>
        <v>1</v>
      </c>
      <c r="L4">
        <f>[3]虎先锋!$Z$4</f>
        <v>0</v>
      </c>
    </row>
    <row r="5" spans="1:12" x14ac:dyDescent="0.15">
      <c r="A5">
        <v>4</v>
      </c>
      <c r="B5">
        <f>[3]虎先锋!$C$5</f>
        <v>250</v>
      </c>
      <c r="C5">
        <f t="shared" si="0"/>
        <v>100</v>
      </c>
      <c r="D5">
        <f>[3]虎先锋!$D$5</f>
        <v>45</v>
      </c>
      <c r="E5">
        <f>[3]虎先锋!$E$5</f>
        <v>30</v>
      </c>
      <c r="F5">
        <f>ROUND([3]虎先锋!$F$5 *1000,0)</f>
        <v>100</v>
      </c>
      <c r="G5">
        <f>ROUND([3]虎先锋!$H$5 *100,0)</f>
        <v>100</v>
      </c>
      <c r="H5">
        <f>[3]虎先锋!$I$5</f>
        <v>20</v>
      </c>
      <c r="I5">
        <f>[3]虎先锋!$J$5</f>
        <v>14</v>
      </c>
      <c r="J5">
        <f>[3]虎先锋!$V$5</f>
        <v>1</v>
      </c>
      <c r="K5">
        <f>[3]虎先锋!$Y$5</f>
        <v>1.02</v>
      </c>
      <c r="L5">
        <f>[3]虎先锋!$Z$5</f>
        <v>0</v>
      </c>
    </row>
    <row r="6" spans="1:12" x14ac:dyDescent="0.15">
      <c r="A6">
        <v>5</v>
      </c>
      <c r="B6">
        <f>[3]虎先锋!$C$6</f>
        <v>350</v>
      </c>
      <c r="C6">
        <f t="shared" si="0"/>
        <v>100</v>
      </c>
      <c r="D6">
        <f>[3]虎先锋!$D$6</f>
        <v>54</v>
      </c>
      <c r="E6">
        <f>[3]虎先锋!$E$6</f>
        <v>43</v>
      </c>
      <c r="F6">
        <f>ROUND([3]虎先锋!$F$6 *1000,0)</f>
        <v>100</v>
      </c>
      <c r="G6">
        <f>ROUND([3]虎先锋!$H$6 *100,0)</f>
        <v>100</v>
      </c>
      <c r="H6">
        <f>[3]虎先锋!$I$6</f>
        <v>24</v>
      </c>
      <c r="I6">
        <f>[3]虎先锋!$J$6</f>
        <v>16</v>
      </c>
      <c r="J6">
        <f>[3]虎先锋!$V$6</f>
        <v>1</v>
      </c>
      <c r="K6">
        <f>[3]虎先锋!$Y$6</f>
        <v>1.04</v>
      </c>
      <c r="L6">
        <f>[3]虎先锋!$Z$6</f>
        <v>0</v>
      </c>
    </row>
    <row r="7" spans="1:12" x14ac:dyDescent="0.15">
      <c r="A7">
        <v>6</v>
      </c>
      <c r="B7">
        <f>[3]虎先锋!$C$7</f>
        <v>500</v>
      </c>
      <c r="C7">
        <f t="shared" si="0"/>
        <v>150</v>
      </c>
      <c r="D7">
        <f>[3]虎先锋!$D$7</f>
        <v>60</v>
      </c>
      <c r="E7">
        <f>[3]虎先锋!$E$7</f>
        <v>68</v>
      </c>
      <c r="F7">
        <f>ROUND([3]虎先锋!$F$7 *1000,0)</f>
        <v>100</v>
      </c>
      <c r="G7">
        <f>ROUND([3]虎先锋!$H$7 *100,0)</f>
        <v>100</v>
      </c>
      <c r="H7">
        <f>[3]虎先锋!$I$7</f>
        <v>29</v>
      </c>
      <c r="I7">
        <f>[3]虎先锋!$J$7</f>
        <v>18</v>
      </c>
      <c r="J7">
        <f>[3]虎先锋!$V$7</f>
        <v>1</v>
      </c>
      <c r="K7">
        <f>[3]虎先锋!$Y$7</f>
        <v>1.07</v>
      </c>
      <c r="L7">
        <f>[3]虎先锋!$Z$7</f>
        <v>0</v>
      </c>
    </row>
    <row r="8" spans="1:12" x14ac:dyDescent="0.15">
      <c r="A8">
        <v>7</v>
      </c>
      <c r="B8">
        <f>[3]虎先锋!$C$8</f>
        <v>650</v>
      </c>
      <c r="C8">
        <f t="shared" si="0"/>
        <v>150</v>
      </c>
      <c r="D8">
        <f>[3]虎先锋!$D$8</f>
        <v>65</v>
      </c>
      <c r="E8">
        <f>[3]虎先锋!$E$8</f>
        <v>90</v>
      </c>
      <c r="F8">
        <f>ROUND([3]虎先锋!$F$8 *1000,0)</f>
        <v>101</v>
      </c>
      <c r="G8">
        <f>ROUND([3]虎先锋!$H$8 *100,0)</f>
        <v>100</v>
      </c>
      <c r="H8">
        <f>[3]虎先锋!$I$8</f>
        <v>38</v>
      </c>
      <c r="I8">
        <f>[3]虎先锋!$J$8</f>
        <v>20</v>
      </c>
      <c r="J8">
        <f>[3]虎先锋!$V$8</f>
        <v>1</v>
      </c>
      <c r="K8">
        <f>[3]虎先锋!$Y$8</f>
        <v>1.1000000000000001</v>
      </c>
      <c r="L8">
        <f>[3]虎先锋!$Z$8</f>
        <v>0</v>
      </c>
    </row>
    <row r="9" spans="1:12" x14ac:dyDescent="0.15">
      <c r="A9">
        <v>8</v>
      </c>
      <c r="B9">
        <f>[3]虎先锋!$C$9</f>
        <v>850</v>
      </c>
      <c r="C9">
        <f t="shared" si="0"/>
        <v>200</v>
      </c>
      <c r="D9">
        <f>[3]虎先锋!$D$9</f>
        <v>77</v>
      </c>
      <c r="E9">
        <f>[3]虎先锋!$E$9</f>
        <v>147</v>
      </c>
      <c r="F9">
        <f>ROUND([3]虎先锋!$F$9 *1000,0)</f>
        <v>101</v>
      </c>
      <c r="G9">
        <f>ROUND([3]虎先锋!$H$9 *100,0)</f>
        <v>100</v>
      </c>
      <c r="H9">
        <f>[3]虎先锋!$I$9</f>
        <v>48</v>
      </c>
      <c r="I9">
        <f>[3]虎先锋!$J$9</f>
        <v>23</v>
      </c>
      <c r="J9">
        <f>[3]虎先锋!$V$9</f>
        <v>1</v>
      </c>
      <c r="K9">
        <f>[3]虎先锋!$Y$9</f>
        <v>1.1400000000000001</v>
      </c>
      <c r="L9">
        <f>[3]虎先锋!$Z$9</f>
        <v>0</v>
      </c>
    </row>
    <row r="10" spans="1:12" x14ac:dyDescent="0.15">
      <c r="A10">
        <v>9</v>
      </c>
      <c r="B10">
        <f>[3]虎先锋!$C$10</f>
        <v>1050</v>
      </c>
      <c r="C10">
        <f t="shared" si="0"/>
        <v>200</v>
      </c>
      <c r="D10">
        <f>[3]虎先锋!$D$10</f>
        <v>87</v>
      </c>
      <c r="E10">
        <f>[3]虎先锋!$E$10</f>
        <v>185</v>
      </c>
      <c r="F10">
        <f>ROUND([3]虎先锋!$F$10*1000,0)</f>
        <v>101</v>
      </c>
      <c r="G10">
        <f>ROUND([3]虎先锋!$H$10*100,0)</f>
        <v>100</v>
      </c>
      <c r="H10">
        <f>[3]虎先锋!$I$10</f>
        <v>55</v>
      </c>
      <c r="I10">
        <f>[3]虎先锋!$J$10</f>
        <v>26</v>
      </c>
      <c r="J10">
        <f>[3]虎先锋!$V$10</f>
        <v>1</v>
      </c>
      <c r="K10">
        <f>[3]虎先锋!$Y$10</f>
        <v>1.1800000000000002</v>
      </c>
      <c r="L10">
        <f>[3]虎先锋!$Z$10</f>
        <v>0</v>
      </c>
    </row>
    <row r="11" spans="1:12" x14ac:dyDescent="0.15">
      <c r="A11">
        <v>10</v>
      </c>
      <c r="B11">
        <f>[3]虎先锋!$C$11</f>
        <v>1250</v>
      </c>
      <c r="C11">
        <f t="shared" si="0"/>
        <v>200</v>
      </c>
      <c r="D11">
        <f>[3]虎先锋!$D$11</f>
        <v>93</v>
      </c>
      <c r="E11">
        <f>[3]虎先锋!$E$11</f>
        <v>208</v>
      </c>
      <c r="F11">
        <f>ROUND([3]虎先锋!$F$11*1000,0)</f>
        <v>101</v>
      </c>
      <c r="G11">
        <f>ROUND([3]虎先锋!$H$11*100,0)</f>
        <v>120</v>
      </c>
      <c r="H11">
        <f>[3]虎先锋!$I$11</f>
        <v>59</v>
      </c>
      <c r="I11">
        <f>[3]虎先锋!$J$11</f>
        <v>28</v>
      </c>
      <c r="J11">
        <f>[3]虎先锋!$V$11</f>
        <v>1</v>
      </c>
      <c r="K11">
        <f>[3]虎先锋!$Y$11</f>
        <v>1.2200000000000002</v>
      </c>
      <c r="L11">
        <f>[3]虎先锋!$Z$11</f>
        <v>0</v>
      </c>
    </row>
    <row r="12" spans="1:12" x14ac:dyDescent="0.15">
      <c r="A12">
        <v>11</v>
      </c>
      <c r="B12">
        <f>[3]虎先锋!$C$12</f>
        <v>1500</v>
      </c>
      <c r="C12">
        <f t="shared" si="0"/>
        <v>250</v>
      </c>
      <c r="D12">
        <f>[3]虎先锋!$D$12</f>
        <v>177</v>
      </c>
      <c r="E12">
        <f>[3]虎先锋!$E$12</f>
        <v>251</v>
      </c>
      <c r="F12">
        <f>ROUND([3]虎先锋!$F$12*1000,0)</f>
        <v>101</v>
      </c>
      <c r="G12">
        <f>ROUND([3]虎先锋!$H$12*100,0)</f>
        <v>120</v>
      </c>
      <c r="H12">
        <f>[3]虎先锋!$I$12</f>
        <v>69</v>
      </c>
      <c r="I12">
        <f>[3]虎先锋!$J$12</f>
        <v>53</v>
      </c>
      <c r="J12">
        <f>[3]虎先锋!$V$12</f>
        <v>1</v>
      </c>
      <c r="K12">
        <f>[3]虎先锋!$Y$12</f>
        <v>1.2700000000000002</v>
      </c>
      <c r="L12">
        <f>[3]虎先锋!$Z$12</f>
        <v>0</v>
      </c>
    </row>
    <row r="13" spans="1:12" x14ac:dyDescent="0.15">
      <c r="A13">
        <v>12</v>
      </c>
      <c r="B13">
        <f>[3]虎先锋!$C$13</f>
        <v>1750</v>
      </c>
      <c r="C13">
        <f t="shared" si="0"/>
        <v>250</v>
      </c>
      <c r="D13">
        <f>[3]虎先锋!$D$13</f>
        <v>200</v>
      </c>
      <c r="E13">
        <f>[3]虎先锋!$E$13</f>
        <v>293</v>
      </c>
      <c r="F13">
        <f>ROUND([3]虎先锋!$F$13*1000,0)</f>
        <v>102</v>
      </c>
      <c r="G13">
        <f>ROUND([3]虎先锋!$H$13*100,0)</f>
        <v>120</v>
      </c>
      <c r="H13">
        <f>[3]虎先锋!$I$13</f>
        <v>80</v>
      </c>
      <c r="I13">
        <f>[3]虎先锋!$J$13</f>
        <v>60</v>
      </c>
      <c r="J13">
        <f>[3]虎先锋!$V$13</f>
        <v>1</v>
      </c>
      <c r="K13">
        <f>[3]虎先锋!$Y$13</f>
        <v>1.3200000000000003</v>
      </c>
      <c r="L13">
        <f>[3]虎先锋!$Z$13</f>
        <v>0</v>
      </c>
    </row>
    <row r="14" spans="1:12" x14ac:dyDescent="0.15">
      <c r="A14">
        <v>13</v>
      </c>
      <c r="B14">
        <f>[3]虎先锋!$C$14</f>
        <v>2050</v>
      </c>
      <c r="C14">
        <f t="shared" si="0"/>
        <v>300</v>
      </c>
      <c r="D14">
        <f>[3]虎先锋!$D$14</f>
        <v>234</v>
      </c>
      <c r="E14">
        <f>[3]虎先锋!$E$14</f>
        <v>340</v>
      </c>
      <c r="F14">
        <f>ROUND([3]虎先锋!$F$14*1000,0)</f>
        <v>102</v>
      </c>
      <c r="G14">
        <f>ROUND([3]虎先锋!$H$14*100,0)</f>
        <v>120</v>
      </c>
      <c r="H14">
        <f>[3]虎先锋!$I$14</f>
        <v>92</v>
      </c>
      <c r="I14">
        <f>[3]虎先锋!$J$14</f>
        <v>70</v>
      </c>
      <c r="J14">
        <f>[3]虎先锋!$V$14</f>
        <v>1</v>
      </c>
      <c r="K14">
        <f>[3]虎先锋!$Y$14</f>
        <v>1.3800000000000003</v>
      </c>
      <c r="L14">
        <f>[3]虎先锋!$Z$14</f>
        <v>0</v>
      </c>
    </row>
    <row r="15" spans="1:12" x14ac:dyDescent="0.15">
      <c r="A15">
        <v>14</v>
      </c>
      <c r="B15">
        <f>[3]虎先锋!$C$15</f>
        <v>2400</v>
      </c>
      <c r="C15">
        <f t="shared" si="0"/>
        <v>350</v>
      </c>
      <c r="D15">
        <f>[3]虎先锋!$D$15</f>
        <v>394</v>
      </c>
      <c r="E15">
        <f>[3]虎先锋!$E$15</f>
        <v>392</v>
      </c>
      <c r="F15">
        <f>ROUND([3]虎先锋!$F$15*1000,0)</f>
        <v>102</v>
      </c>
      <c r="G15">
        <f>ROUND([3]虎先锋!$H$15*100,0)</f>
        <v>120</v>
      </c>
      <c r="H15">
        <f>[3]虎先锋!$I$15</f>
        <v>105</v>
      </c>
      <c r="I15">
        <f>[3]虎先锋!$J$15</f>
        <v>118</v>
      </c>
      <c r="J15">
        <f>[3]虎先锋!$V$15</f>
        <v>1</v>
      </c>
      <c r="K15">
        <f>[3]虎先锋!$Y$15</f>
        <v>1.4500000000000004</v>
      </c>
      <c r="L15">
        <f>[3]虎先锋!$Z$15</f>
        <v>0</v>
      </c>
    </row>
    <row r="16" spans="1:12" x14ac:dyDescent="0.15">
      <c r="A16">
        <v>15</v>
      </c>
      <c r="B16">
        <f>[3]虎先锋!$C$16</f>
        <v>2850</v>
      </c>
      <c r="C16">
        <f t="shared" si="0"/>
        <v>450</v>
      </c>
      <c r="D16">
        <f>[3]虎先锋!$D$16</f>
        <v>490</v>
      </c>
      <c r="E16">
        <f>[3]虎先锋!$E$16</f>
        <v>450</v>
      </c>
      <c r="F16">
        <f>ROUND([3]虎先锋!$F$16*1000,0)</f>
        <v>103</v>
      </c>
      <c r="G16">
        <f>ROUND([3]虎先锋!$H$16*100,0)</f>
        <v>120</v>
      </c>
      <c r="H16">
        <f>[3]虎先锋!$I$16</f>
        <v>120</v>
      </c>
      <c r="I16">
        <f>[3]虎先锋!$J$16</f>
        <v>147</v>
      </c>
      <c r="J16">
        <f>[3]虎先锋!$V$16</f>
        <v>1</v>
      </c>
      <c r="K16">
        <f>[3]虎先锋!$Y$16</f>
        <v>1.5400000000000005</v>
      </c>
      <c r="L16">
        <f>[3]虎先锋!$Z$16</f>
        <v>0</v>
      </c>
    </row>
    <row r="17" spans="1:12" x14ac:dyDescent="0.15">
      <c r="A17">
        <v>16</v>
      </c>
      <c r="B17">
        <f>[3]虎先锋!$C$17</f>
        <v>3350</v>
      </c>
      <c r="C17">
        <f t="shared" si="0"/>
        <v>500</v>
      </c>
      <c r="D17">
        <f>[3]虎先锋!$D$17</f>
        <v>755</v>
      </c>
      <c r="E17">
        <f>[3]虎先锋!$E$17</f>
        <v>514</v>
      </c>
      <c r="F17">
        <f>ROUND([3]虎先锋!$F$17*1000,0)</f>
        <v>103</v>
      </c>
      <c r="G17">
        <f>ROUND([3]虎先锋!$H$17*100,0)</f>
        <v>120</v>
      </c>
      <c r="H17">
        <f>[3]虎先锋!$I$17</f>
        <v>137</v>
      </c>
      <c r="I17">
        <f>[3]虎先锋!$J$17</f>
        <v>227</v>
      </c>
      <c r="J17">
        <f>[3]虎先锋!$V$17</f>
        <v>1</v>
      </c>
      <c r="K17">
        <f>[3]虎先锋!$Y$17</f>
        <v>1.6400000000000006</v>
      </c>
      <c r="L17">
        <f>[3]虎先锋!$Z$17</f>
        <v>0</v>
      </c>
    </row>
    <row r="18" spans="1:12" x14ac:dyDescent="0.15">
      <c r="A18">
        <v>17</v>
      </c>
      <c r="B18">
        <f>[3]虎先锋!$C$18</f>
        <v>3900</v>
      </c>
      <c r="C18">
        <f t="shared" si="0"/>
        <v>550</v>
      </c>
      <c r="D18">
        <f>[3]虎先锋!$D$18</f>
        <v>897</v>
      </c>
      <c r="E18">
        <f>[3]虎先锋!$E$18</f>
        <v>585</v>
      </c>
      <c r="F18">
        <f>ROUND([3]虎先锋!$F$18*1000,0)</f>
        <v>104</v>
      </c>
      <c r="G18">
        <f>ROUND([3]虎先锋!$H$18*100,0)</f>
        <v>120</v>
      </c>
      <c r="H18">
        <f>[3]虎先锋!$I$18</f>
        <v>156</v>
      </c>
      <c r="I18">
        <f>[3]虎先锋!$J$18</f>
        <v>269</v>
      </c>
      <c r="J18">
        <f>[3]虎先锋!$V$18</f>
        <v>1</v>
      </c>
      <c r="K18">
        <f>[3]虎先锋!$Y$18</f>
        <v>1.7500000000000007</v>
      </c>
      <c r="L18">
        <f>[3]虎先锋!$Z$18</f>
        <v>0</v>
      </c>
    </row>
    <row r="19" spans="1:12" x14ac:dyDescent="0.15">
      <c r="A19">
        <v>18</v>
      </c>
      <c r="B19">
        <f>[3]虎先锋!$C$19</f>
        <v>4550</v>
      </c>
      <c r="C19">
        <f t="shared" si="0"/>
        <v>650</v>
      </c>
      <c r="D19">
        <f>[3]虎先锋!$D$19</f>
        <v>1073</v>
      </c>
      <c r="E19">
        <f>[3]虎先锋!$E$19</f>
        <v>664</v>
      </c>
      <c r="F19">
        <f>ROUND([3]虎先锋!$F$19*1000,0)</f>
        <v>105</v>
      </c>
      <c r="G19">
        <f>ROUND([3]虎先锋!$H$19*100,0)</f>
        <v>120</v>
      </c>
      <c r="H19">
        <f>[3]虎先锋!$I$19</f>
        <v>177</v>
      </c>
      <c r="I19">
        <f>[3]虎先锋!$J$19</f>
        <v>322</v>
      </c>
      <c r="J19">
        <f>[3]虎先锋!$V$19</f>
        <v>1</v>
      </c>
      <c r="K19">
        <f>[3]虎先锋!$Y$19</f>
        <v>1.8800000000000008</v>
      </c>
      <c r="L19">
        <f>[3]虎先锋!$Z$19</f>
        <v>0</v>
      </c>
    </row>
    <row r="20" spans="1:12" x14ac:dyDescent="0.15">
      <c r="A20">
        <v>19</v>
      </c>
      <c r="B20">
        <f>[3]虎先锋!$C$20</f>
        <v>5500</v>
      </c>
      <c r="C20">
        <f t="shared" si="0"/>
        <v>950</v>
      </c>
      <c r="D20">
        <f>[3]虎先锋!$D$20</f>
        <v>1643</v>
      </c>
      <c r="E20">
        <f>[3]虎先锋!$E$20</f>
        <v>752</v>
      </c>
      <c r="F20">
        <f>ROUND([3]虎先锋!$F$20*1000,0)</f>
        <v>105</v>
      </c>
      <c r="G20">
        <f>ROUND([3]虎先锋!$H$20*100,0)</f>
        <v>120</v>
      </c>
      <c r="H20">
        <f>[3]虎先锋!$I$20</f>
        <v>200</v>
      </c>
      <c r="I20">
        <f>[3]虎先锋!$J$20</f>
        <v>493</v>
      </c>
      <c r="J20">
        <f>[3]虎先锋!$V$20</f>
        <v>1</v>
      </c>
      <c r="K20">
        <f>[3]虎先锋!$Y$20</f>
        <v>2.0699999999999994</v>
      </c>
      <c r="L20">
        <f>[3]虎先锋!$Z$20</f>
        <v>0</v>
      </c>
    </row>
    <row r="21" spans="1:12" x14ac:dyDescent="0.15">
      <c r="A21">
        <v>20</v>
      </c>
      <c r="B21">
        <f>[3]虎先锋!$C$21</f>
        <v>6600</v>
      </c>
      <c r="C21">
        <f t="shared" si="0"/>
        <v>1100</v>
      </c>
      <c r="D21">
        <f>[3]虎先锋!$D$21</f>
        <v>2075</v>
      </c>
      <c r="E21">
        <f>[3]虎先锋!$E$21</f>
        <v>840</v>
      </c>
      <c r="F21">
        <f>ROUND([3]虎先锋!$F$21*1000,0)</f>
        <v>107</v>
      </c>
      <c r="G21">
        <f>ROUND([3]虎先锋!$H$21*100,0)</f>
        <v>120</v>
      </c>
      <c r="H21">
        <f>[3]虎先锋!$I$21</f>
        <v>280</v>
      </c>
      <c r="I21">
        <f>[3]虎先锋!$J$21</f>
        <v>623</v>
      </c>
      <c r="J21">
        <f>[3]虎先锋!$V$21</f>
        <v>1</v>
      </c>
      <c r="K21">
        <f>[3]虎先锋!$Y$21</f>
        <v>2.5</v>
      </c>
      <c r="L21">
        <f>[3]虎先锋!$Z$21</f>
        <v>0</v>
      </c>
    </row>
    <row r="22" spans="1:12" x14ac:dyDescent="0.15">
      <c r="A22">
        <v>21</v>
      </c>
      <c r="B22">
        <f>[3]虎先锋!$C$22</f>
        <v>9450</v>
      </c>
      <c r="C22">
        <f t="shared" si="0"/>
        <v>2850</v>
      </c>
      <c r="D22">
        <f>[3]虎先锋!$D$22</f>
        <v>3257</v>
      </c>
      <c r="E22">
        <f>[3]虎先锋!$E$22</f>
        <v>764</v>
      </c>
      <c r="F22">
        <f>ROUND([3]虎先锋!$F$22*1000,0)</f>
        <v>109</v>
      </c>
      <c r="G22">
        <f>ROUND([3]虎先锋!$H$22*100,0)</f>
        <v>130</v>
      </c>
      <c r="H22">
        <f>[3]虎先锋!$I$22</f>
        <v>376</v>
      </c>
      <c r="I22">
        <f>[3]虎先锋!$J$22</f>
        <v>977</v>
      </c>
      <c r="J22">
        <f>[3]虎先锋!$V$22</f>
        <v>1</v>
      </c>
      <c r="K22">
        <f>[3]虎先锋!$Y$22</f>
        <v>2.8599999999999826</v>
      </c>
      <c r="L22">
        <f>[3]虎先锋!$Z$22</f>
        <v>335</v>
      </c>
    </row>
    <row r="23" spans="1:12" x14ac:dyDescent="0.15">
      <c r="A23">
        <v>22</v>
      </c>
      <c r="B23">
        <f>[3]虎先锋!$C$23</f>
        <v>12800</v>
      </c>
      <c r="C23">
        <f t="shared" si="0"/>
        <v>3350</v>
      </c>
      <c r="D23">
        <f>[3]虎先锋!$D$23</f>
        <v>4981</v>
      </c>
      <c r="E23">
        <f>[3]虎先锋!$E$23</f>
        <v>1032</v>
      </c>
      <c r="F23">
        <f>ROUND([3]虎先锋!$F$23*1000,0)</f>
        <v>113</v>
      </c>
      <c r="G23">
        <f>ROUND([3]虎先锋!$H$23*100,0)</f>
        <v>130</v>
      </c>
      <c r="H23">
        <f>[3]虎先锋!$I$23</f>
        <v>491</v>
      </c>
      <c r="I23">
        <f>[3]虎先锋!$J$23</f>
        <v>1494</v>
      </c>
      <c r="J23">
        <f>[3]虎先锋!$V$23</f>
        <v>1</v>
      </c>
      <c r="K23">
        <f>[3]虎先锋!$Y$23</f>
        <v>3.5299999999999683</v>
      </c>
      <c r="L23">
        <f>[3]虎先锋!$Z$23</f>
        <v>460</v>
      </c>
    </row>
    <row r="24" spans="1:12" x14ac:dyDescent="0.15">
      <c r="A24">
        <v>23</v>
      </c>
      <c r="B24">
        <f>[3]虎先锋!$C$24</f>
        <v>17400</v>
      </c>
      <c r="C24">
        <f t="shared" si="0"/>
        <v>4600</v>
      </c>
      <c r="D24">
        <f>[3]虎先锋!$D$24</f>
        <v>6808</v>
      </c>
      <c r="E24">
        <f>[3]虎先锋!$E$24</f>
        <v>1400</v>
      </c>
      <c r="F24">
        <f>ROUND([3]虎先锋!$F$24*1000,0)</f>
        <v>117</v>
      </c>
      <c r="G24">
        <f>ROUND([3]虎先锋!$H$24*100,0)</f>
        <v>130</v>
      </c>
      <c r="H24">
        <f>[3]虎先锋!$I$24</f>
        <v>629</v>
      </c>
      <c r="I24">
        <f>[3]虎先锋!$J$24</f>
        <v>2042</v>
      </c>
      <c r="J24">
        <f>[3]虎先锋!$V$24</f>
        <v>1</v>
      </c>
      <c r="K24">
        <f>[3]虎先锋!$Y$24</f>
        <v>4.4499999999999487</v>
      </c>
      <c r="L24">
        <f>[3]虎先锋!$Z$24</f>
        <v>585</v>
      </c>
    </row>
    <row r="25" spans="1:12" x14ac:dyDescent="0.15">
      <c r="A25">
        <v>24</v>
      </c>
      <c r="B25">
        <f>[3]虎先锋!$C$25</f>
        <v>23250</v>
      </c>
      <c r="C25">
        <f t="shared" si="0"/>
        <v>5850</v>
      </c>
      <c r="D25">
        <f>[3]虎先锋!$D$25</f>
        <v>9145</v>
      </c>
      <c r="E25">
        <f>[3]虎先锋!$E$25</f>
        <v>1868</v>
      </c>
      <c r="F25">
        <f>ROUND([3]虎先锋!$F$25*1000,0)</f>
        <v>123</v>
      </c>
      <c r="G25">
        <f>ROUND([3]虎先锋!$H$25*100,0)</f>
        <v>130</v>
      </c>
      <c r="H25">
        <f>[3]虎先锋!$I$25</f>
        <v>795</v>
      </c>
      <c r="I25">
        <f>[3]虎先锋!$J$25</f>
        <v>2744</v>
      </c>
      <c r="J25">
        <f>[3]虎先锋!$V$25</f>
        <v>1</v>
      </c>
      <c r="K25">
        <f>[3]虎先锋!$Y$25</f>
        <v>5.6199999999999237</v>
      </c>
      <c r="L25">
        <f>[3]虎先锋!$Z$25</f>
        <v>750</v>
      </c>
    </row>
    <row r="26" spans="1:12" x14ac:dyDescent="0.15">
      <c r="A26">
        <v>25</v>
      </c>
      <c r="B26">
        <f>[3]虎先锋!$C$26</f>
        <v>30750</v>
      </c>
      <c r="C26">
        <f t="shared" si="0"/>
        <v>7500</v>
      </c>
      <c r="D26">
        <f>[3]虎先锋!$D$26</f>
        <v>12163</v>
      </c>
      <c r="E26">
        <f>[3]虎先锋!$E$26</f>
        <v>2468</v>
      </c>
      <c r="F26">
        <f>ROUND([3]虎先锋!$F$26*1000,0)</f>
        <v>131</v>
      </c>
      <c r="G26">
        <f>ROUND([3]虎先锋!$H$26*100,0)</f>
        <v>130</v>
      </c>
      <c r="H26">
        <f>[3]虎先锋!$I$26</f>
        <v>994</v>
      </c>
      <c r="I26">
        <f>[3]虎先锋!$J$26</f>
        <v>3649</v>
      </c>
      <c r="J26">
        <f>[3]虎先锋!$V$26</f>
        <v>1</v>
      </c>
      <c r="K26">
        <f>[3]虎先锋!$Y$26</f>
        <v>7.1199999999998917</v>
      </c>
      <c r="L26">
        <f>[3]虎先锋!$Z$26</f>
        <v>1000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[3]黄风怪!$C$2</f>
        <v>50</v>
      </c>
      <c r="C2">
        <f>B2-0</f>
        <v>50</v>
      </c>
      <c r="D2">
        <f>[3]黄风怪!$D$2</f>
        <v>29</v>
      </c>
      <c r="E2">
        <f>[3]黄风怪!$E$2</f>
        <v>7</v>
      </c>
      <c r="F2">
        <f>ROUND([3]黄风怪!$F$2 *1000,0)</f>
        <v>100</v>
      </c>
      <c r="G2">
        <f>ROUND([3]黄风怪!$H$2 *100,0)</f>
        <v>100</v>
      </c>
      <c r="H2">
        <f>[3]黄风怪!$I$2</f>
        <v>7</v>
      </c>
      <c r="I2">
        <f>[3]黄风怪!$J$2</f>
        <v>15</v>
      </c>
      <c r="J2">
        <f>[3]黄风怪!$V$2</f>
        <v>1</v>
      </c>
      <c r="K2">
        <f>[3]黄风怪!$Y$2</f>
        <v>1</v>
      </c>
      <c r="L2">
        <f>[3]黄风怪!$Z$2</f>
        <v>0</v>
      </c>
    </row>
    <row r="3" spans="1:12" x14ac:dyDescent="0.15">
      <c r="A3">
        <v>2</v>
      </c>
      <c r="B3">
        <f>[3]黄风怪!$C$3</f>
        <v>100</v>
      </c>
      <c r="C3">
        <f>B3-B2</f>
        <v>50</v>
      </c>
      <c r="D3">
        <f>[3]黄风怪!$D$3</f>
        <v>33</v>
      </c>
      <c r="E3">
        <f>[3]黄风怪!$E$3</f>
        <v>12</v>
      </c>
      <c r="F3">
        <f>ROUND([3]黄风怪!$F$3 *1000,0)</f>
        <v>100</v>
      </c>
      <c r="G3">
        <f>ROUND([3]黄风怪!$H$3 *100,0)</f>
        <v>100</v>
      </c>
      <c r="H3">
        <f>[3]黄风怪!$I$3</f>
        <v>11</v>
      </c>
      <c r="I3">
        <f>[3]黄风怪!$J$3</f>
        <v>17</v>
      </c>
      <c r="J3">
        <f>[3]黄风怪!$V$3</f>
        <v>1</v>
      </c>
      <c r="K3">
        <f>[3]黄风怪!$Y$3</f>
        <v>1</v>
      </c>
      <c r="L3">
        <f>[3]黄风怪!$Z$3</f>
        <v>0</v>
      </c>
    </row>
    <row r="4" spans="1:12" x14ac:dyDescent="0.15">
      <c r="A4">
        <v>3</v>
      </c>
      <c r="B4">
        <f>[3]黄风怪!$C$4</f>
        <v>150</v>
      </c>
      <c r="C4">
        <f t="shared" ref="C4:C26" si="0">B4-B3</f>
        <v>50</v>
      </c>
      <c r="D4">
        <f>[3]黄风怪!$D$4</f>
        <v>36</v>
      </c>
      <c r="E4">
        <f>[3]黄风怪!$E$4</f>
        <v>18</v>
      </c>
      <c r="F4">
        <f>ROUND([3]黄风怪!$F$4 *1000,0)</f>
        <v>100</v>
      </c>
      <c r="G4">
        <f>ROUND([3]黄风怪!$H$4 *100,0)</f>
        <v>100</v>
      </c>
      <c r="H4">
        <f>[3]黄风怪!$I$4</f>
        <v>15</v>
      </c>
      <c r="I4">
        <f>[3]黄风怪!$J$4</f>
        <v>18</v>
      </c>
      <c r="J4">
        <f>[3]黄风怪!$V$4</f>
        <v>1</v>
      </c>
      <c r="K4">
        <f>[3]黄风怪!$Y$4</f>
        <v>1</v>
      </c>
      <c r="L4">
        <f>[3]黄风怪!$Z$4</f>
        <v>0</v>
      </c>
    </row>
    <row r="5" spans="1:12" x14ac:dyDescent="0.15">
      <c r="A5">
        <v>4</v>
      </c>
      <c r="B5">
        <f>[3]黄风怪!$C$5</f>
        <v>250</v>
      </c>
      <c r="C5">
        <f t="shared" si="0"/>
        <v>100</v>
      </c>
      <c r="D5">
        <f>[3]黄风怪!$D$5</f>
        <v>42</v>
      </c>
      <c r="E5">
        <f>[3]黄风怪!$E$5</f>
        <v>30</v>
      </c>
      <c r="F5">
        <f>ROUND([3]黄风怪!$F$5 *1000,0)</f>
        <v>100</v>
      </c>
      <c r="G5">
        <f>ROUND([3]黄风怪!$H$5 *100,0)</f>
        <v>100</v>
      </c>
      <c r="H5">
        <f>[3]黄风怪!$I$5</f>
        <v>22</v>
      </c>
      <c r="I5">
        <f>[3]黄风怪!$J$5</f>
        <v>21</v>
      </c>
      <c r="J5">
        <f>[3]黄风怪!$V$5</f>
        <v>1</v>
      </c>
      <c r="K5">
        <f>[3]黄风怪!$Y$5</f>
        <v>1.02</v>
      </c>
      <c r="L5">
        <f>[3]黄风怪!$Z$5</f>
        <v>0</v>
      </c>
    </row>
    <row r="6" spans="1:12" x14ac:dyDescent="0.15">
      <c r="A6">
        <v>5</v>
      </c>
      <c r="B6">
        <f>[3]黄风怪!$C$6</f>
        <v>350</v>
      </c>
      <c r="C6">
        <f t="shared" si="0"/>
        <v>100</v>
      </c>
      <c r="D6">
        <f>[3]黄风怪!$D$6</f>
        <v>44</v>
      </c>
      <c r="E6">
        <f>[3]黄风怪!$E$6</f>
        <v>42</v>
      </c>
      <c r="F6">
        <f>ROUND([3]黄风怪!$F$6 *1000,0)</f>
        <v>100</v>
      </c>
      <c r="G6">
        <f>ROUND([3]黄风怪!$H$6 *100,0)</f>
        <v>120</v>
      </c>
      <c r="H6">
        <f>[3]黄风怪!$I$6</f>
        <v>29</v>
      </c>
      <c r="I6">
        <f>[3]黄风怪!$J$6</f>
        <v>22</v>
      </c>
      <c r="J6">
        <f>[3]黄风怪!$V$6</f>
        <v>1</v>
      </c>
      <c r="K6">
        <f>[3]黄风怪!$Y$6</f>
        <v>1.04</v>
      </c>
      <c r="L6">
        <f>[3]黄风怪!$Z$6</f>
        <v>0</v>
      </c>
    </row>
    <row r="7" spans="1:12" x14ac:dyDescent="0.15">
      <c r="A7">
        <v>6</v>
      </c>
      <c r="B7">
        <f>[3]黄风怪!$C$7</f>
        <v>500</v>
      </c>
      <c r="C7">
        <f t="shared" si="0"/>
        <v>150</v>
      </c>
      <c r="D7">
        <f>[3]黄风怪!$D$7</f>
        <v>62</v>
      </c>
      <c r="E7">
        <f>[3]黄风怪!$E$7</f>
        <v>55</v>
      </c>
      <c r="F7">
        <f>ROUND([3]黄风怪!$F$7 *1000,0)</f>
        <v>100</v>
      </c>
      <c r="G7">
        <f>ROUND([3]黄风怪!$H$7 *100,0)</f>
        <v>120</v>
      </c>
      <c r="H7">
        <f>[3]黄风怪!$I$7</f>
        <v>37</v>
      </c>
      <c r="I7">
        <f>[3]黄风怪!$J$7</f>
        <v>31</v>
      </c>
      <c r="J7">
        <f>[3]黄风怪!$V$7</f>
        <v>1</v>
      </c>
      <c r="K7">
        <f>[3]黄风怪!$Y$7</f>
        <v>1.07</v>
      </c>
      <c r="L7">
        <f>[3]黄风怪!$Z$7</f>
        <v>0</v>
      </c>
    </row>
    <row r="8" spans="1:12" x14ac:dyDescent="0.15">
      <c r="A8">
        <v>7</v>
      </c>
      <c r="B8">
        <f>[3]黄风怪!$C$8</f>
        <v>650</v>
      </c>
      <c r="C8">
        <f t="shared" si="0"/>
        <v>150</v>
      </c>
      <c r="D8">
        <f>[3]黄风怪!$D$8</f>
        <v>76</v>
      </c>
      <c r="E8">
        <f>[3]黄风怪!$E$8</f>
        <v>70</v>
      </c>
      <c r="F8">
        <f>ROUND([3]黄风怪!$F$8 *1000,0)</f>
        <v>101</v>
      </c>
      <c r="G8">
        <f>ROUND([3]黄风怪!$H$8 *100,0)</f>
        <v>120</v>
      </c>
      <c r="H8">
        <f>[3]黄风怪!$I$8</f>
        <v>46</v>
      </c>
      <c r="I8">
        <f>[3]黄风怪!$J$8</f>
        <v>38</v>
      </c>
      <c r="J8">
        <f>[3]黄风怪!$V$8</f>
        <v>1</v>
      </c>
      <c r="K8">
        <f>[3]黄风怪!$Y$8</f>
        <v>1.1000000000000001</v>
      </c>
      <c r="L8">
        <f>[3]黄风怪!$Z$8</f>
        <v>0</v>
      </c>
    </row>
    <row r="9" spans="1:12" x14ac:dyDescent="0.15">
      <c r="A9">
        <v>8</v>
      </c>
      <c r="B9">
        <f>[3]黄风怪!$C$9</f>
        <v>850</v>
      </c>
      <c r="C9">
        <f t="shared" si="0"/>
        <v>200</v>
      </c>
      <c r="D9">
        <f>[3]黄风怪!$D$9</f>
        <v>123</v>
      </c>
      <c r="E9">
        <f>[3]黄风怪!$E$9</f>
        <v>100</v>
      </c>
      <c r="F9">
        <f>ROUND([3]黄风怪!$F$9 *1000,0)</f>
        <v>101</v>
      </c>
      <c r="G9">
        <f>ROUND([3]黄风怪!$H$9 *100,0)</f>
        <v>120</v>
      </c>
      <c r="H9">
        <f>[3]黄风怪!$I$9</f>
        <v>56</v>
      </c>
      <c r="I9">
        <f>[3]黄风怪!$J$9</f>
        <v>62</v>
      </c>
      <c r="J9">
        <f>[3]黄风怪!$V$9</f>
        <v>1</v>
      </c>
      <c r="K9">
        <f>[3]黄风怪!$Y$9</f>
        <v>1.1400000000000001</v>
      </c>
      <c r="L9">
        <f>[3]黄风怪!$Z$9</f>
        <v>0</v>
      </c>
    </row>
    <row r="10" spans="1:12" x14ac:dyDescent="0.15">
      <c r="A10">
        <v>9</v>
      </c>
      <c r="B10">
        <f>[3]黄风怪!$C$10</f>
        <v>1050</v>
      </c>
      <c r="C10">
        <f t="shared" si="0"/>
        <v>200</v>
      </c>
      <c r="D10">
        <f>[3]黄风怪!$D$10</f>
        <v>132</v>
      </c>
      <c r="E10">
        <f>[3]黄风怪!$E$10</f>
        <v>134</v>
      </c>
      <c r="F10">
        <f>ROUND([3]黄风怪!$F$10*1000,0)</f>
        <v>101</v>
      </c>
      <c r="G10">
        <f>ROUND([3]黄风怪!$H$10*100,0)</f>
        <v>120</v>
      </c>
      <c r="H10">
        <f>[3]黄风怪!$I$10</f>
        <v>67</v>
      </c>
      <c r="I10">
        <f>[3]黄风怪!$J$10</f>
        <v>66</v>
      </c>
      <c r="J10">
        <f>[3]黄风怪!$V$10</f>
        <v>1</v>
      </c>
      <c r="K10">
        <f>[3]黄风怪!$Y$10</f>
        <v>1.1800000000000002</v>
      </c>
      <c r="L10">
        <f>[3]黄风怪!$Z$10</f>
        <v>0</v>
      </c>
    </row>
    <row r="11" spans="1:12" x14ac:dyDescent="0.15">
      <c r="A11">
        <v>10</v>
      </c>
      <c r="B11">
        <f>[3]黄风怪!$C$11</f>
        <v>1250</v>
      </c>
      <c r="C11">
        <f t="shared" si="0"/>
        <v>200</v>
      </c>
      <c r="D11">
        <f>[3]黄风怪!$D$11</f>
        <v>122</v>
      </c>
      <c r="E11">
        <f>[3]黄风怪!$E$11</f>
        <v>172</v>
      </c>
      <c r="F11">
        <f>ROUND([3]黄风怪!$F$11*1000,0)</f>
        <v>101</v>
      </c>
      <c r="G11">
        <f>ROUND([3]黄风怪!$H$11*100,0)</f>
        <v>130</v>
      </c>
      <c r="H11">
        <f>[3]黄风怪!$I$11</f>
        <v>79</v>
      </c>
      <c r="I11">
        <f>[3]黄风怪!$J$11</f>
        <v>61</v>
      </c>
      <c r="J11">
        <f>[3]黄风怪!$V$11</f>
        <v>1</v>
      </c>
      <c r="K11">
        <f>[3]黄风怪!$Y$11</f>
        <v>1.2200000000000002</v>
      </c>
      <c r="L11">
        <f>[3]黄风怪!$Z$11</f>
        <v>0</v>
      </c>
    </row>
    <row r="12" spans="1:12" x14ac:dyDescent="0.15">
      <c r="A12">
        <v>11</v>
      </c>
      <c r="B12">
        <f>[3]黄风怪!$C$12</f>
        <v>1500</v>
      </c>
      <c r="C12">
        <f t="shared" si="0"/>
        <v>250</v>
      </c>
      <c r="D12">
        <f>[3]黄风怪!$D$12</f>
        <v>215</v>
      </c>
      <c r="E12">
        <f>[3]黄风怪!$E$12</f>
        <v>203</v>
      </c>
      <c r="F12">
        <f>ROUND([3]黄风怪!$F$12*1000,0)</f>
        <v>101</v>
      </c>
      <c r="G12">
        <f>ROUND([3]黄风怪!$H$12*100,0)</f>
        <v>130</v>
      </c>
      <c r="H12">
        <f>[3]黄风怪!$I$12</f>
        <v>92</v>
      </c>
      <c r="I12">
        <f>[3]黄风怪!$J$12</f>
        <v>108</v>
      </c>
      <c r="J12">
        <f>[3]黄风怪!$V$12</f>
        <v>1</v>
      </c>
      <c r="K12">
        <f>[3]黄风怪!$Y$12</f>
        <v>1.2700000000000002</v>
      </c>
      <c r="L12">
        <f>[3]黄风怪!$Z$12</f>
        <v>0</v>
      </c>
    </row>
    <row r="13" spans="1:12" x14ac:dyDescent="0.15">
      <c r="A13">
        <v>12</v>
      </c>
      <c r="B13">
        <f>[3]黄风怪!$C$13</f>
        <v>1750</v>
      </c>
      <c r="C13">
        <f t="shared" si="0"/>
        <v>250</v>
      </c>
      <c r="D13">
        <f>[3]黄风怪!$D$13</f>
        <v>245</v>
      </c>
      <c r="E13">
        <f>[3]黄风怪!$E$13</f>
        <v>238</v>
      </c>
      <c r="F13">
        <f>ROUND([3]黄风怪!$F$13*1000,0)</f>
        <v>102</v>
      </c>
      <c r="G13">
        <f>ROUND([3]黄风怪!$H$13*100,0)</f>
        <v>130</v>
      </c>
      <c r="H13">
        <f>[3]黄风怪!$I$13</f>
        <v>106</v>
      </c>
      <c r="I13">
        <f>[3]黄风怪!$J$13</f>
        <v>123</v>
      </c>
      <c r="J13">
        <f>[3]黄风怪!$V$13</f>
        <v>1</v>
      </c>
      <c r="K13">
        <f>[3]黄风怪!$Y$13</f>
        <v>1.3200000000000003</v>
      </c>
      <c r="L13">
        <f>[3]黄风怪!$Z$13</f>
        <v>0</v>
      </c>
    </row>
    <row r="14" spans="1:12" x14ac:dyDescent="0.15">
      <c r="A14">
        <v>13</v>
      </c>
      <c r="B14">
        <f>[3]黄风怪!$C$14</f>
        <v>2050</v>
      </c>
      <c r="C14">
        <f t="shared" si="0"/>
        <v>300</v>
      </c>
      <c r="D14">
        <f>[3]黄风怪!$D$14</f>
        <v>285</v>
      </c>
      <c r="E14">
        <f>[3]黄风怪!$E$14</f>
        <v>277</v>
      </c>
      <c r="F14">
        <f>ROUND([3]黄风怪!$F$14*1000,0)</f>
        <v>102</v>
      </c>
      <c r="G14">
        <f>ROUND([3]黄风怪!$H$14*100,0)</f>
        <v>130</v>
      </c>
      <c r="H14">
        <f>[3]黄风怪!$I$14</f>
        <v>122</v>
      </c>
      <c r="I14">
        <f>[3]黄风怪!$J$14</f>
        <v>143</v>
      </c>
      <c r="J14">
        <f>[3]黄风怪!$V$14</f>
        <v>1</v>
      </c>
      <c r="K14">
        <f>[3]黄风怪!$Y$14</f>
        <v>1.3800000000000003</v>
      </c>
      <c r="L14">
        <f>[3]黄风怪!$Z$14</f>
        <v>0</v>
      </c>
    </row>
    <row r="15" spans="1:12" x14ac:dyDescent="0.15">
      <c r="A15">
        <v>14</v>
      </c>
      <c r="B15">
        <f>[3]黄风怪!$C$15</f>
        <v>2400</v>
      </c>
      <c r="C15">
        <f t="shared" si="0"/>
        <v>350</v>
      </c>
      <c r="D15">
        <f>[3]黄风怪!$D$15</f>
        <v>443</v>
      </c>
      <c r="E15">
        <f>[3]黄风怪!$E$15</f>
        <v>320</v>
      </c>
      <c r="F15">
        <f>ROUND([3]黄风怪!$F$15*1000,0)</f>
        <v>102</v>
      </c>
      <c r="G15">
        <f>ROUND([3]黄风怪!$H$15*100,0)</f>
        <v>130</v>
      </c>
      <c r="H15">
        <f>[3]黄风怪!$I$15</f>
        <v>140</v>
      </c>
      <c r="I15">
        <f>[3]黄风怪!$J$15</f>
        <v>222</v>
      </c>
      <c r="J15">
        <f>[3]黄风怪!$V$15</f>
        <v>1</v>
      </c>
      <c r="K15">
        <f>[3]黄风怪!$Y$15</f>
        <v>1.4500000000000004</v>
      </c>
      <c r="L15">
        <f>[3]黄风怪!$Z$15</f>
        <v>0</v>
      </c>
    </row>
    <row r="16" spans="1:12" x14ac:dyDescent="0.15">
      <c r="A16">
        <v>15</v>
      </c>
      <c r="B16">
        <f>[3]黄风怪!$C$16</f>
        <v>2850</v>
      </c>
      <c r="C16">
        <f t="shared" si="0"/>
        <v>450</v>
      </c>
      <c r="D16">
        <f>[3]黄风怪!$D$16</f>
        <v>519</v>
      </c>
      <c r="E16">
        <f>[3]黄风怪!$E$16</f>
        <v>368</v>
      </c>
      <c r="F16">
        <f>ROUND([3]黄风怪!$F$16*1000,0)</f>
        <v>103</v>
      </c>
      <c r="G16">
        <f>ROUND([3]黄风怪!$H$16*100,0)</f>
        <v>140</v>
      </c>
      <c r="H16">
        <f>[3]黄风怪!$I$16</f>
        <v>160</v>
      </c>
      <c r="I16">
        <f>[3]黄风怪!$J$16</f>
        <v>260</v>
      </c>
      <c r="J16">
        <f>[3]黄风怪!$V$16</f>
        <v>1</v>
      </c>
      <c r="K16">
        <f>[3]黄风怪!$Y$16</f>
        <v>1.5400000000000005</v>
      </c>
      <c r="L16">
        <f>[3]黄风怪!$Z$16</f>
        <v>0</v>
      </c>
    </row>
    <row r="17" spans="1:12" x14ac:dyDescent="0.15">
      <c r="A17">
        <v>16</v>
      </c>
      <c r="B17">
        <f>[3]黄风怪!$C$17</f>
        <v>3350</v>
      </c>
      <c r="C17">
        <f t="shared" si="0"/>
        <v>500</v>
      </c>
      <c r="D17">
        <f>[3]黄风怪!$D$17</f>
        <v>774</v>
      </c>
      <c r="E17">
        <f>[3]黄风怪!$E$17</f>
        <v>421</v>
      </c>
      <c r="F17">
        <f>ROUND([3]黄风怪!$F$17*1000,0)</f>
        <v>103</v>
      </c>
      <c r="G17">
        <f>ROUND([3]黄风怪!$H$17*100,0)</f>
        <v>140</v>
      </c>
      <c r="H17">
        <f>[3]黄风怪!$I$17</f>
        <v>182</v>
      </c>
      <c r="I17">
        <f>[3]黄风怪!$J$17</f>
        <v>387</v>
      </c>
      <c r="J17">
        <f>[3]黄风怪!$V$17</f>
        <v>1</v>
      </c>
      <c r="K17">
        <f>[3]黄风怪!$Y$17</f>
        <v>1.6400000000000006</v>
      </c>
      <c r="L17">
        <f>[3]黄风怪!$Z$17</f>
        <v>0</v>
      </c>
    </row>
    <row r="18" spans="1:12" x14ac:dyDescent="0.15">
      <c r="A18">
        <v>17</v>
      </c>
      <c r="B18">
        <f>[3]黄风怪!$C$18</f>
        <v>3900</v>
      </c>
      <c r="C18">
        <f t="shared" si="0"/>
        <v>550</v>
      </c>
      <c r="D18">
        <f>[3]黄风怪!$D$18</f>
        <v>915</v>
      </c>
      <c r="E18">
        <f>[3]黄风怪!$E$18</f>
        <v>480</v>
      </c>
      <c r="F18">
        <f>ROUND([3]黄风怪!$F$18*1000,0)</f>
        <v>104</v>
      </c>
      <c r="G18">
        <f>ROUND([3]黄风怪!$H$18*100,0)</f>
        <v>140</v>
      </c>
      <c r="H18">
        <f>[3]黄风怪!$I$18</f>
        <v>206</v>
      </c>
      <c r="I18">
        <f>[3]黄风怪!$J$18</f>
        <v>458</v>
      </c>
      <c r="J18">
        <f>[3]黄风怪!$V$18</f>
        <v>1</v>
      </c>
      <c r="K18">
        <f>[3]黄风怪!$Y$18</f>
        <v>1.7500000000000007</v>
      </c>
      <c r="L18">
        <f>[3]黄风怪!$Z$18</f>
        <v>0</v>
      </c>
    </row>
    <row r="19" spans="1:12" x14ac:dyDescent="0.15">
      <c r="A19">
        <v>18</v>
      </c>
      <c r="B19">
        <f>[3]黄风怪!$C$19</f>
        <v>4550</v>
      </c>
      <c r="C19">
        <f t="shared" si="0"/>
        <v>650</v>
      </c>
      <c r="D19">
        <f>[3]黄风怪!$D$19</f>
        <v>1090</v>
      </c>
      <c r="E19">
        <f>[3]黄风怪!$E$19</f>
        <v>546</v>
      </c>
      <c r="F19">
        <f>ROUND([3]黄风怪!$F$19*1000,0)</f>
        <v>105</v>
      </c>
      <c r="G19">
        <f>ROUND([3]黄风怪!$H$19*100,0)</f>
        <v>140</v>
      </c>
      <c r="H19">
        <f>[3]黄风怪!$I$19</f>
        <v>233</v>
      </c>
      <c r="I19">
        <f>[3]黄风怪!$J$19</f>
        <v>545</v>
      </c>
      <c r="J19">
        <f>[3]黄风怪!$V$19</f>
        <v>1</v>
      </c>
      <c r="K19">
        <f>[3]黄风怪!$Y$19</f>
        <v>1.8800000000000008</v>
      </c>
      <c r="L19">
        <f>[3]黄风怪!$Z$19</f>
        <v>0</v>
      </c>
    </row>
    <row r="20" spans="1:12" x14ac:dyDescent="0.15">
      <c r="A20">
        <v>19</v>
      </c>
      <c r="B20">
        <f>[3]黄风怪!$C$20</f>
        <v>5500</v>
      </c>
      <c r="C20">
        <f t="shared" si="0"/>
        <v>950</v>
      </c>
      <c r="D20">
        <f>[3]黄风怪!$D$20</f>
        <v>1630</v>
      </c>
      <c r="E20">
        <f>[3]黄风怪!$E$20</f>
        <v>619</v>
      </c>
      <c r="F20">
        <f>ROUND([3]黄风怪!$F$20*1000,0)</f>
        <v>105</v>
      </c>
      <c r="G20">
        <f>ROUND([3]黄风怪!$H$20*100,0)</f>
        <v>140</v>
      </c>
      <c r="H20">
        <f>[3]黄风怪!$I$20</f>
        <v>263</v>
      </c>
      <c r="I20">
        <f>[3]黄风怪!$J$20</f>
        <v>815</v>
      </c>
      <c r="J20">
        <f>[3]黄风怪!$V$20</f>
        <v>1</v>
      </c>
      <c r="K20">
        <f>[3]黄风怪!$Y$20</f>
        <v>2.0699999999999994</v>
      </c>
      <c r="L20">
        <f>[3]黄风怪!$Z$20</f>
        <v>0</v>
      </c>
    </row>
    <row r="21" spans="1:12" x14ac:dyDescent="0.15">
      <c r="A21">
        <v>20</v>
      </c>
      <c r="B21">
        <f>[3]黄风怪!$C$21</f>
        <v>6600</v>
      </c>
      <c r="C21">
        <f t="shared" si="0"/>
        <v>1100</v>
      </c>
      <c r="D21">
        <f>[3]黄风怪!$D$21</f>
        <v>2217</v>
      </c>
      <c r="E21">
        <f>[3]黄风怪!$E$21</f>
        <v>720</v>
      </c>
      <c r="F21">
        <f>ROUND([3]黄风怪!$F$21*1000,0)</f>
        <v>107</v>
      </c>
      <c r="G21">
        <f>ROUND([3]黄风怪!$H$21*100,0)</f>
        <v>150</v>
      </c>
      <c r="H21">
        <f>[3]黄风怪!$I$21</f>
        <v>296</v>
      </c>
      <c r="I21">
        <f>[3]黄风怪!$J$21</f>
        <v>1109</v>
      </c>
      <c r="J21">
        <f>[3]黄风怪!$V$21</f>
        <v>1</v>
      </c>
      <c r="K21">
        <f>[3]黄风怪!$Y$21</f>
        <v>2.3899999999999926</v>
      </c>
      <c r="L21">
        <f>[3]黄风怪!$Z$21</f>
        <v>0</v>
      </c>
    </row>
    <row r="22" spans="1:12" x14ac:dyDescent="0.15">
      <c r="A22">
        <v>21</v>
      </c>
      <c r="B22">
        <f>[3]黄风怪!$C$22</f>
        <v>9450</v>
      </c>
      <c r="C22">
        <f t="shared" si="0"/>
        <v>2850</v>
      </c>
      <c r="D22">
        <f>[3]黄风怪!$D$22</f>
        <v>3306</v>
      </c>
      <c r="E22">
        <f>[3]黄风怪!$E$22</f>
        <v>764</v>
      </c>
      <c r="F22">
        <f>ROUND([3]黄风怪!$F$22*1000,0)</f>
        <v>109</v>
      </c>
      <c r="G22">
        <f>ROUND([3]黄风怪!$H$22*100,0)</f>
        <v>150</v>
      </c>
      <c r="H22">
        <f>[3]黄风怪!$I$22</f>
        <v>346</v>
      </c>
      <c r="I22">
        <f>[3]黄风怪!$J$22</f>
        <v>1653</v>
      </c>
      <c r="J22">
        <f>[3]黄风怪!$V$22</f>
        <v>1</v>
      </c>
      <c r="K22">
        <f>[3]黄风怪!$Y$22</f>
        <v>2.8599999999999826</v>
      </c>
      <c r="L22">
        <f>[3]黄风怪!$Z$22</f>
        <v>335</v>
      </c>
    </row>
    <row r="23" spans="1:12" x14ac:dyDescent="0.15">
      <c r="A23">
        <v>22</v>
      </c>
      <c r="B23">
        <f>[3]黄风怪!$C$23</f>
        <v>12800</v>
      </c>
      <c r="C23">
        <f t="shared" si="0"/>
        <v>3350</v>
      </c>
      <c r="D23">
        <f>[3]黄风怪!$D$23</f>
        <v>5069</v>
      </c>
      <c r="E23">
        <f>[3]黄风怪!$E$23</f>
        <v>1032</v>
      </c>
      <c r="F23">
        <f>ROUND([3]黄风怪!$F$23*1000,0)</f>
        <v>113</v>
      </c>
      <c r="G23">
        <f>ROUND([3]黄风怪!$H$23*100,0)</f>
        <v>150</v>
      </c>
      <c r="H23">
        <f>[3]黄风怪!$I$23</f>
        <v>421</v>
      </c>
      <c r="I23">
        <f>[3]黄风怪!$J$23</f>
        <v>2535</v>
      </c>
      <c r="J23">
        <f>[3]黄风怪!$V$23</f>
        <v>1</v>
      </c>
      <c r="K23">
        <f>[3]黄风怪!$Y$23</f>
        <v>3.5299999999999683</v>
      </c>
      <c r="L23">
        <f>[3]黄风怪!$Z$23</f>
        <v>460</v>
      </c>
    </row>
    <row r="24" spans="1:12" x14ac:dyDescent="0.15">
      <c r="A24">
        <v>23</v>
      </c>
      <c r="B24">
        <f>[3]黄风怪!$C$24</f>
        <v>17400</v>
      </c>
      <c r="C24">
        <f t="shared" si="0"/>
        <v>4600</v>
      </c>
      <c r="D24">
        <f>[3]黄风怪!$D$24</f>
        <v>6922</v>
      </c>
      <c r="E24">
        <f>[3]黄风怪!$E$24</f>
        <v>1400</v>
      </c>
      <c r="F24">
        <f>ROUND([3]黄风怪!$F$24*1000,0)</f>
        <v>117</v>
      </c>
      <c r="G24">
        <f>ROUND([3]黄风怪!$H$24*100,0)</f>
        <v>150</v>
      </c>
      <c r="H24">
        <f>[3]黄风怪!$I$24</f>
        <v>534</v>
      </c>
      <c r="I24">
        <f>[3]黄风怪!$J$24</f>
        <v>3461</v>
      </c>
      <c r="J24">
        <f>[3]黄风怪!$V$24</f>
        <v>1</v>
      </c>
      <c r="K24">
        <f>[3]黄风怪!$Y$24</f>
        <v>4.4499999999999487</v>
      </c>
      <c r="L24">
        <f>[3]黄风怪!$Z$24</f>
        <v>585</v>
      </c>
    </row>
    <row r="25" spans="1:12" x14ac:dyDescent="0.15">
      <c r="A25">
        <v>24</v>
      </c>
      <c r="B25">
        <f>[3]黄风怪!$C$25</f>
        <v>23250</v>
      </c>
      <c r="C25">
        <f t="shared" si="0"/>
        <v>5850</v>
      </c>
      <c r="D25">
        <f>[3]黄风怪!$D$25</f>
        <v>9126</v>
      </c>
      <c r="E25">
        <f>[3]黄风怪!$E$25</f>
        <v>1868</v>
      </c>
      <c r="F25">
        <f>ROUND([3]黄风怪!$F$25*1000,0)</f>
        <v>123</v>
      </c>
      <c r="G25">
        <f>ROUND([3]黄风怪!$H$25*100,0)</f>
        <v>160</v>
      </c>
      <c r="H25">
        <f>[3]黄风怪!$I$25</f>
        <v>704</v>
      </c>
      <c r="I25">
        <f>[3]黄风怪!$J$25</f>
        <v>4563</v>
      </c>
      <c r="J25">
        <f>[3]黄风怪!$V$25</f>
        <v>1</v>
      </c>
      <c r="K25">
        <f>[3]黄风怪!$Y$25</f>
        <v>5.6199999999999237</v>
      </c>
      <c r="L25">
        <f>[3]黄风怪!$Z$25</f>
        <v>750</v>
      </c>
    </row>
    <row r="26" spans="1:12" x14ac:dyDescent="0.15">
      <c r="A26">
        <v>25</v>
      </c>
      <c r="B26">
        <f>[3]黄风怪!$C$26</f>
        <v>30750</v>
      </c>
      <c r="C26">
        <f t="shared" si="0"/>
        <v>7500</v>
      </c>
      <c r="D26">
        <f>[3]黄风怪!$D$26</f>
        <v>12027</v>
      </c>
      <c r="E26">
        <f>[3]黄风怪!$E$26</f>
        <v>2468</v>
      </c>
      <c r="F26">
        <f>ROUND([3]黄风怪!$F$26*1000,0)</f>
        <v>131</v>
      </c>
      <c r="G26">
        <f>ROUND([3]黄风怪!$H$26*100,0)</f>
        <v>160</v>
      </c>
      <c r="H26">
        <f>[3]黄风怪!$I$26</f>
        <v>959</v>
      </c>
      <c r="I26">
        <f>[3]黄风怪!$J$26</f>
        <v>6014</v>
      </c>
      <c r="J26">
        <f>[3]黄风怪!$V$26</f>
        <v>1</v>
      </c>
      <c r="K26">
        <f>[3]黄风怪!$Y$26</f>
        <v>7.1199999999998917</v>
      </c>
      <c r="L26">
        <f>[3]黄风怪!$Z$26</f>
        <v>1000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-0.499984740745262"/>
  </sheetPr>
  <dimension ref="A1:L26"/>
  <sheetViews>
    <sheetView workbookViewId="0">
      <selection activeCell="J2" sqref="J2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'[3]普通怪-攻击'!$C$2</f>
        <v>50</v>
      </c>
      <c r="C2">
        <f>B2-0</f>
        <v>50</v>
      </c>
      <c r="D2">
        <f>'[3]普通怪-攻击'!$D$2</f>
        <v>24</v>
      </c>
      <c r="E2">
        <f>'[3]普通怪-攻击'!$E$2</f>
        <v>8</v>
      </c>
      <c r="F2">
        <f>ROUND('[3]普通怪-攻击'!$F$2 *1000,0)</f>
        <v>100</v>
      </c>
      <c r="G2">
        <f>ROUND('[3]普通怪-攻击'!$H$2 *100,0)</f>
        <v>70</v>
      </c>
      <c r="H2">
        <f>'[3]普通怪-攻击'!$I$2</f>
        <v>4</v>
      </c>
      <c r="I2">
        <f>'[3]普通怪-攻击'!$J$2</f>
        <v>7</v>
      </c>
      <c r="J2">
        <f>'[3]普通怪-攻击'!$V$2</f>
        <v>0</v>
      </c>
      <c r="K2">
        <f>'[3]普通怪-攻击'!$Y$2</f>
        <v>0</v>
      </c>
      <c r="L2">
        <f>'[3]普通怪-攻击'!$Z$2</f>
        <v>0</v>
      </c>
    </row>
    <row r="3" spans="1:12" x14ac:dyDescent="0.15">
      <c r="A3">
        <v>2</v>
      </c>
      <c r="B3">
        <f>'[3]普通怪-攻击'!$C$3</f>
        <v>100</v>
      </c>
      <c r="C3">
        <f>B3-B2</f>
        <v>50</v>
      </c>
      <c r="D3">
        <f>'[3]普通怪-攻击'!$D$3</f>
        <v>27</v>
      </c>
      <c r="E3">
        <f>'[3]普通怪-攻击'!$E$3</f>
        <v>12</v>
      </c>
      <c r="F3">
        <f>ROUND('[3]普通怪-攻击'!$F$3 *1000,0)</f>
        <v>100</v>
      </c>
      <c r="G3">
        <f>ROUND('[3]普通怪-攻击'!$H$3 *100,0)</f>
        <v>70</v>
      </c>
      <c r="H3">
        <f>'[3]普通怪-攻击'!$I$3</f>
        <v>8</v>
      </c>
      <c r="I3">
        <f>'[3]普通怪-攻击'!$J$3</f>
        <v>8</v>
      </c>
      <c r="J3">
        <f>'[3]普通怪-攻击'!$V$3</f>
        <v>0</v>
      </c>
      <c r="K3">
        <f>'[3]普通怪-攻击'!$Y$3</f>
        <v>0</v>
      </c>
      <c r="L3">
        <f>'[3]普通怪-攻击'!$Z$3</f>
        <v>0</v>
      </c>
    </row>
    <row r="4" spans="1:12" x14ac:dyDescent="0.15">
      <c r="A4">
        <v>3</v>
      </c>
      <c r="B4">
        <f>'[3]普通怪-攻击'!$C$4</f>
        <v>150</v>
      </c>
      <c r="C4">
        <f t="shared" ref="C4:C26" si="0">B4-B3</f>
        <v>50</v>
      </c>
      <c r="D4">
        <f>'[3]普通怪-攻击'!$D$4</f>
        <v>30</v>
      </c>
      <c r="E4">
        <f>'[3]普通怪-攻击'!$E$4</f>
        <v>16</v>
      </c>
      <c r="F4">
        <f>ROUND('[3]普通怪-攻击'!$F$4 *1000,0)</f>
        <v>100</v>
      </c>
      <c r="G4">
        <f>ROUND('[3]普通怪-攻击'!$H$4 *100,0)</f>
        <v>70</v>
      </c>
      <c r="H4">
        <f>'[3]普通怪-攻击'!$I$4</f>
        <v>12</v>
      </c>
      <c r="I4">
        <f>'[3]普通怪-攻击'!$J$4</f>
        <v>9</v>
      </c>
      <c r="J4">
        <f>'[3]普通怪-攻击'!$V$4</f>
        <v>0</v>
      </c>
      <c r="K4">
        <f>'[3]普通怪-攻击'!$Y$4</f>
        <v>0</v>
      </c>
      <c r="L4">
        <f>'[3]普通怪-攻击'!$Z$4</f>
        <v>0</v>
      </c>
    </row>
    <row r="5" spans="1:12" x14ac:dyDescent="0.15">
      <c r="A5">
        <v>4</v>
      </c>
      <c r="B5">
        <f>'[3]普通怪-攻击'!$C$5</f>
        <v>250</v>
      </c>
      <c r="C5">
        <f t="shared" si="0"/>
        <v>100</v>
      </c>
      <c r="D5">
        <f>'[3]普通怪-攻击'!$D$5</f>
        <v>33</v>
      </c>
      <c r="E5">
        <f>'[3]普通怪-攻击'!$E$5</f>
        <v>30</v>
      </c>
      <c r="F5">
        <f>ROUND('[3]普通怪-攻击'!$F$5 *1000,0)</f>
        <v>100</v>
      </c>
      <c r="G5">
        <f>ROUND('[3]普通怪-攻击'!$H$5 *100,0)</f>
        <v>70</v>
      </c>
      <c r="H5">
        <f>'[3]普通怪-攻击'!$I$5</f>
        <v>16</v>
      </c>
      <c r="I5">
        <f>'[3]普通怪-攻击'!$J$5</f>
        <v>10</v>
      </c>
      <c r="J5">
        <f>'[3]普通怪-攻击'!$V$5</f>
        <v>0</v>
      </c>
      <c r="K5">
        <f>'[3]普通怪-攻击'!$Y$5</f>
        <v>0</v>
      </c>
      <c r="L5">
        <f>'[3]普通怪-攻击'!$Z$5</f>
        <v>0</v>
      </c>
    </row>
    <row r="6" spans="1:12" x14ac:dyDescent="0.15">
      <c r="A6">
        <v>5</v>
      </c>
      <c r="B6">
        <f>'[3]普通怪-攻击'!$C$6</f>
        <v>350</v>
      </c>
      <c r="C6">
        <f t="shared" si="0"/>
        <v>100</v>
      </c>
      <c r="D6">
        <f>'[3]普通怪-攻击'!$D$6</f>
        <v>38</v>
      </c>
      <c r="E6">
        <f>'[3]普通怪-攻击'!$E$6</f>
        <v>43</v>
      </c>
      <c r="F6">
        <f>ROUND('[3]普通怪-攻击'!$F$6 *1000,0)</f>
        <v>100</v>
      </c>
      <c r="G6">
        <f>ROUND('[3]普通怪-攻击'!$H$6 *100,0)</f>
        <v>70</v>
      </c>
      <c r="H6">
        <f>'[3]普通怪-攻击'!$I$6</f>
        <v>20</v>
      </c>
      <c r="I6">
        <f>'[3]普通怪-攻击'!$J$6</f>
        <v>11</v>
      </c>
      <c r="J6">
        <f>'[3]普通怪-攻击'!$V$6</f>
        <v>0</v>
      </c>
      <c r="K6">
        <f>'[3]普通怪-攻击'!$Y$6</f>
        <v>0</v>
      </c>
      <c r="L6">
        <f>'[3]普通怪-攻击'!$Z$6</f>
        <v>0</v>
      </c>
    </row>
    <row r="7" spans="1:12" x14ac:dyDescent="0.15">
      <c r="A7">
        <v>6</v>
      </c>
      <c r="B7">
        <f>'[3]普通怪-攻击'!$C$7</f>
        <v>500</v>
      </c>
      <c r="C7">
        <f t="shared" si="0"/>
        <v>150</v>
      </c>
      <c r="D7">
        <f>'[3]普通怪-攻击'!$D$7</f>
        <v>52</v>
      </c>
      <c r="E7">
        <f>'[3]普通怪-攻击'!$E$7</f>
        <v>57</v>
      </c>
      <c r="F7">
        <f>ROUND('[3]普通怪-攻击'!$F$7 *1000,0)</f>
        <v>100</v>
      </c>
      <c r="G7">
        <f>ROUND('[3]普通怪-攻击'!$H$7 *100,0)</f>
        <v>70</v>
      </c>
      <c r="H7">
        <f>'[3]普通怪-攻击'!$I$7</f>
        <v>25</v>
      </c>
      <c r="I7">
        <f>'[3]普通怪-攻击'!$J$7</f>
        <v>16</v>
      </c>
      <c r="J7">
        <f>'[3]普通怪-攻击'!$V$7</f>
        <v>0</v>
      </c>
      <c r="K7">
        <f>'[3]普通怪-攻击'!$Y$7</f>
        <v>0</v>
      </c>
      <c r="L7">
        <f>'[3]普通怪-攻击'!$Z$7</f>
        <v>0</v>
      </c>
    </row>
    <row r="8" spans="1:12" x14ac:dyDescent="0.15">
      <c r="A8">
        <v>7</v>
      </c>
      <c r="B8">
        <f>'[3]普通怪-攻击'!$C$8</f>
        <v>650</v>
      </c>
      <c r="C8">
        <f t="shared" si="0"/>
        <v>150</v>
      </c>
      <c r="D8">
        <f>'[3]普通怪-攻击'!$D$8</f>
        <v>54</v>
      </c>
      <c r="E8">
        <f>'[3]普通怪-攻击'!$E$8</f>
        <v>80</v>
      </c>
      <c r="F8">
        <f>ROUND('[3]普通怪-攻击'!$F$8 *1000,0)</f>
        <v>101</v>
      </c>
      <c r="G8">
        <f>ROUND('[3]普通怪-攻击'!$H$8 *100,0)</f>
        <v>70</v>
      </c>
      <c r="H8">
        <f>'[3]普通怪-攻击'!$I$8</f>
        <v>31</v>
      </c>
      <c r="I8">
        <f>'[3]普通怪-攻击'!$J$8</f>
        <v>16</v>
      </c>
      <c r="J8">
        <f>'[3]普通怪-攻击'!$V$8</f>
        <v>0</v>
      </c>
      <c r="K8">
        <f>'[3]普通怪-攻击'!$Y$8</f>
        <v>0</v>
      </c>
      <c r="L8">
        <f>'[3]普通怪-攻击'!$Z$8</f>
        <v>0</v>
      </c>
    </row>
    <row r="9" spans="1:12" x14ac:dyDescent="0.15">
      <c r="A9">
        <v>8</v>
      </c>
      <c r="B9">
        <f>'[3]普通怪-攻击'!$C$9</f>
        <v>850</v>
      </c>
      <c r="C9">
        <f t="shared" si="0"/>
        <v>200</v>
      </c>
      <c r="D9">
        <f>'[3]普通怪-攻击'!$D$9</f>
        <v>82</v>
      </c>
      <c r="E9">
        <f>'[3]普通怪-攻击'!$E$9</f>
        <v>120</v>
      </c>
      <c r="F9">
        <f>ROUND('[3]普通怪-攻击'!$F$9 *1000,0)</f>
        <v>101</v>
      </c>
      <c r="G9">
        <f>ROUND('[3]普通怪-攻击'!$H$9 *100,0)</f>
        <v>70</v>
      </c>
      <c r="H9">
        <f>'[3]普通怪-攻击'!$I$9</f>
        <v>38</v>
      </c>
      <c r="I9">
        <f>'[3]普通怪-攻击'!$J$9</f>
        <v>25</v>
      </c>
      <c r="J9">
        <f>'[3]普通怪-攻击'!$V$9</f>
        <v>0</v>
      </c>
      <c r="K9">
        <f>'[3]普通怪-攻击'!$Y$9</f>
        <v>0</v>
      </c>
      <c r="L9">
        <f>'[3]普通怪-攻击'!$Z$9</f>
        <v>0</v>
      </c>
    </row>
    <row r="10" spans="1:12" x14ac:dyDescent="0.15">
      <c r="A10">
        <v>9</v>
      </c>
      <c r="B10">
        <f>'[3]普通怪-攻击'!$C$10</f>
        <v>1050</v>
      </c>
      <c r="C10">
        <f t="shared" si="0"/>
        <v>200</v>
      </c>
      <c r="D10">
        <f>'[3]普通怪-攻击'!$D$10</f>
        <v>86</v>
      </c>
      <c r="E10">
        <f>'[3]普通怪-攻击'!$E$10</f>
        <v>155</v>
      </c>
      <c r="F10">
        <f>ROUND('[3]普通怪-攻击'!$F$10*1000,0)</f>
        <v>101</v>
      </c>
      <c r="G10">
        <f>ROUND('[3]普通怪-攻击'!$H$10*100,0)</f>
        <v>70</v>
      </c>
      <c r="H10">
        <f>'[3]普通怪-攻击'!$I$10</f>
        <v>46</v>
      </c>
      <c r="I10">
        <f>'[3]普通怪-攻击'!$J$10</f>
        <v>26</v>
      </c>
      <c r="J10">
        <f>'[3]普通怪-攻击'!$V$10</f>
        <v>0</v>
      </c>
      <c r="K10">
        <f>'[3]普通怪-攻击'!$Y$10</f>
        <v>0</v>
      </c>
      <c r="L10">
        <f>'[3]普通怪-攻击'!$Z$10</f>
        <v>0</v>
      </c>
    </row>
    <row r="11" spans="1:12" x14ac:dyDescent="0.15">
      <c r="A11">
        <v>10</v>
      </c>
      <c r="B11">
        <f>'[3]普通怪-攻击'!$C$11</f>
        <v>1250</v>
      </c>
      <c r="C11">
        <f t="shared" si="0"/>
        <v>200</v>
      </c>
      <c r="D11">
        <f>'[3]普通怪-攻击'!$D$11</f>
        <v>94</v>
      </c>
      <c r="E11">
        <f>'[3]普通怪-攻击'!$E$11</f>
        <v>187</v>
      </c>
      <c r="F11">
        <f>ROUND('[3]普通怪-攻击'!$F$11*1000,0)</f>
        <v>101</v>
      </c>
      <c r="G11">
        <f>ROUND('[3]普通怪-攻击'!$H$11*100,0)</f>
        <v>70</v>
      </c>
      <c r="H11">
        <f>'[3]普通怪-攻击'!$I$11</f>
        <v>55</v>
      </c>
      <c r="I11">
        <f>'[3]普通怪-攻击'!$J$11</f>
        <v>28</v>
      </c>
      <c r="J11">
        <f>'[3]普通怪-攻击'!$V$11</f>
        <v>0</v>
      </c>
      <c r="K11">
        <f>'[3]普通怪-攻击'!$Y$11</f>
        <v>0</v>
      </c>
      <c r="L11">
        <f>'[3]普通怪-攻击'!$Z$11</f>
        <v>0</v>
      </c>
    </row>
    <row r="12" spans="1:12" x14ac:dyDescent="0.15">
      <c r="A12">
        <v>11</v>
      </c>
      <c r="B12">
        <f>'[3]普通怪-攻击'!$C$12</f>
        <v>1500</v>
      </c>
      <c r="C12">
        <f t="shared" si="0"/>
        <v>250</v>
      </c>
      <c r="D12">
        <f>'[3]普通怪-攻击'!$D$12</f>
        <v>171</v>
      </c>
      <c r="E12">
        <f>'[3]普通怪-攻击'!$E$12</f>
        <v>220</v>
      </c>
      <c r="F12">
        <f>ROUND('[3]普通怪-攻击'!$F$12*1000,0)</f>
        <v>101</v>
      </c>
      <c r="G12">
        <f>ROUND('[3]普通怪-攻击'!$H$12*100,0)</f>
        <v>70</v>
      </c>
      <c r="H12">
        <f>'[3]普通怪-攻击'!$I$12</f>
        <v>65</v>
      </c>
      <c r="I12">
        <f>'[3]普通怪-攻击'!$J$12</f>
        <v>51</v>
      </c>
      <c r="J12">
        <f>'[3]普通怪-攻击'!$V$12</f>
        <v>0</v>
      </c>
      <c r="K12">
        <f>'[3]普通怪-攻击'!$Y$12</f>
        <v>0</v>
      </c>
      <c r="L12">
        <f>'[3]普通怪-攻击'!$Z$12</f>
        <v>0</v>
      </c>
    </row>
    <row r="13" spans="1:12" x14ac:dyDescent="0.15">
      <c r="A13">
        <v>12</v>
      </c>
      <c r="B13">
        <f>'[3]普通怪-攻击'!$C$13</f>
        <v>1750</v>
      </c>
      <c r="C13">
        <f t="shared" si="0"/>
        <v>250</v>
      </c>
      <c r="D13">
        <f>'[3]普通怪-攻击'!$D$13</f>
        <v>194</v>
      </c>
      <c r="E13">
        <f>'[3]普通怪-攻击'!$E$13</f>
        <v>257</v>
      </c>
      <c r="F13">
        <f>ROUND('[3]普通怪-攻击'!$F$13*1000,0)</f>
        <v>102</v>
      </c>
      <c r="G13">
        <f>ROUND('[3]普通怪-攻击'!$H$13*100,0)</f>
        <v>70</v>
      </c>
      <c r="H13">
        <f>ROUND('[3]普通怪-攻击'!$H$13*100,0)</f>
        <v>70</v>
      </c>
      <c r="I13">
        <f>'[3]普通怪-攻击'!$J$13</f>
        <v>58</v>
      </c>
      <c r="J13">
        <f>'[3]普通怪-攻击'!$V$13</f>
        <v>0</v>
      </c>
      <c r="K13">
        <f>'[3]普通怪-攻击'!$Y$13</f>
        <v>0</v>
      </c>
      <c r="L13">
        <f>'[3]普通怪-攻击'!$Z$13</f>
        <v>0</v>
      </c>
    </row>
    <row r="14" spans="1:12" x14ac:dyDescent="0.15">
      <c r="A14">
        <v>13</v>
      </c>
      <c r="B14">
        <f>'[3]普通怪-攻击'!$C$14</f>
        <v>2050</v>
      </c>
      <c r="C14">
        <f t="shared" si="0"/>
        <v>300</v>
      </c>
      <c r="D14">
        <f>'[3]普通怪-攻击'!$D$14</f>
        <v>226</v>
      </c>
      <c r="E14">
        <f>'[3]普通怪-攻击'!$E$14</f>
        <v>298</v>
      </c>
      <c r="F14">
        <f>ROUND('[3]普通怪-攻击'!$F$14*1000,0)</f>
        <v>102</v>
      </c>
      <c r="G14">
        <f>ROUND('[3]普通怪-攻击'!$H$14*100,0)</f>
        <v>70</v>
      </c>
      <c r="H14">
        <f>'[3]普通怪-攻击'!$I$14</f>
        <v>88</v>
      </c>
      <c r="I14">
        <f>'[3]普通怪-攻击'!$J$14</f>
        <v>68</v>
      </c>
      <c r="J14">
        <f>'[3]普通怪-攻击'!$V$14</f>
        <v>0</v>
      </c>
      <c r="K14">
        <f>'[3]普通怪-攻击'!$Y$14</f>
        <v>0</v>
      </c>
      <c r="L14">
        <f>'[3]普通怪-攻击'!$Z$14</f>
        <v>0</v>
      </c>
    </row>
    <row r="15" spans="1:12" x14ac:dyDescent="0.15">
      <c r="A15">
        <v>14</v>
      </c>
      <c r="B15">
        <f>'[3]普通怪-攻击'!$C$15</f>
        <v>2400</v>
      </c>
      <c r="C15">
        <f t="shared" si="0"/>
        <v>350</v>
      </c>
      <c r="D15">
        <f>'[3]普通怪-攻击'!$D$15</f>
        <v>358</v>
      </c>
      <c r="E15">
        <f>'[3]普通怪-攻击'!$E$15</f>
        <v>344</v>
      </c>
      <c r="F15">
        <f>ROUND('[3]普通怪-攻击'!$F$15*1000,0)</f>
        <v>102</v>
      </c>
      <c r="G15">
        <f>ROUND('[3]普通怪-攻击'!$H$15*100,0)</f>
        <v>70</v>
      </c>
      <c r="H15">
        <f>'[3]普通怪-攻击'!$I$15</f>
        <v>101</v>
      </c>
      <c r="I15">
        <f>'[3]普通怪-攻击'!$J$15</f>
        <v>107</v>
      </c>
      <c r="J15">
        <f>'[3]普通怪-攻击'!$V$15</f>
        <v>0</v>
      </c>
      <c r="K15">
        <f>'[3]普通怪-攻击'!$Y$15</f>
        <v>0</v>
      </c>
      <c r="L15">
        <f>'[3]普通怪-攻击'!$Z$15</f>
        <v>0</v>
      </c>
    </row>
    <row r="16" spans="1:12" x14ac:dyDescent="0.15">
      <c r="A16">
        <v>15</v>
      </c>
      <c r="B16">
        <f>'[3]普通怪-攻击'!$C$16</f>
        <v>2850</v>
      </c>
      <c r="C16">
        <f t="shared" si="0"/>
        <v>450</v>
      </c>
      <c r="D16">
        <f>'[3]普通怪-攻击'!$D$16</f>
        <v>439</v>
      </c>
      <c r="E16">
        <f>'[3]普通怪-攻击'!$E$16</f>
        <v>395</v>
      </c>
      <c r="F16">
        <f>ROUND('[3]普通怪-攻击'!$F$16*1000,0)</f>
        <v>103</v>
      </c>
      <c r="G16">
        <f>ROUND('[3]普通怪-攻击'!$H$16*100,0)</f>
        <v>70</v>
      </c>
      <c r="H16">
        <f>'[3]普通怪-攻击'!$I$16</f>
        <v>116</v>
      </c>
      <c r="I16">
        <f>'[3]普通怪-攻击'!$J$16</f>
        <v>132</v>
      </c>
      <c r="J16">
        <f>'[3]普通怪-攻击'!$V$16</f>
        <v>0</v>
      </c>
      <c r="K16">
        <f>'[3]普通怪-攻击'!$Y$16</f>
        <v>0</v>
      </c>
      <c r="L16">
        <f>'[3]普通怪-攻击'!$Z$16</f>
        <v>0</v>
      </c>
    </row>
    <row r="17" spans="1:12" x14ac:dyDescent="0.15">
      <c r="A17">
        <v>16</v>
      </c>
      <c r="B17">
        <f>'[3]普通怪-攻击'!$C$17</f>
        <v>3350</v>
      </c>
      <c r="C17">
        <f t="shared" si="0"/>
        <v>500</v>
      </c>
      <c r="D17">
        <f>'[3]普通怪-攻击'!$D$17</f>
        <v>654</v>
      </c>
      <c r="E17">
        <f>'[3]普通怪-攻击'!$E$17</f>
        <v>452</v>
      </c>
      <c r="F17">
        <f>ROUND('[3]普通怪-攻击'!$F$17*1000,0)</f>
        <v>103</v>
      </c>
      <c r="G17">
        <f>ROUND('[3]普通怪-攻击'!$H$17*100,0)</f>
        <v>70</v>
      </c>
      <c r="H17">
        <f>'[3]普通怪-攻击'!$I$17</f>
        <v>133</v>
      </c>
      <c r="I17">
        <f>'[3]普通怪-攻击'!$J$17</f>
        <v>196</v>
      </c>
      <c r="J17">
        <f>'[3]普通怪-攻击'!$V$17</f>
        <v>0</v>
      </c>
      <c r="K17">
        <f>'[3]普通怪-攻击'!$Y$17</f>
        <v>0</v>
      </c>
      <c r="L17">
        <f>'[3]普通怪-攻击'!$Z$17</f>
        <v>0</v>
      </c>
    </row>
    <row r="18" spans="1:12" x14ac:dyDescent="0.15">
      <c r="A18">
        <v>17</v>
      </c>
      <c r="B18">
        <f>'[3]普通怪-攻击'!$C$18</f>
        <v>3900</v>
      </c>
      <c r="C18">
        <f t="shared" si="0"/>
        <v>550</v>
      </c>
      <c r="D18">
        <f>'[3]普通怪-攻击'!$D$18</f>
        <v>772</v>
      </c>
      <c r="E18">
        <f>'[3]普通怪-攻击'!$E$18</f>
        <v>515</v>
      </c>
      <c r="F18">
        <f>ROUND('[3]普通怪-攻击'!$F$18*1000,0)</f>
        <v>104</v>
      </c>
      <c r="G18">
        <f>ROUND('[3]普通怪-攻击'!$H$18*100,0)</f>
        <v>70</v>
      </c>
      <c r="H18">
        <f>'[3]普通怪-攻击'!$I$18</f>
        <v>152</v>
      </c>
      <c r="I18">
        <f>'[3]普通怪-攻击'!$J$18</f>
        <v>232</v>
      </c>
      <c r="J18">
        <f>'[3]普通怪-攻击'!$V$18</f>
        <v>0</v>
      </c>
      <c r="K18">
        <f>'[3]普通怪-攻击'!$Y$18</f>
        <v>0</v>
      </c>
      <c r="L18">
        <f>'[3]普通怪-攻击'!$Z$18</f>
        <v>0</v>
      </c>
    </row>
    <row r="19" spans="1:12" x14ac:dyDescent="0.15">
      <c r="A19">
        <v>18</v>
      </c>
      <c r="B19">
        <f>'[3]普通怪-攻击'!$C$19</f>
        <v>4550</v>
      </c>
      <c r="C19">
        <f t="shared" si="0"/>
        <v>650</v>
      </c>
      <c r="D19">
        <f>'[3]普通怪-攻击'!$D$19</f>
        <v>920</v>
      </c>
      <c r="E19">
        <f>'[3]普通怪-攻击'!$E$19</f>
        <v>585</v>
      </c>
      <c r="F19">
        <f>ROUND('[3]普通怪-攻击'!$F$19*1000,0)</f>
        <v>105</v>
      </c>
      <c r="G19">
        <f>ROUND('[3]普通怪-攻击'!$H$19*100,0)</f>
        <v>70</v>
      </c>
      <c r="H19">
        <f>'[3]普通怪-攻击'!$I$19</f>
        <v>173</v>
      </c>
      <c r="I19">
        <f>'[3]普通怪-攻击'!$J$19</f>
        <v>276</v>
      </c>
      <c r="J19">
        <f>'[3]普通怪-攻击'!$V$19</f>
        <v>0</v>
      </c>
      <c r="K19">
        <f>'[3]普通怪-攻击'!$Y$19</f>
        <v>0</v>
      </c>
      <c r="L19">
        <f>'[3]普通怪-攻击'!$Z$19</f>
        <v>0</v>
      </c>
    </row>
    <row r="20" spans="1:12" x14ac:dyDescent="0.15">
      <c r="A20">
        <v>19</v>
      </c>
      <c r="B20">
        <f>'[3]普通怪-攻击'!$C$20</f>
        <v>5500</v>
      </c>
      <c r="C20">
        <f t="shared" si="0"/>
        <v>950</v>
      </c>
      <c r="D20">
        <f>'[3]普通怪-攻击'!$D$20</f>
        <v>1378</v>
      </c>
      <c r="E20">
        <f>'[3]普通怪-攻击'!$E$20</f>
        <v>663</v>
      </c>
      <c r="F20">
        <f>ROUND('[3]普通怪-攻击'!$F$20*1000,0)</f>
        <v>105</v>
      </c>
      <c r="G20">
        <f>ROUND('[3]普通怪-攻击'!$H$20*100,0)</f>
        <v>70</v>
      </c>
      <c r="H20">
        <f>'[3]普通怪-攻击'!$I$20</f>
        <v>196</v>
      </c>
      <c r="I20">
        <f>'[3]普通怪-攻击'!$J$20</f>
        <v>413</v>
      </c>
      <c r="J20">
        <f>'[3]普通怪-攻击'!$V$20</f>
        <v>0</v>
      </c>
      <c r="K20">
        <f>'[3]普通怪-攻击'!$Y$20</f>
        <v>0</v>
      </c>
      <c r="L20">
        <f>'[3]普通怪-攻击'!$Z$20</f>
        <v>0</v>
      </c>
    </row>
    <row r="21" spans="1:12" x14ac:dyDescent="0.15">
      <c r="A21">
        <v>20</v>
      </c>
      <c r="B21">
        <f>'[3]普通怪-攻击'!$C$21</f>
        <v>6600</v>
      </c>
      <c r="C21">
        <f t="shared" si="0"/>
        <v>1100</v>
      </c>
      <c r="D21">
        <f>'[3]普通怪-攻击'!$D$21</f>
        <v>1881</v>
      </c>
      <c r="E21">
        <f>'[3]普通怪-攻击'!$E$21</f>
        <v>796</v>
      </c>
      <c r="F21">
        <f>ROUND('[3]普通怪-攻击'!$F$21*1000,0)</f>
        <v>107</v>
      </c>
      <c r="G21">
        <f>ROUND('[3]普通怪-攻击'!$H$21*100,0)</f>
        <v>70</v>
      </c>
      <c r="H21">
        <f>'[3]普通怪-攻击'!$I$21</f>
        <v>222</v>
      </c>
      <c r="I21">
        <f>'[3]普通怪-攻击'!$J$21</f>
        <v>564</v>
      </c>
      <c r="J21">
        <f>'[3]普通怪-攻击'!$V$21</f>
        <v>0</v>
      </c>
      <c r="K21">
        <f>'[3]普通怪-攻击'!$Y$21</f>
        <v>0</v>
      </c>
      <c r="L21">
        <f>'[3]普通怪-攻击'!$Z$21</f>
        <v>0</v>
      </c>
    </row>
    <row r="22" spans="1:12" x14ac:dyDescent="0.15">
      <c r="A22">
        <v>21</v>
      </c>
      <c r="B22">
        <f>'[3]普通怪-攻击'!$C$22</f>
        <v>9450</v>
      </c>
      <c r="C22">
        <f t="shared" si="0"/>
        <v>2850</v>
      </c>
      <c r="D22">
        <f>'[3]普通怪-攻击'!$D$22</f>
        <v>2632</v>
      </c>
      <c r="E22">
        <f>'[3]普通怪-攻击'!$E$22</f>
        <v>982</v>
      </c>
      <c r="F22">
        <f>ROUND('[3]普通怪-攻击'!$F$22*1000,0)</f>
        <v>109</v>
      </c>
      <c r="G22">
        <f>ROUND('[3]普通怪-攻击'!$H$22*100,0)</f>
        <v>70</v>
      </c>
      <c r="H22">
        <f>'[3]普通怪-攻击'!$I$22</f>
        <v>261</v>
      </c>
      <c r="I22">
        <f>'[3]普通怪-攻击'!$J$22</f>
        <v>790</v>
      </c>
      <c r="J22">
        <f>'[3]普通怪-攻击'!$V$22</f>
        <v>0</v>
      </c>
      <c r="K22">
        <f>'[3]普通怪-攻击'!$Y$22</f>
        <v>0</v>
      </c>
      <c r="L22">
        <f>'[3]普通怪-攻击'!$Z$22</f>
        <v>0</v>
      </c>
    </row>
    <row r="23" spans="1:12" x14ac:dyDescent="0.15">
      <c r="A23">
        <v>22</v>
      </c>
      <c r="B23">
        <f>'[3]普通怪-攻击'!$C$23</f>
        <v>12800</v>
      </c>
      <c r="C23">
        <f t="shared" si="0"/>
        <v>3350</v>
      </c>
      <c r="D23">
        <f>'[3]普通怪-攻击'!$D$23</f>
        <v>4171</v>
      </c>
      <c r="E23">
        <f>'[3]普通怪-攻击'!$E$23</f>
        <v>1242</v>
      </c>
      <c r="F23">
        <f>ROUND('[3]普通怪-攻击'!$F$23*1000,0)</f>
        <v>113</v>
      </c>
      <c r="G23">
        <f>ROUND('[3]普通怪-攻击'!$H$23*100,0)</f>
        <v>70</v>
      </c>
      <c r="H23">
        <f>'[3]普通怪-攻击'!$I$23</f>
        <v>320</v>
      </c>
      <c r="I23">
        <f>'[3]普通怪-攻击'!$J$23</f>
        <v>1251</v>
      </c>
      <c r="J23">
        <f>'[3]普通怪-攻击'!$V$23</f>
        <v>0</v>
      </c>
      <c r="K23">
        <f>'[3]普通怪-攻击'!$Y$23</f>
        <v>0</v>
      </c>
      <c r="L23">
        <f>'[3]普通怪-攻击'!$Z$23</f>
        <v>0</v>
      </c>
    </row>
    <row r="24" spans="1:12" x14ac:dyDescent="0.15">
      <c r="A24">
        <v>23</v>
      </c>
      <c r="B24">
        <f>'[3]普通怪-攻击'!$C$24</f>
        <v>17400</v>
      </c>
      <c r="C24">
        <f t="shared" si="0"/>
        <v>4600</v>
      </c>
      <c r="D24">
        <f>'[3]普通怪-攻击'!$D$24</f>
        <v>5791</v>
      </c>
      <c r="E24">
        <f>'[3]普通怪-攻击'!$E$24</f>
        <v>1606</v>
      </c>
      <c r="F24">
        <f>ROUND('[3]普通怪-攻击'!$F$24*1000,0)</f>
        <v>117</v>
      </c>
      <c r="G24">
        <f>ROUND('[3]普通怪-攻击'!$H$24*100,0)</f>
        <v>70</v>
      </c>
      <c r="H24">
        <f>'[3]普通怪-攻击'!$I$24</f>
        <v>409</v>
      </c>
      <c r="I24">
        <f>'[3]普通怪-攻击'!$J$24</f>
        <v>1737</v>
      </c>
      <c r="J24">
        <f>'[3]普通怪-攻击'!$V$24</f>
        <v>0</v>
      </c>
      <c r="K24">
        <f>'[3]普通怪-攻击'!$Y$24</f>
        <v>0</v>
      </c>
      <c r="L24">
        <f>'[3]普通怪-攻击'!$Z$24</f>
        <v>0</v>
      </c>
    </row>
    <row r="25" spans="1:12" x14ac:dyDescent="0.15">
      <c r="A25">
        <v>24</v>
      </c>
      <c r="B25">
        <f>'[3]普通怪-攻击'!$C$25</f>
        <v>23250</v>
      </c>
      <c r="C25">
        <f t="shared" si="0"/>
        <v>5850</v>
      </c>
      <c r="D25">
        <f>'[3]普通怪-攻击'!$D$25</f>
        <v>7768</v>
      </c>
      <c r="E25">
        <f>'[3]普通怪-攻击'!$E$25</f>
        <v>2116</v>
      </c>
      <c r="F25">
        <f>ROUND('[3]普通怪-攻击'!$F$25*1000,0)</f>
        <v>123</v>
      </c>
      <c r="G25">
        <f>ROUND('[3]普通怪-攻击'!$H$25*100,0)</f>
        <v>70</v>
      </c>
      <c r="H25">
        <f>'[3]普通怪-攻击'!$I$25</f>
        <v>543</v>
      </c>
      <c r="I25">
        <f>'[3]普通怪-攻击'!$J$25</f>
        <v>2330</v>
      </c>
      <c r="J25">
        <f>'[3]普通怪-攻击'!$V$25</f>
        <v>0</v>
      </c>
      <c r="K25">
        <f>'[3]普通怪-攻击'!$Y$25</f>
        <v>0</v>
      </c>
      <c r="L25">
        <f>'[3]普通怪-攻击'!$Z$25</f>
        <v>0</v>
      </c>
    </row>
    <row r="26" spans="1:12" x14ac:dyDescent="0.15">
      <c r="A26">
        <v>25</v>
      </c>
      <c r="B26">
        <f>'[3]普通怪-攻击'!$C$26</f>
        <v>30750</v>
      </c>
      <c r="C26">
        <f t="shared" si="0"/>
        <v>7500</v>
      </c>
      <c r="D26">
        <f>'[3]普通怪-攻击'!$D$26</f>
        <v>10187</v>
      </c>
      <c r="E26">
        <f>'[3]普通怪-攻击'!$E$26</f>
        <v>2830</v>
      </c>
      <c r="F26">
        <f>ROUND('[3]普通怪-攻击'!$F$26*1000,0)</f>
        <v>131</v>
      </c>
      <c r="G26">
        <f>ROUND('[3]普通怪-攻击'!$H$26*100,0)</f>
        <v>70</v>
      </c>
      <c r="H26">
        <f>'[3]普通怪-攻击'!$I$26</f>
        <v>744</v>
      </c>
      <c r="I26">
        <f>'[3]普通怪-攻击'!$J$26</f>
        <v>3056</v>
      </c>
      <c r="J26">
        <f>'[3]普通怪-攻击'!$V$26</f>
        <v>0</v>
      </c>
      <c r="K26">
        <f>'[3]普通怪-攻击'!$Y$26</f>
        <v>0</v>
      </c>
      <c r="L26">
        <f>'[3]普通怪-攻击'!$Z$26</f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-0.499984740745262"/>
  </sheetPr>
  <dimension ref="A1:L26"/>
  <sheetViews>
    <sheetView workbookViewId="0">
      <selection activeCell="J19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'[3]普通怪-回复'!$C$2</f>
        <v>50</v>
      </c>
      <c r="C2">
        <f>B2-0</f>
        <v>50</v>
      </c>
      <c r="D2">
        <f>'[3]普通怪-回复'!$D$2</f>
        <v>24</v>
      </c>
      <c r="E2">
        <f>'[3]普通怪-回复'!$E$2</f>
        <v>5</v>
      </c>
      <c r="F2">
        <f>ROUND('[3]普通怪-回复'!$F$2 *1000,0)</f>
        <v>0</v>
      </c>
      <c r="G2">
        <f>ROUND('[3]普通怪-回复'!$H$2 *100,0)</f>
        <v>100</v>
      </c>
      <c r="H2">
        <f>'[3]普通怪-回复'!$I$2</f>
        <v>5</v>
      </c>
      <c r="I2">
        <f>'[3]普通怪-回复'!$J$2</f>
        <v>11</v>
      </c>
      <c r="J2">
        <f>'[3]普通怪-回复'!$V$2</f>
        <v>0</v>
      </c>
      <c r="K2">
        <f>'[3]普通怪-回复'!$Y$2</f>
        <v>0</v>
      </c>
      <c r="L2">
        <f>'[3]普通怪-回复'!$Z$2</f>
        <v>0</v>
      </c>
    </row>
    <row r="3" spans="1:12" x14ac:dyDescent="0.15">
      <c r="A3">
        <v>2</v>
      </c>
      <c r="B3">
        <f>'[3]普通怪-回复'!$C$3</f>
        <v>100</v>
      </c>
      <c r="C3">
        <f>B3-B2</f>
        <v>50</v>
      </c>
      <c r="D3">
        <f>'[3]普通怪-回复'!$D$3</f>
        <v>27</v>
      </c>
      <c r="E3">
        <f>'[3]普通怪-回复'!$E$3</f>
        <v>8</v>
      </c>
      <c r="F3">
        <f>ROUND('[3]普通怪-回复'!$F$3 *1000,0)</f>
        <v>0</v>
      </c>
      <c r="G3">
        <f>ROUND('[3]普通怪-回复'!$H$3 *100,0)</f>
        <v>100</v>
      </c>
      <c r="H3">
        <f>'[3]普通怪-回复'!$I$3</f>
        <v>9</v>
      </c>
      <c r="I3">
        <f>'[3]普通怪-回复'!$J$3</f>
        <v>12</v>
      </c>
      <c r="J3">
        <f>'[3]普通怪-回复'!$V$3</f>
        <v>0</v>
      </c>
      <c r="K3">
        <f>'[3]普通怪-回复'!$Y$3</f>
        <v>0</v>
      </c>
      <c r="L3">
        <f>'[3]普通怪-回复'!$Z$3</f>
        <v>0</v>
      </c>
    </row>
    <row r="4" spans="1:12" x14ac:dyDescent="0.15">
      <c r="A4">
        <v>3</v>
      </c>
      <c r="B4">
        <f>'[3]普通怪-回复'!$C$4</f>
        <v>150</v>
      </c>
      <c r="C4">
        <f t="shared" ref="C4:C26" si="0">B4-B3</f>
        <v>50</v>
      </c>
      <c r="D4">
        <f>'[3]普通怪-回复'!$D$4</f>
        <v>27</v>
      </c>
      <c r="E4">
        <f>'[3]普通怪-回复'!$E$4</f>
        <v>14</v>
      </c>
      <c r="F4">
        <f>ROUND('[3]普通怪-回复'!$F$4 *1000,0)</f>
        <v>0</v>
      </c>
      <c r="G4">
        <f>ROUND('[3]普通怪-回复'!$H$4 *100,0)</f>
        <v>100</v>
      </c>
      <c r="H4">
        <f>'[3]普通怪-回复'!$I$4</f>
        <v>13</v>
      </c>
      <c r="I4">
        <f>'[3]普通怪-回复'!$J$4</f>
        <v>12</v>
      </c>
      <c r="J4">
        <f>'[3]普通怪-回复'!$V$4</f>
        <v>0</v>
      </c>
      <c r="K4">
        <f>'[3]普通怪-回复'!$Y$4</f>
        <v>0</v>
      </c>
      <c r="L4">
        <f>'[3]普通怪-回复'!$Z$4</f>
        <v>0</v>
      </c>
    </row>
    <row r="5" spans="1:12" x14ac:dyDescent="0.15">
      <c r="A5">
        <v>4</v>
      </c>
      <c r="B5">
        <f>'[3]普通怪-回复'!$C$5</f>
        <v>250</v>
      </c>
      <c r="C5">
        <f t="shared" si="0"/>
        <v>100</v>
      </c>
      <c r="D5">
        <f>'[3]普通怪-回复'!$D$5</f>
        <v>30</v>
      </c>
      <c r="E5">
        <f>'[3]普通怪-回复'!$E$5</f>
        <v>27</v>
      </c>
      <c r="F5">
        <f>ROUND('[3]普通怪-回复'!$F$5 *1000,0)</f>
        <v>0</v>
      </c>
      <c r="G5">
        <f>ROUND('[3]普通怪-回复'!$H$5 *100,0)</f>
        <v>100</v>
      </c>
      <c r="H5">
        <f>'[3]普通怪-回复'!$I$5</f>
        <v>17</v>
      </c>
      <c r="I5">
        <f>'[3]普通怪-回复'!$J$5</f>
        <v>14</v>
      </c>
      <c r="J5">
        <f>'[3]普通怪-回复'!$V$5</f>
        <v>0</v>
      </c>
      <c r="K5">
        <f>'[3]普通怪-回复'!$Y$5</f>
        <v>0</v>
      </c>
      <c r="L5">
        <f>'[3]普通怪-回复'!$Z$5</f>
        <v>0</v>
      </c>
    </row>
    <row r="6" spans="1:12" x14ac:dyDescent="0.15">
      <c r="A6">
        <v>5</v>
      </c>
      <c r="B6">
        <f>'[3]普通怪-回复'!$C$6</f>
        <v>350</v>
      </c>
      <c r="C6">
        <f t="shared" si="0"/>
        <v>100</v>
      </c>
      <c r="D6">
        <f>'[3]普通怪-回复'!$D$6</f>
        <v>34</v>
      </c>
      <c r="E6">
        <f>'[3]普通怪-回复'!$E$6</f>
        <v>39</v>
      </c>
      <c r="F6">
        <f>ROUND('[3]普通怪-回复'!$F$6 *1000,0)</f>
        <v>0</v>
      </c>
      <c r="G6">
        <f>ROUND('[3]普通怪-回复'!$H$6 *100,0)</f>
        <v>100</v>
      </c>
      <c r="H6">
        <f>'[3]普通怪-回复'!$I$6</f>
        <v>21</v>
      </c>
      <c r="I6">
        <f>'[3]普通怪-回复'!$J$6</f>
        <v>15</v>
      </c>
      <c r="J6">
        <f>'[3]普通怪-回复'!$V$6</f>
        <v>0</v>
      </c>
      <c r="K6">
        <f>'[3]普通怪-回复'!$Y$6</f>
        <v>0</v>
      </c>
      <c r="L6">
        <f>'[3]普通怪-回复'!$Z$6</f>
        <v>0</v>
      </c>
    </row>
    <row r="7" spans="1:12" x14ac:dyDescent="0.15">
      <c r="A7">
        <v>6</v>
      </c>
      <c r="B7">
        <f>'[3]普通怪-回复'!$C$7</f>
        <v>500</v>
      </c>
      <c r="C7">
        <f t="shared" si="0"/>
        <v>150</v>
      </c>
      <c r="D7">
        <f>'[3]普通怪-回复'!$D$7</f>
        <v>48</v>
      </c>
      <c r="E7">
        <f>'[3]普通怪-回复'!$E$7</f>
        <v>53</v>
      </c>
      <c r="F7">
        <f>ROUND('[3]普通怪-回复'!$F$7 *1000,0)</f>
        <v>0</v>
      </c>
      <c r="G7">
        <f>ROUND('[3]普通怪-回复'!$H$7 *100,0)</f>
        <v>100</v>
      </c>
      <c r="H7">
        <f>'[3]普通怪-回复'!$I$7</f>
        <v>25</v>
      </c>
      <c r="I7">
        <f>'[3]普通怪-回复'!$J$7</f>
        <v>22</v>
      </c>
      <c r="J7">
        <f>'[3]普通怪-回复'!$V$7</f>
        <v>0</v>
      </c>
      <c r="K7">
        <f>'[3]普通怪-回复'!$Y$7</f>
        <v>0</v>
      </c>
      <c r="L7">
        <f>'[3]普通怪-回复'!$Z$7</f>
        <v>0</v>
      </c>
    </row>
    <row r="8" spans="1:12" x14ac:dyDescent="0.15">
      <c r="A8">
        <v>7</v>
      </c>
      <c r="B8">
        <f>'[3]普通怪-回复'!$C$8</f>
        <v>650</v>
      </c>
      <c r="C8">
        <f t="shared" si="0"/>
        <v>150</v>
      </c>
      <c r="D8">
        <f>'[3]普通怪-回复'!$D$8</f>
        <v>53</v>
      </c>
      <c r="E8">
        <f>'[3]普通怪-回复'!$E$8</f>
        <v>74</v>
      </c>
      <c r="F8">
        <f>ROUND('[3]普通怪-回复'!$F$8 *1000,0)</f>
        <v>0</v>
      </c>
      <c r="G8">
        <f>ROUND('[3]普通怪-回复'!$H$8 *100,0)</f>
        <v>100</v>
      </c>
      <c r="H8">
        <f>'[3]普通怪-回复'!$I$8</f>
        <v>29</v>
      </c>
      <c r="I8">
        <f>'[3]普通怪-回复'!$J$8</f>
        <v>24</v>
      </c>
      <c r="J8">
        <f>'[3]普通怪-回复'!$V$8</f>
        <v>0</v>
      </c>
      <c r="K8">
        <f>'[3]普通怪-回复'!$Y$8</f>
        <v>0</v>
      </c>
      <c r="L8">
        <f>'[3]普通怪-回复'!$Z$8</f>
        <v>0</v>
      </c>
    </row>
    <row r="9" spans="1:12" x14ac:dyDescent="0.15">
      <c r="A9">
        <v>8</v>
      </c>
      <c r="B9">
        <f>'[3]普通怪-回复'!$C$9</f>
        <v>850</v>
      </c>
      <c r="C9">
        <f t="shared" si="0"/>
        <v>200</v>
      </c>
      <c r="D9">
        <f>'[3]普通怪-回复'!$D$9</f>
        <v>100</v>
      </c>
      <c r="E9">
        <f>'[3]普通怪-回复'!$E$9</f>
        <v>95</v>
      </c>
      <c r="F9">
        <f>ROUND('[3]普通怪-回复'!$F$9 *1000,0)</f>
        <v>0</v>
      </c>
      <c r="G9">
        <f>ROUND('[3]普通怪-回复'!$H$9 *100,0)</f>
        <v>100</v>
      </c>
      <c r="H9">
        <f>'[3]普通怪-回复'!$I$9</f>
        <v>34</v>
      </c>
      <c r="I9">
        <f>'[3]普通怪-回复'!$J$9</f>
        <v>45</v>
      </c>
      <c r="J9">
        <f>'[3]普通怪-回复'!$V$9</f>
        <v>0</v>
      </c>
      <c r="K9">
        <f>'[3]普通怪-回复'!$Y$9</f>
        <v>0</v>
      </c>
      <c r="L9">
        <f>'[3]普通怪-回复'!$Z$9</f>
        <v>0</v>
      </c>
    </row>
    <row r="10" spans="1:12" x14ac:dyDescent="0.15">
      <c r="A10">
        <v>9</v>
      </c>
      <c r="B10">
        <f>'[3]普通怪-回复'!$C$10</f>
        <v>1050</v>
      </c>
      <c r="C10">
        <f t="shared" si="0"/>
        <v>200</v>
      </c>
      <c r="D10">
        <f>'[3]普通怪-回复'!$D$10</f>
        <v>119</v>
      </c>
      <c r="E10">
        <f>'[3]普通怪-回复'!$E$10</f>
        <v>117</v>
      </c>
      <c r="F10">
        <f>ROUND('[3]普通怪-回复'!$F$10*1000,0)</f>
        <v>0</v>
      </c>
      <c r="G10">
        <f>ROUND('[3]普通怪-回复'!$H$10*100,0)</f>
        <v>100</v>
      </c>
      <c r="H10">
        <f>'[3]普通怪-回复'!$I$10</f>
        <v>40</v>
      </c>
      <c r="I10">
        <f>'[3]普通怪-回复'!$J$10</f>
        <v>54</v>
      </c>
      <c r="J10">
        <f>'[3]普通怪-回复'!$V$10</f>
        <v>0</v>
      </c>
      <c r="K10">
        <f>'[3]普通怪-回复'!$Y$10</f>
        <v>0</v>
      </c>
      <c r="L10">
        <f>'[3]普通怪-回复'!$Z$10</f>
        <v>0</v>
      </c>
    </row>
    <row r="11" spans="1:12" x14ac:dyDescent="0.15">
      <c r="A11">
        <v>10</v>
      </c>
      <c r="B11">
        <f>'[3]普通怪-回复'!$C$11</f>
        <v>1250</v>
      </c>
      <c r="C11">
        <f t="shared" si="0"/>
        <v>200</v>
      </c>
      <c r="D11">
        <f>'[3]普通怪-回复'!$D$11</f>
        <v>136</v>
      </c>
      <c r="E11">
        <f>'[3]普通怪-回复'!$E$11</f>
        <v>141</v>
      </c>
      <c r="F11">
        <f>ROUND('[3]普通怪-回复'!$F$11*1000,0)</f>
        <v>0</v>
      </c>
      <c r="G11">
        <f>ROUND('[3]普通怪-回复'!$H$11*100,0)</f>
        <v>100</v>
      </c>
      <c r="H11">
        <f>'[3]普通怪-回复'!$I$11</f>
        <v>47</v>
      </c>
      <c r="I11">
        <f>'[3]普通怪-回复'!$J$11</f>
        <v>61</v>
      </c>
      <c r="J11">
        <f>'[3]普通怪-回复'!$V$11</f>
        <v>0</v>
      </c>
      <c r="K11">
        <f>'[3]普通怪-回复'!$Y$11</f>
        <v>0</v>
      </c>
      <c r="L11">
        <f>'[3]普通怪-回复'!$Z$11</f>
        <v>0</v>
      </c>
    </row>
    <row r="12" spans="1:12" x14ac:dyDescent="0.15">
      <c r="A12">
        <v>11</v>
      </c>
      <c r="B12">
        <f>'[3]普通怪-回复'!$C$12</f>
        <v>1500</v>
      </c>
      <c r="C12">
        <f t="shared" si="0"/>
        <v>250</v>
      </c>
      <c r="D12">
        <f>'[3]普通怪-回复'!$D$12</f>
        <v>217</v>
      </c>
      <c r="E12">
        <f>'[3]普通怪-回复'!$E$12</f>
        <v>165</v>
      </c>
      <c r="F12">
        <f>ROUND('[3]普通怪-回复'!$F$12*1000,0)</f>
        <v>0</v>
      </c>
      <c r="G12">
        <f>ROUND('[3]普通怪-回复'!$H$12*100,0)</f>
        <v>100</v>
      </c>
      <c r="H12">
        <f>'[3]普通怪-回复'!$I$12</f>
        <v>55</v>
      </c>
      <c r="I12">
        <f>'[3]普通怪-回复'!$J$12</f>
        <v>98</v>
      </c>
      <c r="J12">
        <f>'[3]普通怪-回复'!$V$12</f>
        <v>0</v>
      </c>
      <c r="K12">
        <f>'[3]普通怪-回复'!$Y$12</f>
        <v>0</v>
      </c>
      <c r="L12">
        <f>'[3]普通怪-回复'!$Z$12</f>
        <v>0</v>
      </c>
    </row>
    <row r="13" spans="1:12" x14ac:dyDescent="0.15">
      <c r="A13">
        <v>12</v>
      </c>
      <c r="B13">
        <f>'[3]普通怪-回复'!$C$13</f>
        <v>1750</v>
      </c>
      <c r="C13">
        <f t="shared" si="0"/>
        <v>250</v>
      </c>
      <c r="D13">
        <f>'[3]普通怪-回复'!$D$13</f>
        <v>249</v>
      </c>
      <c r="E13">
        <f>'[3]普通怪-回复'!$E$13</f>
        <v>192</v>
      </c>
      <c r="F13">
        <f>ROUND('[3]普通怪-回复'!$F$13*1000,0)</f>
        <v>0</v>
      </c>
      <c r="G13">
        <f>ROUND('[3]普通怪-回复'!$H$13*100,0)</f>
        <v>100</v>
      </c>
      <c r="H13">
        <f>'[3]普通怪-回复'!$I$13</f>
        <v>64</v>
      </c>
      <c r="I13">
        <f>'[3]普通怪-回复'!$J$13</f>
        <v>112</v>
      </c>
      <c r="J13">
        <f>'[3]普通怪-回复'!$V$13</f>
        <v>0</v>
      </c>
      <c r="K13">
        <f>'[3]普通怪-回复'!$Y$13</f>
        <v>0</v>
      </c>
      <c r="L13">
        <f>'[3]普通怪-回复'!$Z$13</f>
        <v>0</v>
      </c>
    </row>
    <row r="14" spans="1:12" x14ac:dyDescent="0.15">
      <c r="A14">
        <v>13</v>
      </c>
      <c r="B14">
        <f>'[3]普通怪-回复'!$C$14</f>
        <v>2050</v>
      </c>
      <c r="C14">
        <f t="shared" si="0"/>
        <v>300</v>
      </c>
      <c r="D14">
        <f>'[3]普通怪-回复'!$D$14</f>
        <v>291</v>
      </c>
      <c r="E14">
        <f>'[3]普通怪-回复'!$E$14</f>
        <v>222</v>
      </c>
      <c r="F14">
        <f>ROUND('[3]普通怪-回复'!$F$14*1000,0)</f>
        <v>0</v>
      </c>
      <c r="G14">
        <f>ROUND('[3]普通怪-回复'!$H$14*100,0)</f>
        <v>100</v>
      </c>
      <c r="H14">
        <f>'[3]普通怪-回复'!$I$14</f>
        <v>74</v>
      </c>
      <c r="I14">
        <f>'[3]普通怪-回复'!$J$14</f>
        <v>131</v>
      </c>
      <c r="J14">
        <f>'[3]普通怪-回复'!$V$14</f>
        <v>0</v>
      </c>
      <c r="K14">
        <f>'[3]普通怪-回复'!$Y$14</f>
        <v>0</v>
      </c>
      <c r="L14">
        <f>'[3]普通怪-回复'!$Z$14</f>
        <v>0</v>
      </c>
    </row>
    <row r="15" spans="1:12" x14ac:dyDescent="0.15">
      <c r="A15">
        <v>14</v>
      </c>
      <c r="B15">
        <f>'[3]普通怪-回复'!$C$15</f>
        <v>2400</v>
      </c>
      <c r="C15">
        <f t="shared" si="0"/>
        <v>350</v>
      </c>
      <c r="D15">
        <f>'[3]普通怪-回复'!$D$15</f>
        <v>426</v>
      </c>
      <c r="E15">
        <f>'[3]普通怪-回复'!$E$15</f>
        <v>255</v>
      </c>
      <c r="F15">
        <f>ROUND('[3]普通怪-回复'!$F$15*1000,0)</f>
        <v>0</v>
      </c>
      <c r="G15">
        <f>ROUND('[3]普通怪-回复'!$H$15*100,0)</f>
        <v>100</v>
      </c>
      <c r="H15">
        <f>'[3]普通怪-回复'!$I$15</f>
        <v>85</v>
      </c>
      <c r="I15">
        <f>'[3]普通怪-回复'!$J$15</f>
        <v>192</v>
      </c>
      <c r="J15">
        <f>'[3]普通怪-回复'!$V$15</f>
        <v>0</v>
      </c>
      <c r="K15">
        <f>'[3]普通怪-回复'!$Y$15</f>
        <v>0</v>
      </c>
      <c r="L15">
        <f>'[3]普通怪-回复'!$Z$15</f>
        <v>0</v>
      </c>
    </row>
    <row r="16" spans="1:12" x14ac:dyDescent="0.15">
      <c r="A16">
        <v>15</v>
      </c>
      <c r="B16">
        <f>'[3]普通怪-回复'!$C$16</f>
        <v>2850</v>
      </c>
      <c r="C16">
        <f t="shared" si="0"/>
        <v>450</v>
      </c>
      <c r="D16">
        <f>'[3]普通怪-回复'!$D$16</f>
        <v>517</v>
      </c>
      <c r="E16">
        <f>'[3]普通怪-回复'!$E$16</f>
        <v>292</v>
      </c>
      <c r="F16">
        <f>ROUND('[3]普通怪-回复'!$F$16*1000,0)</f>
        <v>0</v>
      </c>
      <c r="G16">
        <f>ROUND('[3]普通怪-回复'!$H$16*100,0)</f>
        <v>100</v>
      </c>
      <c r="H16">
        <f>'[3]普通怪-回复'!$I$16</f>
        <v>97</v>
      </c>
      <c r="I16">
        <f>'[3]普通怪-回复'!$J$16</f>
        <v>233</v>
      </c>
      <c r="J16">
        <f>'[3]普通怪-回复'!$V$16</f>
        <v>0</v>
      </c>
      <c r="K16">
        <f>'[3]普通怪-回复'!$Y$16</f>
        <v>0</v>
      </c>
      <c r="L16">
        <f>'[3]普通怪-回复'!$Z$16</f>
        <v>0</v>
      </c>
    </row>
    <row r="17" spans="1:12" x14ac:dyDescent="0.15">
      <c r="A17">
        <v>16</v>
      </c>
      <c r="B17">
        <f>'[3]普通怪-回复'!$C$17</f>
        <v>3350</v>
      </c>
      <c r="C17">
        <f t="shared" si="0"/>
        <v>500</v>
      </c>
      <c r="D17">
        <f>'[3]普通怪-回复'!$D$17</f>
        <v>733</v>
      </c>
      <c r="E17">
        <f>'[3]普通怪-回复'!$E$17</f>
        <v>333</v>
      </c>
      <c r="F17">
        <f>ROUND('[3]普通怪-回复'!$F$17*1000,0)</f>
        <v>0</v>
      </c>
      <c r="G17">
        <f>ROUND('[3]普通怪-回复'!$H$17*100,0)</f>
        <v>100</v>
      </c>
      <c r="H17">
        <f>'[3]普通怪-回复'!$I$17</f>
        <v>110</v>
      </c>
      <c r="I17">
        <f>'[3]普通怪-回复'!$J$17</f>
        <v>330</v>
      </c>
      <c r="J17">
        <f>'[3]普通怪-回复'!$V$17</f>
        <v>0</v>
      </c>
      <c r="K17">
        <f>'[3]普通怪-回复'!$Y$17</f>
        <v>0</v>
      </c>
      <c r="L17">
        <f>'[3]普通怪-回复'!$Z$17</f>
        <v>0</v>
      </c>
    </row>
    <row r="18" spans="1:12" x14ac:dyDescent="0.15">
      <c r="A18">
        <v>17</v>
      </c>
      <c r="B18">
        <f>'[3]普通怪-回复'!$C$18</f>
        <v>3900</v>
      </c>
      <c r="C18">
        <f t="shared" si="0"/>
        <v>550</v>
      </c>
      <c r="D18">
        <f>'[3]普通怪-回复'!$D$18</f>
        <v>861</v>
      </c>
      <c r="E18">
        <f>'[3]普通怪-回复'!$E$18</f>
        <v>379</v>
      </c>
      <c r="F18">
        <f>ROUND('[3]普通怪-回复'!$F$18*1000,0)</f>
        <v>0</v>
      </c>
      <c r="G18">
        <f>ROUND('[3]普通怪-回复'!$H$18*100,0)</f>
        <v>100</v>
      </c>
      <c r="H18">
        <f>'[3]普通怪-回复'!$I$18</f>
        <v>125</v>
      </c>
      <c r="I18">
        <f>'[3]普通怪-回复'!$J$18</f>
        <v>387</v>
      </c>
      <c r="J18">
        <f>'[3]普通怪-回复'!$V$18</f>
        <v>0</v>
      </c>
      <c r="K18">
        <f>'[3]普通怪-回复'!$Y$18</f>
        <v>0</v>
      </c>
      <c r="L18">
        <f>'[3]普通怪-回复'!$Z$18</f>
        <v>0</v>
      </c>
    </row>
    <row r="19" spans="1:12" x14ac:dyDescent="0.15">
      <c r="A19">
        <v>18</v>
      </c>
      <c r="B19">
        <f>'[3]普通怪-回复'!$C$19</f>
        <v>4550</v>
      </c>
      <c r="C19">
        <f t="shared" si="0"/>
        <v>650</v>
      </c>
      <c r="D19">
        <f>'[3]普通怪-回复'!$D$19</f>
        <v>1018</v>
      </c>
      <c r="E19">
        <f>'[3]普通怪-回复'!$E$19</f>
        <v>430</v>
      </c>
      <c r="F19">
        <f>ROUND('[3]普通怪-回复'!$F$19*1000,0)</f>
        <v>0</v>
      </c>
      <c r="G19">
        <f>ROUND('[3]普通怪-回复'!$H$19*100,0)</f>
        <v>100</v>
      </c>
      <c r="H19">
        <f>'[3]普通怪-回复'!$I$19</f>
        <v>142</v>
      </c>
      <c r="I19">
        <f>'[3]普通怪-回复'!$J$19</f>
        <v>458</v>
      </c>
      <c r="J19">
        <f>'[3]普通怪-回复'!$V$19</f>
        <v>0</v>
      </c>
      <c r="K19">
        <f>'[3]普通怪-回复'!$Y$19</f>
        <v>0</v>
      </c>
      <c r="L19">
        <f>'[3]普通怪-回复'!$Z$19</f>
        <v>0</v>
      </c>
    </row>
    <row r="20" spans="1:12" x14ac:dyDescent="0.15">
      <c r="A20">
        <v>19</v>
      </c>
      <c r="B20">
        <f>'[3]普通怪-回复'!$C$20</f>
        <v>5500</v>
      </c>
      <c r="C20">
        <f t="shared" si="0"/>
        <v>950</v>
      </c>
      <c r="D20">
        <f>'[3]普通怪-回复'!$D$20</f>
        <v>1460</v>
      </c>
      <c r="E20">
        <f>'[3]普通怪-回复'!$E$20</f>
        <v>487</v>
      </c>
      <c r="F20">
        <f>ROUND('[3]普通怪-回复'!$F$20*1000,0)</f>
        <v>0</v>
      </c>
      <c r="G20">
        <f>ROUND('[3]普通怪-回复'!$H$20*100,0)</f>
        <v>100</v>
      </c>
      <c r="H20">
        <f>'[3]普通怪-回复'!$I$20</f>
        <v>161</v>
      </c>
      <c r="I20">
        <f>'[3]普通怪-回复'!$J$20</f>
        <v>657</v>
      </c>
      <c r="J20">
        <f>'[3]普通怪-回复'!$V$20</f>
        <v>0</v>
      </c>
      <c r="K20">
        <f>'[3]普通怪-回复'!$Y$20</f>
        <v>0</v>
      </c>
      <c r="L20">
        <f>'[3]普通怪-回复'!$Z$20</f>
        <v>0</v>
      </c>
    </row>
    <row r="21" spans="1:12" x14ac:dyDescent="0.15">
      <c r="A21">
        <v>20</v>
      </c>
      <c r="B21">
        <f>'[3]普通怪-回复'!$C$21</f>
        <v>6600</v>
      </c>
      <c r="C21">
        <f t="shared" si="0"/>
        <v>1100</v>
      </c>
      <c r="D21">
        <f>'[3]普通怪-回复'!$D$21</f>
        <v>1939</v>
      </c>
      <c r="E21">
        <f>'[3]普通怪-回复'!$E$21</f>
        <v>600</v>
      </c>
      <c r="F21">
        <f>ROUND('[3]普通怪-回复'!$F$21*1000,0)</f>
        <v>0</v>
      </c>
      <c r="G21">
        <f>ROUND('[3]普通怪-回复'!$H$21*100,0)</f>
        <v>100</v>
      </c>
      <c r="H21">
        <f>'[3]普通怪-回复'!$I$21</f>
        <v>182</v>
      </c>
      <c r="I21">
        <f>'[3]普通怪-回复'!$J$21</f>
        <v>873</v>
      </c>
      <c r="J21">
        <f>'[3]普通怪-回复'!$V$21</f>
        <v>0</v>
      </c>
      <c r="K21">
        <f>'[3]普通怪-回复'!$Y$21</f>
        <v>0</v>
      </c>
      <c r="L21">
        <f>'[3]普通怪-回复'!$Z$21</f>
        <v>0</v>
      </c>
    </row>
    <row r="22" spans="1:12" x14ac:dyDescent="0.15">
      <c r="A22">
        <v>21</v>
      </c>
      <c r="B22">
        <f>'[3]普通怪-回复'!$C$22</f>
        <v>9450</v>
      </c>
      <c r="C22">
        <f t="shared" si="0"/>
        <v>2850</v>
      </c>
      <c r="D22">
        <f>'[3]普通怪-回复'!$D$22</f>
        <v>2647</v>
      </c>
      <c r="E22">
        <f>'[3]普通怪-回复'!$E$22</f>
        <v>764</v>
      </c>
      <c r="F22">
        <f>ROUND('[3]普通怪-回复'!$F$22*1000,0)</f>
        <v>0</v>
      </c>
      <c r="G22">
        <f>ROUND('[3]普通怪-回复'!$H$22*100,0)</f>
        <v>100</v>
      </c>
      <c r="H22">
        <f>'[3]普通怪-回复'!$I$22</f>
        <v>214</v>
      </c>
      <c r="I22">
        <f>'[3]普通怪-回复'!$J$22</f>
        <v>1191</v>
      </c>
      <c r="J22">
        <f>'[3]普通怪-回复'!$V$22</f>
        <v>0</v>
      </c>
      <c r="K22">
        <f>'[3]普通怪-回复'!$Y$22</f>
        <v>0</v>
      </c>
      <c r="L22">
        <f>'[3]普通怪-回复'!$Z$22</f>
        <v>0</v>
      </c>
    </row>
    <row r="23" spans="1:12" x14ac:dyDescent="0.15">
      <c r="A23">
        <v>22</v>
      </c>
      <c r="B23">
        <f>'[3]普通怪-回复'!$C$23</f>
        <v>12800</v>
      </c>
      <c r="C23">
        <f t="shared" si="0"/>
        <v>3350</v>
      </c>
      <c r="D23">
        <f>'[3]普通怪-回复'!$D$23</f>
        <v>4036</v>
      </c>
      <c r="E23">
        <f>'[3]普通怪-回复'!$E$23</f>
        <v>1032</v>
      </c>
      <c r="F23">
        <f>ROUND('[3]普通怪-回复'!$F$23*1000,0)</f>
        <v>0</v>
      </c>
      <c r="G23">
        <f>ROUND('[3]普通怪-回复'!$H$23*100,0)</f>
        <v>100</v>
      </c>
      <c r="H23">
        <f>'[3]普通怪-回复'!$I$23</f>
        <v>262</v>
      </c>
      <c r="I23">
        <f>'[3]普通怪-回复'!$J$23</f>
        <v>1816</v>
      </c>
      <c r="J23">
        <f>'[3]普通怪-回复'!$V$23</f>
        <v>0</v>
      </c>
      <c r="K23">
        <f>'[3]普通怪-回复'!$Y$23</f>
        <v>0</v>
      </c>
      <c r="L23">
        <f>'[3]普通怪-回复'!$Z$23</f>
        <v>0</v>
      </c>
    </row>
    <row r="24" spans="1:12" x14ac:dyDescent="0.15">
      <c r="A24">
        <v>23</v>
      </c>
      <c r="B24">
        <f>'[3]普通怪-回复'!$C$24</f>
        <v>17400</v>
      </c>
      <c r="C24">
        <f t="shared" si="0"/>
        <v>4600</v>
      </c>
      <c r="D24">
        <f>'[3]普通怪-回复'!$D$24</f>
        <v>5509</v>
      </c>
      <c r="E24">
        <f>'[3]普通怪-回复'!$E$24</f>
        <v>1400</v>
      </c>
      <c r="F24">
        <f>ROUND('[3]普通怪-回复'!$F$24*1000,0)</f>
        <v>0</v>
      </c>
      <c r="G24">
        <f>ROUND('[3]普通怪-回复'!$H$24*100,0)</f>
        <v>100</v>
      </c>
      <c r="H24">
        <f>'[3]普通怪-回复'!$I$24</f>
        <v>334</v>
      </c>
      <c r="I24">
        <f>'[3]普通怪-回复'!$J$24</f>
        <v>2479</v>
      </c>
      <c r="J24">
        <f>'[3]普通怪-回复'!$V$24</f>
        <v>0</v>
      </c>
      <c r="K24">
        <f>'[3]普通怪-回复'!$Y$24</f>
        <v>0</v>
      </c>
      <c r="L24">
        <f>'[3]普通怪-回复'!$Z$24</f>
        <v>0</v>
      </c>
    </row>
    <row r="25" spans="1:12" x14ac:dyDescent="0.15">
      <c r="A25">
        <v>24</v>
      </c>
      <c r="B25">
        <f>'[3]普通怪-回复'!$C$25</f>
        <v>23250</v>
      </c>
      <c r="C25">
        <f t="shared" si="0"/>
        <v>5850</v>
      </c>
      <c r="D25">
        <f>'[3]普通怪-回复'!$D$25</f>
        <v>7370</v>
      </c>
      <c r="E25">
        <f>'[3]普通怪-回复'!$E$25</f>
        <v>1868</v>
      </c>
      <c r="F25">
        <f>ROUND('[3]普通怪-回复'!$F$25*1000,0)</f>
        <v>0</v>
      </c>
      <c r="G25">
        <f>ROUND('[3]普通怪-回复'!$H$25*100,0)</f>
        <v>100</v>
      </c>
      <c r="H25">
        <f>'[3]普通怪-回复'!$I$25</f>
        <v>442</v>
      </c>
      <c r="I25">
        <f>'[3]普通怪-回复'!$J$25</f>
        <v>3317</v>
      </c>
      <c r="J25">
        <f>'[3]普通怪-回复'!$V$25</f>
        <v>0</v>
      </c>
      <c r="K25">
        <f>'[3]普通怪-回复'!$Y$25</f>
        <v>0</v>
      </c>
      <c r="L25">
        <f>'[3]普通怪-回复'!$Z$25</f>
        <v>0</v>
      </c>
    </row>
    <row r="26" spans="1:12" x14ac:dyDescent="0.15">
      <c r="A26">
        <v>25</v>
      </c>
      <c r="B26">
        <f>'[3]普通怪-回复'!$C$26</f>
        <v>30750</v>
      </c>
      <c r="C26">
        <f t="shared" si="0"/>
        <v>7500</v>
      </c>
      <c r="D26">
        <f>'[3]普通怪-回复'!$D$26</f>
        <v>9738</v>
      </c>
      <c r="E26">
        <f>'[3]普通怪-回复'!$E$26</f>
        <v>2468</v>
      </c>
      <c r="F26">
        <f>ROUND('[3]普通怪-回复'!$F$26*1000,0)</f>
        <v>0</v>
      </c>
      <c r="G26">
        <f>ROUND('[3]普通怪-回复'!$H$26*100,0)</f>
        <v>100</v>
      </c>
      <c r="H26">
        <f>'[3]普通怪-回复'!$I$26</f>
        <v>604</v>
      </c>
      <c r="I26">
        <f>'[3]普通怪-回复'!$J$26</f>
        <v>4382</v>
      </c>
      <c r="J26">
        <f>'[3]普通怪-回复'!$V$26</f>
        <v>0</v>
      </c>
      <c r="K26">
        <f>'[3]普通怪-回复'!$Y$26</f>
        <v>0</v>
      </c>
      <c r="L26">
        <f>'[3]普通怪-回复'!$Z$26</f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'[3]普通怪-敏捷'!$C$2</f>
        <v>50</v>
      </c>
      <c r="C2">
        <f>B2-0</f>
        <v>50</v>
      </c>
      <c r="D2">
        <f>'[3]普通怪-敏捷'!$D$2</f>
        <v>26</v>
      </c>
      <c r="E2">
        <f>'[3]普通怪-敏捷'!$E$2</f>
        <v>5</v>
      </c>
      <c r="F2">
        <f>ROUND('[3]普通怪-敏捷'!$F$2 *1000,0)</f>
        <v>100</v>
      </c>
      <c r="G2">
        <f>ROUND('[3]普通怪-敏捷'!$H$2 *100,0)</f>
        <v>100</v>
      </c>
      <c r="H2">
        <f>'[3]普通怪-敏捷'!$I$2</f>
        <v>5</v>
      </c>
      <c r="I2">
        <f>'[3]普通怪-敏捷'!$J$2</f>
        <v>8</v>
      </c>
      <c r="J2">
        <f>'[3]普通怪-敏捷'!$V$2</f>
        <v>0</v>
      </c>
      <c r="K2">
        <f>'[3]普通怪-敏捷'!$Y$2</f>
        <v>0</v>
      </c>
      <c r="L2">
        <f>'[3]普通怪-敏捷'!$Z$2</f>
        <v>0</v>
      </c>
    </row>
    <row r="3" spans="1:12" x14ac:dyDescent="0.15">
      <c r="A3">
        <v>2</v>
      </c>
      <c r="B3">
        <f>'[3]普通怪-敏捷'!$C$3</f>
        <v>100</v>
      </c>
      <c r="C3">
        <f>B3-B2</f>
        <v>50</v>
      </c>
      <c r="D3">
        <f>'[3]普通怪-敏捷'!$D$3</f>
        <v>27</v>
      </c>
      <c r="E3">
        <f>'[3]普通怪-敏捷'!$E$3</f>
        <v>10</v>
      </c>
      <c r="F3">
        <f>ROUND('[3]普通怪-敏捷'!$F$3 *1000,0)</f>
        <v>100</v>
      </c>
      <c r="G3">
        <f>ROUND('[3]普通怪-敏捷'!$H$3 *100,0)</f>
        <v>100</v>
      </c>
      <c r="H3">
        <f>'[3]普通怪-敏捷'!$I$3</f>
        <v>8</v>
      </c>
      <c r="I3">
        <f>'[3]普通怪-敏捷'!$J$3</f>
        <v>8</v>
      </c>
      <c r="J3">
        <f>'[3]普通怪-敏捷'!$V$3</f>
        <v>0</v>
      </c>
      <c r="K3">
        <f>'[3]普通怪-敏捷'!$Y$3</f>
        <v>0</v>
      </c>
      <c r="L3">
        <f>'[3]普通怪-敏捷'!$Z$3</f>
        <v>0</v>
      </c>
    </row>
    <row r="4" spans="1:12" x14ac:dyDescent="0.15">
      <c r="A4">
        <v>3</v>
      </c>
      <c r="B4">
        <f>'[3]普通怪-敏捷'!$C$4</f>
        <v>150</v>
      </c>
      <c r="C4">
        <f t="shared" ref="C4:C26" si="0">B4-B3</f>
        <v>50</v>
      </c>
      <c r="D4">
        <f>'[3]普通怪-敏捷'!$D$4</f>
        <v>30</v>
      </c>
      <c r="E4">
        <f>'[3]普通怪-敏捷'!$E$4</f>
        <v>13</v>
      </c>
      <c r="F4">
        <f>ROUND('[3]普通怪-敏捷'!$F$4 *1000,0)</f>
        <v>100</v>
      </c>
      <c r="G4">
        <f>ROUND('[3]普通怪-敏捷'!$H$4 *100,0)</f>
        <v>100</v>
      </c>
      <c r="H4">
        <f>'[3]普通怪-敏捷'!$I$4</f>
        <v>12</v>
      </c>
      <c r="I4">
        <f>'[3]普通怪-敏捷'!$J$4</f>
        <v>9</v>
      </c>
      <c r="J4">
        <f>'[3]普通怪-敏捷'!$V$4</f>
        <v>0</v>
      </c>
      <c r="K4">
        <f>'[3]普通怪-敏捷'!$Y$4</f>
        <v>0</v>
      </c>
      <c r="L4">
        <f>'[3]普通怪-敏捷'!$Z$4</f>
        <v>0</v>
      </c>
    </row>
    <row r="5" spans="1:12" x14ac:dyDescent="0.15">
      <c r="A5">
        <v>4</v>
      </c>
      <c r="B5">
        <f>'[3]普通怪-敏捷'!$C$5</f>
        <v>250</v>
      </c>
      <c r="C5">
        <f t="shared" si="0"/>
        <v>100</v>
      </c>
      <c r="D5">
        <f>'[3]普通怪-敏捷'!$D$5</f>
        <v>32</v>
      </c>
      <c r="E5">
        <f>'[3]普通怪-敏捷'!$E$5</f>
        <v>26</v>
      </c>
      <c r="F5">
        <f>ROUND('[3]普通怪-敏捷'!$F$5 *1000,0)</f>
        <v>100</v>
      </c>
      <c r="G5">
        <f>ROUND('[3]普通怪-敏捷'!$H$5 *100,0)</f>
        <v>100</v>
      </c>
      <c r="H5">
        <f>'[3]普通怪-敏捷'!$I$5</f>
        <v>16</v>
      </c>
      <c r="I5">
        <f>'[3]普通怪-敏捷'!$J$5</f>
        <v>10</v>
      </c>
      <c r="J5">
        <f>'[3]普通怪-敏捷'!$V$5</f>
        <v>0</v>
      </c>
      <c r="K5">
        <f>'[3]普通怪-敏捷'!$Y$5</f>
        <v>0</v>
      </c>
      <c r="L5">
        <f>'[3]普通怪-敏捷'!$Z$5</f>
        <v>0</v>
      </c>
    </row>
    <row r="6" spans="1:12" x14ac:dyDescent="0.15">
      <c r="A6">
        <v>5</v>
      </c>
      <c r="B6">
        <f>'[3]普通怪-敏捷'!$C$6</f>
        <v>350</v>
      </c>
      <c r="C6">
        <f t="shared" si="0"/>
        <v>100</v>
      </c>
      <c r="D6">
        <f>'[3]普通怪-敏捷'!$D$6</f>
        <v>35</v>
      </c>
      <c r="E6">
        <f>'[3]普通怪-敏捷'!$E$6</f>
        <v>34</v>
      </c>
      <c r="F6">
        <f>ROUND('[3]普通怪-敏捷'!$F$6 *1000,0)</f>
        <v>100</v>
      </c>
      <c r="G6">
        <f>ROUND('[3]普通怪-敏捷'!$H$6 *100,0)</f>
        <v>120</v>
      </c>
      <c r="H6">
        <f>'[3]普通怪-敏捷'!$I$6</f>
        <v>20</v>
      </c>
      <c r="I6">
        <f>'[3]普通怪-敏捷'!$J$6</f>
        <v>11</v>
      </c>
      <c r="J6">
        <f>'[3]普通怪-敏捷'!$V$6</f>
        <v>0</v>
      </c>
      <c r="K6">
        <f>'[3]普通怪-敏捷'!$Y$6</f>
        <v>0</v>
      </c>
      <c r="L6">
        <f>'[3]普通怪-敏捷'!$Z$6</f>
        <v>0</v>
      </c>
    </row>
    <row r="7" spans="1:12" x14ac:dyDescent="0.15">
      <c r="A7">
        <v>6</v>
      </c>
      <c r="B7">
        <f>'[3]普通怪-敏捷'!$C$7</f>
        <v>500</v>
      </c>
      <c r="C7">
        <f t="shared" si="0"/>
        <v>150</v>
      </c>
      <c r="D7">
        <f>'[3]普通怪-敏捷'!$D$7</f>
        <v>49</v>
      </c>
      <c r="E7">
        <f>'[3]普通怪-敏捷'!$E$7</f>
        <v>47</v>
      </c>
      <c r="F7">
        <f>ROUND('[3]普通怪-敏捷'!$F$7 *1000,0)</f>
        <v>100</v>
      </c>
      <c r="G7">
        <f>ROUND('[3]普通怪-敏捷'!$H$7 *100,0)</f>
        <v>120</v>
      </c>
      <c r="H7">
        <f>'[3]普通怪-敏捷'!$I$7</f>
        <v>24</v>
      </c>
      <c r="I7">
        <f>'[3]普通怪-敏捷'!$J$7</f>
        <v>15</v>
      </c>
      <c r="J7">
        <f>'[3]普通怪-敏捷'!$V$7</f>
        <v>0</v>
      </c>
      <c r="K7">
        <f>'[3]普通怪-敏捷'!$Y$7</f>
        <v>0</v>
      </c>
      <c r="L7">
        <f>'[3]普通怪-敏捷'!$Z$7</f>
        <v>0</v>
      </c>
    </row>
    <row r="8" spans="1:12" x14ac:dyDescent="0.15">
      <c r="A8">
        <v>7</v>
      </c>
      <c r="B8">
        <f>'[3]普通怪-敏捷'!$C$8</f>
        <v>650</v>
      </c>
      <c r="C8">
        <f t="shared" si="0"/>
        <v>150</v>
      </c>
      <c r="D8">
        <f>'[3]普通怪-敏捷'!$D$8</f>
        <v>60</v>
      </c>
      <c r="E8">
        <f>'[3]普通怪-敏捷'!$E$8</f>
        <v>60</v>
      </c>
      <c r="F8">
        <f>ROUND('[3]普通怪-敏捷'!$F$8 *1000,0)</f>
        <v>101</v>
      </c>
      <c r="G8">
        <f>ROUND('[3]普通怪-敏捷'!$H$8 *100,0)</f>
        <v>120</v>
      </c>
      <c r="H8">
        <f>'[3]普通怪-敏捷'!$I$8</f>
        <v>29</v>
      </c>
      <c r="I8">
        <f>'[3]普通怪-敏捷'!$J$8</f>
        <v>18</v>
      </c>
      <c r="J8">
        <f>'[3]普通怪-敏捷'!$V$8</f>
        <v>0</v>
      </c>
      <c r="K8">
        <f>'[3]普通怪-敏捷'!$Y$8</f>
        <v>0</v>
      </c>
      <c r="L8">
        <f>'[3]普通怪-敏捷'!$Z$8</f>
        <v>0</v>
      </c>
    </row>
    <row r="9" spans="1:12" x14ac:dyDescent="0.15">
      <c r="A9">
        <v>8</v>
      </c>
      <c r="B9">
        <f>'[3]普通怪-敏捷'!$C$9</f>
        <v>850</v>
      </c>
      <c r="C9">
        <f t="shared" si="0"/>
        <v>200</v>
      </c>
      <c r="D9">
        <f>'[3]普通怪-敏捷'!$D$9</f>
        <v>83</v>
      </c>
      <c r="E9">
        <f>'[3]普通怪-敏捷'!$E$9</f>
        <v>94</v>
      </c>
      <c r="F9">
        <f>ROUND('[3]普通怪-敏捷'!$F$9 *1000,0)</f>
        <v>101</v>
      </c>
      <c r="G9">
        <f>ROUND('[3]普通怪-敏捷'!$H$9 *100,0)</f>
        <v>120</v>
      </c>
      <c r="H9">
        <f>'[3]普通怪-敏捷'!$I$9</f>
        <v>35</v>
      </c>
      <c r="I9">
        <f>'[3]普通怪-敏捷'!$J$9</f>
        <v>25</v>
      </c>
      <c r="J9">
        <f>'[3]普通怪-敏捷'!$V$9</f>
        <v>0</v>
      </c>
      <c r="K9">
        <f>'[3]普通怪-敏捷'!$Y$9</f>
        <v>0</v>
      </c>
      <c r="L9">
        <f>'[3]普通怪-敏捷'!$Z$9</f>
        <v>0</v>
      </c>
    </row>
    <row r="10" spans="1:12" x14ac:dyDescent="0.15">
      <c r="A10">
        <v>9</v>
      </c>
      <c r="B10">
        <f>'[3]普通怪-敏捷'!$C$10</f>
        <v>1050</v>
      </c>
      <c r="C10">
        <f t="shared" si="0"/>
        <v>200</v>
      </c>
      <c r="D10">
        <f>'[3]普通怪-敏捷'!$D$10</f>
        <v>93</v>
      </c>
      <c r="E10">
        <f>'[3]普通怪-敏捷'!$E$10</f>
        <v>119</v>
      </c>
      <c r="F10">
        <f>ROUND('[3]普通怪-敏捷'!$F$10*1000,0)</f>
        <v>101</v>
      </c>
      <c r="G10">
        <f>ROUND('[3]普通怪-敏捷'!$H$10*100,0)</f>
        <v>120</v>
      </c>
      <c r="H10">
        <f>'[3]普通怪-敏捷'!$I$10</f>
        <v>42</v>
      </c>
      <c r="I10">
        <f>'[3]普通怪-敏捷'!$J$10</f>
        <v>28</v>
      </c>
      <c r="J10">
        <f>'[3]普通怪-敏捷'!$V$10</f>
        <v>0</v>
      </c>
      <c r="K10">
        <f>'[3]普通怪-敏捷'!$Y$10</f>
        <v>0</v>
      </c>
      <c r="L10">
        <f>'[3]普通怪-敏捷'!$Z$10</f>
        <v>0</v>
      </c>
    </row>
    <row r="11" spans="1:12" x14ac:dyDescent="0.15">
      <c r="A11">
        <v>10</v>
      </c>
      <c r="B11">
        <f>'[3]普通怪-敏捷'!$C$11</f>
        <v>1250</v>
      </c>
      <c r="C11">
        <f t="shared" si="0"/>
        <v>200</v>
      </c>
      <c r="D11">
        <f>'[3]普通怪-敏捷'!$D$11</f>
        <v>96</v>
      </c>
      <c r="E11">
        <f>'[3]普通怪-敏捷'!$E$11</f>
        <v>141</v>
      </c>
      <c r="F11">
        <f>ROUND('[3]普通怪-敏捷'!$F$11*1000,0)</f>
        <v>101</v>
      </c>
      <c r="G11">
        <f>ROUND('[3]普通怪-敏捷'!$H$11*100,0)</f>
        <v>130</v>
      </c>
      <c r="H11">
        <f>'[3]普通怪-敏捷'!$I$11</f>
        <v>50</v>
      </c>
      <c r="I11">
        <f>'[3]普通怪-敏捷'!$J$11</f>
        <v>29</v>
      </c>
      <c r="J11">
        <f>'[3]普通怪-敏捷'!$V$11</f>
        <v>0</v>
      </c>
      <c r="K11">
        <f>'[3]普通怪-敏捷'!$Y$11</f>
        <v>0</v>
      </c>
      <c r="L11">
        <f>'[3]普通怪-敏捷'!$Z$11</f>
        <v>0</v>
      </c>
    </row>
    <row r="12" spans="1:12" x14ac:dyDescent="0.15">
      <c r="A12">
        <v>11</v>
      </c>
      <c r="B12">
        <f>'[3]普通怪-敏捷'!$C$12</f>
        <v>1500</v>
      </c>
      <c r="C12">
        <f t="shared" si="0"/>
        <v>250</v>
      </c>
      <c r="D12">
        <f>'[3]普通怪-敏捷'!$D$12</f>
        <v>175</v>
      </c>
      <c r="E12">
        <f>'[3]普通怪-敏捷'!$E$12</f>
        <v>165</v>
      </c>
      <c r="F12">
        <f>ROUND('[3]普通怪-敏捷'!$F$12*1000,0)</f>
        <v>101</v>
      </c>
      <c r="G12">
        <f>ROUND('[3]普通怪-敏捷'!$H$12*100,0)</f>
        <v>130</v>
      </c>
      <c r="H12">
        <f>'[3]普通怪-敏捷'!$I$12</f>
        <v>59</v>
      </c>
      <c r="I12">
        <f>'[3]普通怪-敏捷'!$J$12</f>
        <v>53</v>
      </c>
      <c r="J12">
        <f>'[3]普通怪-敏捷'!$V$12</f>
        <v>0</v>
      </c>
      <c r="K12">
        <f>'[3]普通怪-敏捷'!$Y$12</f>
        <v>0</v>
      </c>
      <c r="L12">
        <f>'[3]普通怪-敏捷'!$Z$12</f>
        <v>0</v>
      </c>
    </row>
    <row r="13" spans="1:12" x14ac:dyDescent="0.15">
      <c r="A13">
        <v>12</v>
      </c>
      <c r="B13">
        <f>'[3]普通怪-敏捷'!$C$13</f>
        <v>1750</v>
      </c>
      <c r="C13">
        <f t="shared" si="0"/>
        <v>250</v>
      </c>
      <c r="D13">
        <f>'[3]普通怪-敏捷'!$D$13</f>
        <v>200</v>
      </c>
      <c r="E13">
        <f>'[3]普通怪-敏捷'!$E$13</f>
        <v>192</v>
      </c>
      <c r="F13">
        <f>ROUND('[3]普通怪-敏捷'!$F$13*1000,0)</f>
        <v>102</v>
      </c>
      <c r="G13">
        <f>ROUND('[3]普通怪-敏捷'!$H$13*100,0)</f>
        <v>130</v>
      </c>
      <c r="H13">
        <f>'[3]普通怪-敏捷'!$I$13</f>
        <v>69</v>
      </c>
      <c r="I13">
        <f>'[3]普通怪-敏捷'!$J$13</f>
        <v>60</v>
      </c>
      <c r="J13">
        <f>'[3]普通怪-敏捷'!$V$13</f>
        <v>0</v>
      </c>
      <c r="K13">
        <f>'[3]普通怪-敏捷'!$Y$13</f>
        <v>0</v>
      </c>
      <c r="L13">
        <f>'[3]普通怪-敏捷'!$Z$13</f>
        <v>0</v>
      </c>
    </row>
    <row r="14" spans="1:12" x14ac:dyDescent="0.15">
      <c r="A14">
        <v>13</v>
      </c>
      <c r="B14">
        <f>'[3]普通怪-敏捷'!$C$14</f>
        <v>2050</v>
      </c>
      <c r="C14">
        <f t="shared" si="0"/>
        <v>300</v>
      </c>
      <c r="D14">
        <f>'[3]普通怪-敏捷'!$D$14</f>
        <v>233</v>
      </c>
      <c r="E14">
        <f>'[3]普通怪-敏捷'!$E$14</f>
        <v>222</v>
      </c>
      <c r="F14">
        <f>ROUND('[3]普通怪-敏捷'!$F$14*1000,0)</f>
        <v>102</v>
      </c>
      <c r="G14">
        <f>ROUND('[3]普通怪-敏捷'!$H$14*100,0)</f>
        <v>130</v>
      </c>
      <c r="H14">
        <f>'[3]普通怪-敏捷'!$I$14</f>
        <v>80</v>
      </c>
      <c r="I14">
        <f>'[3]普通怪-敏捷'!$J$14</f>
        <v>70</v>
      </c>
      <c r="J14">
        <f>'[3]普通怪-敏捷'!$V$14</f>
        <v>0</v>
      </c>
      <c r="K14">
        <f>'[3]普通怪-敏捷'!$Y$14</f>
        <v>0</v>
      </c>
      <c r="L14">
        <f>'[3]普通怪-敏捷'!$Z$14</f>
        <v>0</v>
      </c>
    </row>
    <row r="15" spans="1:12" x14ac:dyDescent="0.15">
      <c r="A15">
        <v>14</v>
      </c>
      <c r="B15">
        <f>'[3]普通怪-敏捷'!$C$15</f>
        <v>2400</v>
      </c>
      <c r="C15">
        <f t="shared" si="0"/>
        <v>350</v>
      </c>
      <c r="D15">
        <f>'[3]普通怪-敏捷'!$D$15</f>
        <v>368</v>
      </c>
      <c r="E15">
        <f>'[3]普通怪-敏捷'!$E$15</f>
        <v>255</v>
      </c>
      <c r="F15">
        <f>ROUND('[3]普通怪-敏捷'!$F$15*1000,0)</f>
        <v>102</v>
      </c>
      <c r="G15">
        <f>ROUND('[3]普通怪-敏捷'!$H$15*100,0)</f>
        <v>130</v>
      </c>
      <c r="H15">
        <f>'[3]普通怪-敏捷'!$I$15</f>
        <v>92</v>
      </c>
      <c r="I15">
        <f>'[3]普通怪-敏捷'!$J$15</f>
        <v>110</v>
      </c>
      <c r="J15">
        <f>'[3]普通怪-敏捷'!$V$15</f>
        <v>0</v>
      </c>
      <c r="K15">
        <f>'[3]普通怪-敏捷'!$Y$15</f>
        <v>0</v>
      </c>
      <c r="L15">
        <f>'[3]普通怪-敏捷'!$Z$15</f>
        <v>0</v>
      </c>
    </row>
    <row r="16" spans="1:12" x14ac:dyDescent="0.15">
      <c r="A16">
        <v>15</v>
      </c>
      <c r="B16">
        <f>'[3]普通怪-敏捷'!$C$16</f>
        <v>2850</v>
      </c>
      <c r="C16">
        <f t="shared" si="0"/>
        <v>450</v>
      </c>
      <c r="D16">
        <f>'[3]普通怪-敏捷'!$D$16</f>
        <v>433</v>
      </c>
      <c r="E16">
        <f>'[3]普通怪-敏捷'!$E$16</f>
        <v>292</v>
      </c>
      <c r="F16">
        <f>ROUND('[3]普通怪-敏捷'!$F$16*1000,0)</f>
        <v>103</v>
      </c>
      <c r="G16">
        <f>ROUND('[3]普通怪-敏捷'!$H$16*100,0)</f>
        <v>140</v>
      </c>
      <c r="H16">
        <f>'[3]普通怪-敏捷'!$I$16</f>
        <v>105</v>
      </c>
      <c r="I16">
        <f>'[3]普通怪-敏捷'!$J$16</f>
        <v>130</v>
      </c>
      <c r="J16">
        <f>'[3]普通怪-敏捷'!$V$16</f>
        <v>0</v>
      </c>
      <c r="K16">
        <f>'[3]普通怪-敏捷'!$Y$16</f>
        <v>0</v>
      </c>
      <c r="L16">
        <f>'[3]普通怪-敏捷'!$Z$16</f>
        <v>0</v>
      </c>
    </row>
    <row r="17" spans="1:12" x14ac:dyDescent="0.15">
      <c r="A17">
        <v>16</v>
      </c>
      <c r="B17">
        <f>'[3]普通怪-敏捷'!$C$17</f>
        <v>3350</v>
      </c>
      <c r="C17">
        <f t="shared" si="0"/>
        <v>500</v>
      </c>
      <c r="D17">
        <f>'[3]普通怪-敏捷'!$D$17</f>
        <v>649</v>
      </c>
      <c r="E17">
        <f>'[3]普通怪-敏捷'!$E$17</f>
        <v>333</v>
      </c>
      <c r="F17">
        <f>ROUND('[3]普通怪-敏捷'!$F$17*1000,0)</f>
        <v>103</v>
      </c>
      <c r="G17">
        <f>ROUND('[3]普通怪-敏捷'!$H$17*100,0)</f>
        <v>140</v>
      </c>
      <c r="H17">
        <f>'[3]普通怪-敏捷'!$I$17</f>
        <v>120</v>
      </c>
      <c r="I17">
        <f>'[3]普通怪-敏捷'!$J$17</f>
        <v>195</v>
      </c>
      <c r="J17">
        <f>'[3]普通怪-敏捷'!$V$17</f>
        <v>0</v>
      </c>
      <c r="K17">
        <f>'[3]普通怪-敏捷'!$Y$17</f>
        <v>0</v>
      </c>
      <c r="L17">
        <f>'[3]普通怪-敏捷'!$Z$17</f>
        <v>0</v>
      </c>
    </row>
    <row r="18" spans="1:12" x14ac:dyDescent="0.15">
      <c r="A18">
        <v>17</v>
      </c>
      <c r="B18">
        <f>'[3]普通怪-敏捷'!$C$18</f>
        <v>3900</v>
      </c>
      <c r="C18">
        <f t="shared" si="0"/>
        <v>550</v>
      </c>
      <c r="D18">
        <f>'[3]普通怪-敏捷'!$D$18</f>
        <v>768</v>
      </c>
      <c r="E18">
        <f>'[3]普通怪-敏捷'!$E$18</f>
        <v>379</v>
      </c>
      <c r="F18">
        <f>ROUND('[3]普通怪-敏捷'!$F$18*1000,0)</f>
        <v>104</v>
      </c>
      <c r="G18">
        <f>ROUND('[3]普通怪-敏捷'!$H$18*100,0)</f>
        <v>140</v>
      </c>
      <c r="H18">
        <f>'[3]普通怪-敏捷'!$I$18</f>
        <v>137</v>
      </c>
      <c r="I18">
        <f>'[3]普通怪-敏捷'!$J$18</f>
        <v>230</v>
      </c>
      <c r="J18">
        <f>'[3]普通怪-敏捷'!$V$18</f>
        <v>0</v>
      </c>
      <c r="K18">
        <f>'[3]普通怪-敏捷'!$Y$18</f>
        <v>0</v>
      </c>
      <c r="L18">
        <f>'[3]普通怪-敏捷'!$Z$18</f>
        <v>0</v>
      </c>
    </row>
    <row r="19" spans="1:12" x14ac:dyDescent="0.15">
      <c r="A19">
        <v>18</v>
      </c>
      <c r="B19">
        <f>'[3]普通怪-敏捷'!$C$19</f>
        <v>4550</v>
      </c>
      <c r="C19">
        <f t="shared" si="0"/>
        <v>650</v>
      </c>
      <c r="D19">
        <f>'[3]普通怪-敏捷'!$D$19</f>
        <v>915</v>
      </c>
      <c r="E19">
        <f>'[3]普通怪-敏捷'!$E$19</f>
        <v>430</v>
      </c>
      <c r="F19">
        <f>ROUND('[3]普通怪-敏捷'!$F$19*1000,0)</f>
        <v>105</v>
      </c>
      <c r="G19">
        <f>ROUND('[3]普通怪-敏捷'!$H$19*100,0)</f>
        <v>140</v>
      </c>
      <c r="H19">
        <f>'[3]普通怪-敏捷'!$I$19</f>
        <v>156</v>
      </c>
      <c r="I19">
        <f>'[3]普通怪-敏捷'!$J$19</f>
        <v>275</v>
      </c>
      <c r="J19">
        <f>'[3]普通怪-敏捷'!$V$19</f>
        <v>0</v>
      </c>
      <c r="K19">
        <f>'[3]普通怪-敏捷'!$Y$19</f>
        <v>0</v>
      </c>
      <c r="L19">
        <f>'[3]普通怪-敏捷'!$Z$19</f>
        <v>0</v>
      </c>
    </row>
    <row r="20" spans="1:12" x14ac:dyDescent="0.15">
      <c r="A20">
        <v>19</v>
      </c>
      <c r="B20">
        <f>'[3]普通怪-敏捷'!$C$20</f>
        <v>5500</v>
      </c>
      <c r="C20">
        <f t="shared" si="0"/>
        <v>950</v>
      </c>
      <c r="D20">
        <f>'[3]普通怪-敏捷'!$D$20</f>
        <v>1372</v>
      </c>
      <c r="E20">
        <f>'[3]普通怪-敏捷'!$E$20</f>
        <v>487</v>
      </c>
      <c r="F20">
        <f>ROUND('[3]普通怪-敏捷'!$F$20*1000,0)</f>
        <v>105</v>
      </c>
      <c r="G20">
        <f>ROUND('[3]普通怪-敏捷'!$H$20*100,0)</f>
        <v>140</v>
      </c>
      <c r="H20">
        <f>'[3]普通怪-敏捷'!$I$20</f>
        <v>177</v>
      </c>
      <c r="I20">
        <f>'[3]普通怪-敏捷'!$J$20</f>
        <v>412</v>
      </c>
      <c r="J20">
        <f>'[3]普通怪-敏捷'!$V$20</f>
        <v>0</v>
      </c>
      <c r="K20">
        <f>'[3]普通怪-敏捷'!$Y$20</f>
        <v>0</v>
      </c>
      <c r="L20">
        <f>'[3]普通怪-敏捷'!$Z$20</f>
        <v>0</v>
      </c>
    </row>
    <row r="21" spans="1:12" x14ac:dyDescent="0.15">
      <c r="A21">
        <v>20</v>
      </c>
      <c r="B21">
        <f>'[3]普通怪-敏捷'!$C$21</f>
        <v>6600</v>
      </c>
      <c r="C21">
        <f t="shared" si="0"/>
        <v>1100</v>
      </c>
      <c r="D21">
        <f>'[3]普通怪-敏捷'!$D$21</f>
        <v>1803</v>
      </c>
      <c r="E21">
        <f>'[3]普通怪-敏捷'!$E$21</f>
        <v>600</v>
      </c>
      <c r="F21">
        <f>ROUND('[3]普通怪-敏捷'!$F$21*1000,0)</f>
        <v>107</v>
      </c>
      <c r="G21">
        <f>ROUND('[3]普通怪-敏捷'!$H$21*100,0)</f>
        <v>150</v>
      </c>
      <c r="H21">
        <f>'[3]普通怪-敏捷'!$I$21</f>
        <v>200</v>
      </c>
      <c r="I21">
        <f>'[3]普通怪-敏捷'!$J$21</f>
        <v>541</v>
      </c>
      <c r="J21">
        <f>'[3]普通怪-敏捷'!$V$21</f>
        <v>0</v>
      </c>
      <c r="K21">
        <f>'[3]普通怪-敏捷'!$Y$21</f>
        <v>0</v>
      </c>
      <c r="L21">
        <f>'[3]普通怪-敏捷'!$Z$21</f>
        <v>0</v>
      </c>
    </row>
    <row r="22" spans="1:12" x14ac:dyDescent="0.15">
      <c r="A22">
        <v>21</v>
      </c>
      <c r="B22">
        <f>'[3]普通怪-敏捷'!$C$22</f>
        <v>9450</v>
      </c>
      <c r="C22">
        <f t="shared" si="0"/>
        <v>2850</v>
      </c>
      <c r="D22">
        <f>'[3]普通怪-敏捷'!$D$22</f>
        <v>2490</v>
      </c>
      <c r="E22">
        <f>'[3]普通怪-敏捷'!$E$22</f>
        <v>764</v>
      </c>
      <c r="F22">
        <f>ROUND('[3]普通怪-敏捷'!$F$22*1000,0)</f>
        <v>109</v>
      </c>
      <c r="G22">
        <f>ROUND('[3]普通怪-敏捷'!$H$22*100,0)</f>
        <v>150</v>
      </c>
      <c r="H22">
        <f>'[3]普通怪-敏捷'!$I$22</f>
        <v>235</v>
      </c>
      <c r="I22">
        <f>'[3]普通怪-敏捷'!$J$22</f>
        <v>747</v>
      </c>
      <c r="J22">
        <f>'[3]普通怪-敏捷'!$V$22</f>
        <v>0</v>
      </c>
      <c r="K22">
        <f>'[3]普通怪-敏捷'!$Y$22</f>
        <v>0</v>
      </c>
      <c r="L22">
        <f>'[3]普通怪-敏捷'!$Z$22</f>
        <v>0</v>
      </c>
    </row>
    <row r="23" spans="1:12" x14ac:dyDescent="0.15">
      <c r="A23">
        <v>22</v>
      </c>
      <c r="B23">
        <f>'[3]普通怪-敏捷'!$C$23</f>
        <v>12800</v>
      </c>
      <c r="C23">
        <f t="shared" si="0"/>
        <v>3350</v>
      </c>
      <c r="D23">
        <f>'[3]普通怪-敏捷'!$D$23</f>
        <v>3867</v>
      </c>
      <c r="E23">
        <f>'[3]普通怪-敏捷'!$E$23</f>
        <v>1032</v>
      </c>
      <c r="F23">
        <f>ROUND('[3]普通怪-敏捷'!$F$23*1000,0)</f>
        <v>113</v>
      </c>
      <c r="G23">
        <f>ROUND('[3]普通怪-敏捷'!$H$23*100,0)</f>
        <v>150</v>
      </c>
      <c r="H23">
        <f>'[3]普通怪-敏捷'!$I$23</f>
        <v>288</v>
      </c>
      <c r="I23">
        <f>'[3]普通怪-敏捷'!$J$23</f>
        <v>1160</v>
      </c>
      <c r="J23">
        <f>'[3]普通怪-敏捷'!$V$23</f>
        <v>0</v>
      </c>
      <c r="K23">
        <f>'[3]普通怪-敏捷'!$Y$23</f>
        <v>0</v>
      </c>
      <c r="L23">
        <f>'[3]普通怪-敏捷'!$Z$23</f>
        <v>0</v>
      </c>
    </row>
    <row r="24" spans="1:12" x14ac:dyDescent="0.15">
      <c r="A24">
        <v>23</v>
      </c>
      <c r="B24">
        <f>'[3]普通怪-敏捷'!$C$24</f>
        <v>17400</v>
      </c>
      <c r="C24">
        <f t="shared" si="0"/>
        <v>4600</v>
      </c>
      <c r="D24">
        <f>'[3]普通怪-敏捷'!$D$24</f>
        <v>5274</v>
      </c>
      <c r="E24">
        <f>'[3]普通怪-敏捷'!$E$24</f>
        <v>1400</v>
      </c>
      <c r="F24">
        <f>ROUND('[3]普通怪-敏捷'!$F$24*1000,0)</f>
        <v>117</v>
      </c>
      <c r="G24">
        <f>ROUND('[3]普通怪-敏捷'!$H$24*100,0)</f>
        <v>150</v>
      </c>
      <c r="H24">
        <f>'[3]普通怪-敏捷'!$I$24</f>
        <v>368</v>
      </c>
      <c r="I24">
        <f>'[3]普通怪-敏捷'!$J$24</f>
        <v>1582</v>
      </c>
      <c r="J24">
        <f>'[3]普通怪-敏捷'!$V$24</f>
        <v>0</v>
      </c>
      <c r="K24">
        <f>'[3]普通怪-敏捷'!$Y$24</f>
        <v>0</v>
      </c>
      <c r="L24">
        <f>'[3]普通怪-敏捷'!$Z$24</f>
        <v>0</v>
      </c>
    </row>
    <row r="25" spans="1:12" x14ac:dyDescent="0.15">
      <c r="A25">
        <v>24</v>
      </c>
      <c r="B25">
        <f>'[3]普通怪-敏捷'!$C$25</f>
        <v>23250</v>
      </c>
      <c r="C25">
        <f t="shared" si="0"/>
        <v>5850</v>
      </c>
      <c r="D25">
        <f>'[3]普通怪-敏捷'!$D$25</f>
        <v>6900</v>
      </c>
      <c r="E25">
        <f>'[3]普通怪-敏捷'!$E$25</f>
        <v>1868</v>
      </c>
      <c r="F25">
        <f>ROUND('[3]普通怪-敏捷'!$F$25*1000,0)</f>
        <v>123</v>
      </c>
      <c r="G25">
        <f>ROUND('[3]普通怪-敏捷'!$H$25*100,0)</f>
        <v>160</v>
      </c>
      <c r="H25">
        <f>'[3]普通怪-敏捷'!$I$25</f>
        <v>488</v>
      </c>
      <c r="I25">
        <f>'[3]普通怪-敏捷'!$J$25</f>
        <v>2070</v>
      </c>
      <c r="J25">
        <f>'[3]普通怪-敏捷'!$V$25</f>
        <v>0</v>
      </c>
      <c r="K25">
        <f>'[3]普通怪-敏捷'!$Y$25</f>
        <v>0</v>
      </c>
      <c r="L25">
        <f>'[3]普通怪-敏捷'!$Z$25</f>
        <v>0</v>
      </c>
    </row>
    <row r="26" spans="1:12" x14ac:dyDescent="0.15">
      <c r="A26">
        <v>25</v>
      </c>
      <c r="B26">
        <f>'[3]普通怪-敏捷'!$C$26</f>
        <v>30750</v>
      </c>
      <c r="C26">
        <f t="shared" si="0"/>
        <v>7500</v>
      </c>
      <c r="D26">
        <f>'[3]普通怪-敏捷'!$D$26</f>
        <v>9081</v>
      </c>
      <c r="E26">
        <f>'[3]普通怪-敏捷'!$E$26</f>
        <v>2468</v>
      </c>
      <c r="F26">
        <f>ROUND('[3]普通怪-敏捷'!$F$26*1000,0)</f>
        <v>131</v>
      </c>
      <c r="G26">
        <f>ROUND('[3]普通怪-敏捷'!$H$26*100,0)</f>
        <v>160</v>
      </c>
      <c r="H26">
        <f>'[3]普通怪-敏捷'!$I$26</f>
        <v>668</v>
      </c>
      <c r="I26">
        <f>'[3]普通怪-敏捷'!$J$26</f>
        <v>2724</v>
      </c>
      <c r="J26">
        <f>'[3]普通怪-敏捷'!$V$26</f>
        <v>0</v>
      </c>
      <c r="K26">
        <f>'[3]普通怪-敏捷'!$Y$26</f>
        <v>0</v>
      </c>
      <c r="L26">
        <f>'[3]普通怪-敏捷'!$Z$26</f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'[3]普通怪-防御'!$C$2</f>
        <v>50</v>
      </c>
      <c r="C2">
        <f>B2-0</f>
        <v>50</v>
      </c>
      <c r="D2">
        <f>'[3]普通怪-防御'!$D$2</f>
        <v>24</v>
      </c>
      <c r="E2">
        <f>'[3]普通怪-防御'!$E$2</f>
        <v>5</v>
      </c>
      <c r="F2">
        <f>ROUND('[3]普通怪-防御'!$F$2 *1000,0)</f>
        <v>0</v>
      </c>
      <c r="G2">
        <f>ROUND('[3]普通怪-防御'!$H$2 *100,0)</f>
        <v>70</v>
      </c>
      <c r="H2">
        <f>'[3]普通怪-防御'!$I$2</f>
        <v>7</v>
      </c>
      <c r="I2">
        <f>'[3]普通怪-防御'!$J$2</f>
        <v>7</v>
      </c>
      <c r="J2">
        <f>'[3]普通怪-防御'!$V$2</f>
        <v>0</v>
      </c>
      <c r="K2">
        <f>'[3]普通怪-防御'!$Y$2</f>
        <v>0</v>
      </c>
      <c r="L2">
        <f>'[3]普通怪-防御'!$Z$2</f>
        <v>0</v>
      </c>
    </row>
    <row r="3" spans="1:12" x14ac:dyDescent="0.15">
      <c r="A3">
        <v>2</v>
      </c>
      <c r="B3">
        <f>'[3]普通怪-防御'!$C$3</f>
        <v>100</v>
      </c>
      <c r="C3">
        <f>B3-B2</f>
        <v>50</v>
      </c>
      <c r="D3">
        <f>'[3]普通怪-防御'!$D$3</f>
        <v>25</v>
      </c>
      <c r="E3">
        <f>'[3]普通怪-防御'!$E$3</f>
        <v>10</v>
      </c>
      <c r="F3">
        <f>ROUND('[3]普通怪-防御'!$F$3 *1000,0)</f>
        <v>0</v>
      </c>
      <c r="G3">
        <f>ROUND('[3]普通怪-防御'!$H$3 *100,0)</f>
        <v>70</v>
      </c>
      <c r="H3">
        <f>'[3]普通怪-防御'!$I$3</f>
        <v>12</v>
      </c>
      <c r="I3">
        <f>'[3]普通怪-防御'!$J$3</f>
        <v>8</v>
      </c>
      <c r="J3">
        <f>'[3]普通怪-防御'!$V$3</f>
        <v>0</v>
      </c>
      <c r="K3">
        <f>'[3]普通怪-防御'!$Y$3</f>
        <v>0</v>
      </c>
      <c r="L3">
        <f>'[3]普通怪-防御'!$Z$3</f>
        <v>0</v>
      </c>
    </row>
    <row r="4" spans="1:12" x14ac:dyDescent="0.15">
      <c r="A4">
        <v>3</v>
      </c>
      <c r="B4">
        <f>'[3]普通怪-防御'!$C$4</f>
        <v>150</v>
      </c>
      <c r="C4">
        <f t="shared" ref="C4:C26" si="0">B4-B3</f>
        <v>50</v>
      </c>
      <c r="D4">
        <f>'[3]普通怪-防御'!$D$4</f>
        <v>27</v>
      </c>
      <c r="E4">
        <f>'[3]普通怪-防御'!$E$4</f>
        <v>14</v>
      </c>
      <c r="F4">
        <f>ROUND('[3]普通怪-防御'!$F$4 *1000,0)</f>
        <v>0</v>
      </c>
      <c r="G4">
        <f>ROUND('[3]普通怪-防御'!$H$4 *100,0)</f>
        <v>70</v>
      </c>
      <c r="H4">
        <f>'[3]普通怪-防御'!$I$4</f>
        <v>17</v>
      </c>
      <c r="I4">
        <f>'[3]普通怪-防御'!$J$4</f>
        <v>8</v>
      </c>
      <c r="J4">
        <f>'[3]普通怪-防御'!$V$4</f>
        <v>0</v>
      </c>
      <c r="K4">
        <f>'[3]普通怪-防御'!$Y$4</f>
        <v>0</v>
      </c>
      <c r="L4">
        <f>'[3]普通怪-防御'!$Z$4</f>
        <v>0</v>
      </c>
    </row>
    <row r="5" spans="1:12" x14ac:dyDescent="0.15">
      <c r="A5">
        <v>4</v>
      </c>
      <c r="B5">
        <f>'[3]普通怪-防御'!$C$5</f>
        <v>250</v>
      </c>
      <c r="C5">
        <f t="shared" si="0"/>
        <v>100</v>
      </c>
      <c r="D5">
        <f>'[3]普通怪-防御'!$D$5</f>
        <v>30</v>
      </c>
      <c r="E5">
        <f>'[3]普通怪-防御'!$E$5</f>
        <v>22</v>
      </c>
      <c r="F5">
        <f>ROUND('[3]普通怪-防御'!$F$5 *1000,0)</f>
        <v>0</v>
      </c>
      <c r="G5">
        <f>ROUND('[3]普通怪-防御'!$H$5 *100,0)</f>
        <v>70</v>
      </c>
      <c r="H5">
        <f>'[3]普通怪-防御'!$I$5</f>
        <v>27</v>
      </c>
      <c r="I5">
        <f>'[3]普通怪-防御'!$J$5</f>
        <v>9</v>
      </c>
      <c r="J5">
        <f>'[3]普通怪-防御'!$V$5</f>
        <v>0</v>
      </c>
      <c r="K5">
        <f>'[3]普通怪-防御'!$Y$5</f>
        <v>0</v>
      </c>
      <c r="L5">
        <f>'[3]普通怪-防御'!$Z$5</f>
        <v>0</v>
      </c>
    </row>
    <row r="6" spans="1:12" x14ac:dyDescent="0.15">
      <c r="A6">
        <v>5</v>
      </c>
      <c r="B6">
        <f>'[3]普通怪-防御'!$C$6</f>
        <v>350</v>
      </c>
      <c r="C6">
        <f t="shared" si="0"/>
        <v>100</v>
      </c>
      <c r="D6">
        <f>'[3]普通怪-防御'!$D$6</f>
        <v>33</v>
      </c>
      <c r="E6">
        <f>'[3]普通怪-防御'!$E$6</f>
        <v>30</v>
      </c>
      <c r="F6">
        <f>ROUND('[3]普通怪-防御'!$F$6 *1000,0)</f>
        <v>0</v>
      </c>
      <c r="G6">
        <f>ROUND('[3]普通怪-防御'!$H$6 *100,0)</f>
        <v>70</v>
      </c>
      <c r="H6">
        <f>'[3]普通怪-防御'!$I$6</f>
        <v>38</v>
      </c>
      <c r="I6">
        <f>'[3]普通怪-防御'!$J$6</f>
        <v>10</v>
      </c>
      <c r="J6">
        <f>'[3]普通怪-防御'!$V$6</f>
        <v>0</v>
      </c>
      <c r="K6">
        <f>'[3]普通怪-防御'!$Y$6</f>
        <v>0</v>
      </c>
      <c r="L6">
        <f>'[3]普通怪-防御'!$Z$6</f>
        <v>0</v>
      </c>
    </row>
    <row r="7" spans="1:12" x14ac:dyDescent="0.15">
      <c r="A7">
        <v>6</v>
      </c>
      <c r="B7">
        <f>'[3]普通怪-防御'!$C$7</f>
        <v>500</v>
      </c>
      <c r="C7">
        <f t="shared" si="0"/>
        <v>150</v>
      </c>
      <c r="D7">
        <f>'[3]普通怪-防御'!$D$7</f>
        <v>37</v>
      </c>
      <c r="E7">
        <f>'[3]普通怪-防御'!$E$7</f>
        <v>40</v>
      </c>
      <c r="F7">
        <f>ROUND('[3]普通怪-防御'!$F$7 *1000,0)</f>
        <v>0</v>
      </c>
      <c r="G7">
        <f>ROUND('[3]普通怪-防御'!$H$7 *100,0)</f>
        <v>70</v>
      </c>
      <c r="H7">
        <f>'[3]普通怪-防御'!$I$7</f>
        <v>56</v>
      </c>
      <c r="I7">
        <f>'[3]普通怪-防御'!$J$7</f>
        <v>11</v>
      </c>
      <c r="J7">
        <f>'[3]普通怪-防御'!$V$7</f>
        <v>0</v>
      </c>
      <c r="K7">
        <f>'[3]普通怪-防御'!$Y$7</f>
        <v>0</v>
      </c>
      <c r="L7">
        <f>'[3]普通怪-防御'!$Z$7</f>
        <v>0</v>
      </c>
    </row>
    <row r="8" spans="1:12" x14ac:dyDescent="0.15">
      <c r="A8">
        <v>7</v>
      </c>
      <c r="B8">
        <f>'[3]普通怪-防御'!$C$8</f>
        <v>650</v>
      </c>
      <c r="C8">
        <f t="shared" si="0"/>
        <v>150</v>
      </c>
      <c r="D8">
        <f>'[3]普通怪-防御'!$D$8</f>
        <v>45</v>
      </c>
      <c r="E8">
        <f>'[3]普通怪-防御'!$E$8</f>
        <v>56</v>
      </c>
      <c r="F8">
        <f>ROUND('[3]普通怪-防御'!$F$8 *1000,0)</f>
        <v>0</v>
      </c>
      <c r="G8">
        <f>ROUND('[3]普通怪-防御'!$H$8 *100,0)</f>
        <v>70</v>
      </c>
      <c r="H8">
        <f>'[3]普通怪-防御'!$I$8</f>
        <v>65</v>
      </c>
      <c r="I8">
        <f>'[3]普通怪-防御'!$J$8</f>
        <v>14</v>
      </c>
      <c r="J8">
        <f>'[3]普通怪-防御'!$V$8</f>
        <v>0</v>
      </c>
      <c r="K8">
        <f>'[3]普通怪-防御'!$Y$8</f>
        <v>0</v>
      </c>
      <c r="L8">
        <f>'[3]普通怪-防御'!$Z$8</f>
        <v>0</v>
      </c>
    </row>
    <row r="9" spans="1:12" x14ac:dyDescent="0.15">
      <c r="A9">
        <v>8</v>
      </c>
      <c r="B9">
        <f>'[3]普通怪-防御'!$C$9</f>
        <v>850</v>
      </c>
      <c r="C9">
        <f t="shared" si="0"/>
        <v>200</v>
      </c>
      <c r="D9">
        <f>'[3]普通怪-防御'!$D$9</f>
        <v>66</v>
      </c>
      <c r="E9">
        <f>'[3]普通怪-防御'!$E$9</f>
        <v>92</v>
      </c>
      <c r="F9">
        <f>ROUND('[3]普通怪-防御'!$F$9 *1000,0)</f>
        <v>0</v>
      </c>
      <c r="G9">
        <f>ROUND('[3]普通怪-防御'!$H$9 *100,0)</f>
        <v>70</v>
      </c>
      <c r="H9">
        <f>'[3]普通怪-防御'!$I$9</f>
        <v>84</v>
      </c>
      <c r="I9">
        <f>'[3]普通怪-防御'!$J$9</f>
        <v>20</v>
      </c>
      <c r="J9">
        <f>'[3]普通怪-防御'!$V$9</f>
        <v>0</v>
      </c>
      <c r="K9">
        <f>'[3]普通怪-防御'!$Y$9</f>
        <v>0</v>
      </c>
      <c r="L9">
        <f>'[3]普通怪-防御'!$Z$9</f>
        <v>0</v>
      </c>
    </row>
    <row r="10" spans="1:12" x14ac:dyDescent="0.15">
      <c r="A10">
        <v>9</v>
      </c>
      <c r="B10">
        <f>'[3]普通怪-防御'!$C$10</f>
        <v>1050</v>
      </c>
      <c r="C10">
        <f t="shared" si="0"/>
        <v>200</v>
      </c>
      <c r="D10">
        <f>'[3]普通怪-防御'!$D$10</f>
        <v>75</v>
      </c>
      <c r="E10">
        <f>'[3]普通怪-防御'!$E$10</f>
        <v>116</v>
      </c>
      <c r="F10">
        <f>ROUND('[3]普通怪-防御'!$F$10*1000,0)</f>
        <v>0</v>
      </c>
      <c r="G10">
        <f>ROUND('[3]普通怪-防御'!$H$10*100,0)</f>
        <v>70</v>
      </c>
      <c r="H10">
        <f>'[3]普通怪-防御'!$I$10</f>
        <v>101</v>
      </c>
      <c r="I10">
        <f>'[3]普通怪-防御'!$J$10</f>
        <v>23</v>
      </c>
      <c r="J10">
        <f>'[3]普通怪-防御'!$V$10</f>
        <v>0</v>
      </c>
      <c r="K10">
        <f>'[3]普通怪-防御'!$Y$10</f>
        <v>0</v>
      </c>
      <c r="L10">
        <f>'[3]普通怪-防御'!$Z$10</f>
        <v>0</v>
      </c>
    </row>
    <row r="11" spans="1:12" x14ac:dyDescent="0.15">
      <c r="A11">
        <v>10</v>
      </c>
      <c r="B11">
        <f>'[3]普通怪-防御'!$C$11</f>
        <v>1250</v>
      </c>
      <c r="C11">
        <f t="shared" si="0"/>
        <v>200</v>
      </c>
      <c r="D11">
        <f>'[3]普通怪-防御'!$D$11</f>
        <v>81</v>
      </c>
      <c r="E11">
        <f>'[3]普通怪-防御'!$E$11</f>
        <v>141</v>
      </c>
      <c r="F11">
        <f>ROUND('[3]普通怪-防御'!$F$11*1000,0)</f>
        <v>0</v>
      </c>
      <c r="G11">
        <f>ROUND('[3]普通怪-防御'!$H$11*100,0)</f>
        <v>70</v>
      </c>
      <c r="H11">
        <f>'[3]普通怪-防御'!$I$11</f>
        <v>120</v>
      </c>
      <c r="I11">
        <f>'[3]普通怪-防御'!$J$11</f>
        <v>24</v>
      </c>
      <c r="J11">
        <f>'[3]普通怪-防御'!$V$11</f>
        <v>0</v>
      </c>
      <c r="K11">
        <f>'[3]普通怪-防御'!$Y$11</f>
        <v>0</v>
      </c>
      <c r="L11">
        <f>'[3]普通怪-防御'!$Z$11</f>
        <v>0</v>
      </c>
    </row>
    <row r="12" spans="1:12" x14ac:dyDescent="0.15">
      <c r="A12">
        <v>11</v>
      </c>
      <c r="B12">
        <f>'[3]普通怪-防御'!$C$12</f>
        <v>1500</v>
      </c>
      <c r="C12">
        <f t="shared" si="0"/>
        <v>250</v>
      </c>
      <c r="D12">
        <f>'[3]普通怪-防御'!$D$12</f>
        <v>158</v>
      </c>
      <c r="E12">
        <f>'[3]普通怪-防御'!$E$12</f>
        <v>165</v>
      </c>
      <c r="F12">
        <f>ROUND('[3]普通怪-防御'!$F$12*1000,0)</f>
        <v>0</v>
      </c>
      <c r="G12">
        <f>ROUND('[3]普通怪-防御'!$H$12*100,0)</f>
        <v>70</v>
      </c>
      <c r="H12">
        <f>'[3]普通怪-防御'!$I$12</f>
        <v>141</v>
      </c>
      <c r="I12">
        <f>'[3]普通怪-防御'!$J$12</f>
        <v>47</v>
      </c>
      <c r="J12">
        <f>'[3]普通怪-防御'!$V$12</f>
        <v>0</v>
      </c>
      <c r="K12">
        <f>'[3]普通怪-防御'!$Y$12</f>
        <v>0</v>
      </c>
      <c r="L12">
        <f>'[3]普通怪-防御'!$Z$12</f>
        <v>0</v>
      </c>
    </row>
    <row r="13" spans="1:12" x14ac:dyDescent="0.15">
      <c r="A13">
        <v>12</v>
      </c>
      <c r="B13">
        <f>'[3]普通怪-防御'!$C$13</f>
        <v>1750</v>
      </c>
      <c r="C13">
        <f t="shared" si="0"/>
        <v>250</v>
      </c>
      <c r="D13">
        <f>'[3]普通怪-防御'!$D$13</f>
        <v>180</v>
      </c>
      <c r="E13">
        <f>'[3]普通怪-防御'!$E$13</f>
        <v>192</v>
      </c>
      <c r="F13">
        <f>ROUND('[3]普通怪-防御'!$F$13*1000,0)</f>
        <v>0</v>
      </c>
      <c r="G13">
        <f>ROUND('[3]普通怪-防御'!$H$13*100,0)</f>
        <v>70</v>
      </c>
      <c r="H13">
        <f>'[3]普通怪-防御'!$I$13</f>
        <v>164</v>
      </c>
      <c r="I13">
        <f>'[3]普通怪-防御'!$J$13</f>
        <v>54</v>
      </c>
      <c r="J13">
        <f>'[3]普通怪-防御'!$V$13</f>
        <v>0</v>
      </c>
      <c r="K13">
        <f>'[3]普通怪-防御'!$Y$13</f>
        <v>0</v>
      </c>
      <c r="L13">
        <f>'[3]普通怪-防御'!$Z$13</f>
        <v>0</v>
      </c>
    </row>
    <row r="14" spans="1:12" x14ac:dyDescent="0.15">
      <c r="A14">
        <v>13</v>
      </c>
      <c r="B14">
        <f>'[3]普通怪-防御'!$C$14</f>
        <v>2050</v>
      </c>
      <c r="C14">
        <f t="shared" si="0"/>
        <v>300</v>
      </c>
      <c r="D14">
        <f>'[3]普通怪-防御'!$D$14</f>
        <v>211</v>
      </c>
      <c r="E14">
        <f>'[3]普通怪-防御'!$E$14</f>
        <v>222</v>
      </c>
      <c r="F14">
        <f>ROUND('[3]普通怪-防御'!$F$14*1000,0)</f>
        <v>0</v>
      </c>
      <c r="G14">
        <f>ROUND('[3]普通怪-防御'!$H$14*100,0)</f>
        <v>70</v>
      </c>
      <c r="H14">
        <f>'[3]普通怪-防御'!$I$14</f>
        <v>190</v>
      </c>
      <c r="I14">
        <f>'[3]普通怪-防御'!$J$14</f>
        <v>63</v>
      </c>
      <c r="J14">
        <f>'[3]普通怪-防御'!$V$14</f>
        <v>0</v>
      </c>
      <c r="K14">
        <f>'[3]普通怪-防御'!$Y$14</f>
        <v>0</v>
      </c>
      <c r="L14">
        <f>'[3]普通怪-防御'!$Z$14</f>
        <v>0</v>
      </c>
    </row>
    <row r="15" spans="1:12" x14ac:dyDescent="0.15">
      <c r="A15">
        <v>14</v>
      </c>
      <c r="B15">
        <f>'[3]普通怪-防御'!$C$15</f>
        <v>2400</v>
      </c>
      <c r="C15">
        <f t="shared" si="0"/>
        <v>350</v>
      </c>
      <c r="D15">
        <f>'[3]普通怪-防御'!$D$15</f>
        <v>341</v>
      </c>
      <c r="E15">
        <f>'[3]普通怪-防御'!$E$15</f>
        <v>255</v>
      </c>
      <c r="F15">
        <f>ROUND('[3]普通怪-防御'!$F$15*1000,0)</f>
        <v>0</v>
      </c>
      <c r="G15">
        <f>ROUND('[3]普通怪-防御'!$H$15*100,0)</f>
        <v>70</v>
      </c>
      <c r="H15">
        <f>'[3]普通怪-防御'!$I$15</f>
        <v>219</v>
      </c>
      <c r="I15">
        <f>'[3]普通怪-防御'!$J$15</f>
        <v>102</v>
      </c>
      <c r="J15">
        <f>'[3]普通怪-防御'!$V$15</f>
        <v>0</v>
      </c>
      <c r="K15">
        <f>'[3]普通怪-防御'!$Y$15</f>
        <v>0</v>
      </c>
      <c r="L15">
        <f>'[3]普通怪-防御'!$Z$15</f>
        <v>0</v>
      </c>
    </row>
    <row r="16" spans="1:12" x14ac:dyDescent="0.15">
      <c r="A16">
        <v>15</v>
      </c>
      <c r="B16">
        <f>'[3]普通怪-防御'!$C$16</f>
        <v>2850</v>
      </c>
      <c r="C16">
        <f t="shared" si="0"/>
        <v>450</v>
      </c>
      <c r="D16">
        <f>'[3]普通怪-防御'!$D$16</f>
        <v>422</v>
      </c>
      <c r="E16">
        <f>'[3]普通怪-防御'!$E$16</f>
        <v>292</v>
      </c>
      <c r="F16">
        <f>ROUND('[3]普通怪-防御'!$F$16*1000,0)</f>
        <v>0</v>
      </c>
      <c r="G16">
        <f>ROUND('[3]普通怪-防御'!$H$16*100,0)</f>
        <v>70</v>
      </c>
      <c r="H16">
        <f>'[3]普通怪-防御'!$I$16</f>
        <v>251</v>
      </c>
      <c r="I16">
        <f>'[3]普通怪-防御'!$J$16</f>
        <v>127</v>
      </c>
      <c r="J16">
        <f>'[3]普通怪-防御'!$V$16</f>
        <v>0</v>
      </c>
      <c r="K16">
        <f>'[3]普通怪-防御'!$Y$16</f>
        <v>0</v>
      </c>
      <c r="L16">
        <f>'[3]普通怪-防御'!$Z$16</f>
        <v>0</v>
      </c>
    </row>
    <row r="17" spans="1:12" x14ac:dyDescent="0.15">
      <c r="A17">
        <v>16</v>
      </c>
      <c r="B17">
        <f>'[3]普通怪-防御'!$C$17</f>
        <v>3350</v>
      </c>
      <c r="C17">
        <f t="shared" si="0"/>
        <v>500</v>
      </c>
      <c r="D17">
        <f>'[3]普通怪-防御'!$D$17</f>
        <v>637</v>
      </c>
      <c r="E17">
        <f>'[3]普通怪-防御'!$E$17</f>
        <v>333</v>
      </c>
      <c r="F17">
        <f>ROUND('[3]普通怪-防御'!$F$17*1000,0)</f>
        <v>0</v>
      </c>
      <c r="G17">
        <f>ROUND('[3]普通怪-防御'!$H$17*100,0)</f>
        <v>70</v>
      </c>
      <c r="H17">
        <f>'[3]普通怪-防御'!$I$17</f>
        <v>287</v>
      </c>
      <c r="I17">
        <f>'[3]普通怪-防御'!$J$17</f>
        <v>191</v>
      </c>
      <c r="J17">
        <f>'[3]普通怪-防御'!$V$17</f>
        <v>0</v>
      </c>
      <c r="K17">
        <f>'[3]普通怪-防御'!$Y$17</f>
        <v>0</v>
      </c>
      <c r="L17">
        <f>'[3]普通怪-防御'!$Z$17</f>
        <v>0</v>
      </c>
    </row>
    <row r="18" spans="1:12" x14ac:dyDescent="0.15">
      <c r="A18">
        <v>17</v>
      </c>
      <c r="B18">
        <f>'[3]普通怪-防御'!$C$18</f>
        <v>3900</v>
      </c>
      <c r="C18">
        <f t="shared" si="0"/>
        <v>550</v>
      </c>
      <c r="D18">
        <f>'[3]普通怪-防御'!$D$18</f>
        <v>754</v>
      </c>
      <c r="E18">
        <f>'[3]普通怪-防御'!$E$18</f>
        <v>379</v>
      </c>
      <c r="F18">
        <f>ROUND('[3]普通怪-防御'!$F$18*1000,0)</f>
        <v>0</v>
      </c>
      <c r="G18">
        <f>ROUND('[3]普通怪-防御'!$H$18*100,0)</f>
        <v>70</v>
      </c>
      <c r="H18">
        <f>'[3]普通怪-防御'!$I$18</f>
        <v>327</v>
      </c>
      <c r="I18">
        <f>'[3]普通怪-防御'!$J$18</f>
        <v>226</v>
      </c>
      <c r="J18">
        <f>'[3]普通怪-防御'!$V$18</f>
        <v>0</v>
      </c>
      <c r="K18">
        <f>'[3]普通怪-防御'!$Y$18</f>
        <v>0</v>
      </c>
      <c r="L18">
        <f>'[3]普通怪-防御'!$Z$18</f>
        <v>0</v>
      </c>
    </row>
    <row r="19" spans="1:12" x14ac:dyDescent="0.15">
      <c r="A19">
        <v>18</v>
      </c>
      <c r="B19">
        <f>'[3]普通怪-防御'!$C$19</f>
        <v>4550</v>
      </c>
      <c r="C19">
        <f t="shared" si="0"/>
        <v>650</v>
      </c>
      <c r="D19">
        <f>'[3]普通怪-防御'!$D$19</f>
        <v>901</v>
      </c>
      <c r="E19">
        <f>'[3]普通怪-防御'!$E$19</f>
        <v>430</v>
      </c>
      <c r="F19">
        <f>ROUND('[3]普通怪-防御'!$F$19*1000,0)</f>
        <v>0</v>
      </c>
      <c r="G19">
        <f>ROUND('[3]普通怪-防御'!$H$19*100,0)</f>
        <v>70</v>
      </c>
      <c r="H19">
        <f>'[3]普通怪-防御'!$I$19</f>
        <v>371</v>
      </c>
      <c r="I19">
        <f>'[3]普通怪-防御'!$J$19</f>
        <v>270</v>
      </c>
      <c r="J19">
        <f>'[3]普通怪-防御'!$V$19</f>
        <v>0</v>
      </c>
      <c r="K19">
        <f>'[3]普通怪-防御'!$Y$19</f>
        <v>0</v>
      </c>
      <c r="L19">
        <f>'[3]普通怪-防御'!$Z$19</f>
        <v>0</v>
      </c>
    </row>
    <row r="20" spans="1:12" x14ac:dyDescent="0.15">
      <c r="A20">
        <v>19</v>
      </c>
      <c r="B20">
        <f>'[3]普通怪-防御'!$C$20</f>
        <v>5500</v>
      </c>
      <c r="C20">
        <f t="shared" si="0"/>
        <v>950</v>
      </c>
      <c r="D20">
        <f>'[3]普通怪-防御'!$D$20</f>
        <v>1358</v>
      </c>
      <c r="E20">
        <f>'[3]普通怪-防御'!$E$20</f>
        <v>487</v>
      </c>
      <c r="F20">
        <f>ROUND('[3]普通怪-防御'!$F$20*1000,0)</f>
        <v>0</v>
      </c>
      <c r="G20">
        <f>ROUND('[3]普通怪-防御'!$H$20*100,0)</f>
        <v>70</v>
      </c>
      <c r="H20">
        <f>'[3]普通怪-防御'!$I$20</f>
        <v>420</v>
      </c>
      <c r="I20">
        <f>'[3]普通怪-防御'!$J$20</f>
        <v>407</v>
      </c>
      <c r="J20">
        <f>'[3]普通怪-防御'!$V$20</f>
        <v>0</v>
      </c>
      <c r="K20">
        <f>'[3]普通怪-防御'!$Y$20</f>
        <v>0</v>
      </c>
      <c r="L20">
        <f>'[3]普通怪-防御'!$Z$20</f>
        <v>0</v>
      </c>
    </row>
    <row r="21" spans="1:12" x14ac:dyDescent="0.15">
      <c r="A21">
        <v>20</v>
      </c>
      <c r="B21">
        <f>'[3]普通怪-防御'!$C$21</f>
        <v>6600</v>
      </c>
      <c r="C21">
        <f t="shared" si="0"/>
        <v>1100</v>
      </c>
      <c r="D21">
        <f>'[3]普通怪-防御'!$D$21</f>
        <v>1863</v>
      </c>
      <c r="E21">
        <f>'[3]普通怪-防御'!$E$21</f>
        <v>600</v>
      </c>
      <c r="F21">
        <f>ROUND('[3]普通怪-防御'!$F$21*1000,0)</f>
        <v>0</v>
      </c>
      <c r="G21">
        <f>ROUND('[3]普通怪-防御'!$H$21*100,0)</f>
        <v>70</v>
      </c>
      <c r="H21">
        <f>'[3]普通怪-防御'!$I$21</f>
        <v>475</v>
      </c>
      <c r="I21">
        <f>'[3]普通怪-防御'!$J$21</f>
        <v>559</v>
      </c>
      <c r="J21">
        <f>'[3]普通怪-防御'!$V$21</f>
        <v>0</v>
      </c>
      <c r="K21">
        <f>'[3]普通怪-防御'!$Y$21</f>
        <v>0</v>
      </c>
      <c r="L21">
        <f>'[3]普通怪-防御'!$Z$21</f>
        <v>0</v>
      </c>
    </row>
    <row r="22" spans="1:12" x14ac:dyDescent="0.15">
      <c r="A22">
        <v>21</v>
      </c>
      <c r="B22">
        <f>'[3]普通怪-防御'!$C$22</f>
        <v>9450</v>
      </c>
      <c r="C22">
        <f t="shared" si="0"/>
        <v>2850</v>
      </c>
      <c r="D22">
        <f>'[3]普通怪-防御'!$D$22</f>
        <v>2605</v>
      </c>
      <c r="E22">
        <f>'[3]普通怪-防御'!$E$22</f>
        <v>764</v>
      </c>
      <c r="F22">
        <f>ROUND('[3]普通怪-防御'!$F$22*1000,0)</f>
        <v>0</v>
      </c>
      <c r="G22">
        <f>ROUND('[3]普通怪-防御'!$H$22*100,0)</f>
        <v>70</v>
      </c>
      <c r="H22">
        <f>'[3]普通怪-防御'!$I$22</f>
        <v>558</v>
      </c>
      <c r="I22">
        <f>'[3]普通怪-防御'!$J$22</f>
        <v>782</v>
      </c>
      <c r="J22">
        <f>'[3]普通怪-防御'!$V$22</f>
        <v>0</v>
      </c>
      <c r="K22">
        <f>'[3]普通怪-防御'!$Y$22</f>
        <v>0</v>
      </c>
      <c r="L22">
        <f>'[3]普通怪-防御'!$Z$22</f>
        <v>0</v>
      </c>
    </row>
    <row r="23" spans="1:12" x14ac:dyDescent="0.15">
      <c r="A23">
        <v>22</v>
      </c>
      <c r="B23">
        <f>'[3]普通怪-防御'!$C$23</f>
        <v>12800</v>
      </c>
      <c r="C23">
        <f t="shared" si="0"/>
        <v>3350</v>
      </c>
      <c r="D23">
        <f>'[3]普通怪-防御'!$D$23</f>
        <v>4084</v>
      </c>
      <c r="E23">
        <f>'[3]普通怪-防御'!$E$23</f>
        <v>1032</v>
      </c>
      <c r="F23">
        <f>ROUND('[3]普通怪-防御'!$F$23*1000,0)</f>
        <v>0</v>
      </c>
      <c r="G23">
        <f>ROUND('[3]普通怪-防御'!$H$23*100,0)</f>
        <v>70</v>
      </c>
      <c r="H23">
        <f>'[3]普通怪-防御'!$I$23</f>
        <v>683</v>
      </c>
      <c r="I23">
        <f>'[3]普通怪-防御'!$J$23</f>
        <v>1225</v>
      </c>
      <c r="J23">
        <f>'[3]普通怪-防御'!$V$23</f>
        <v>0</v>
      </c>
      <c r="K23">
        <f>'[3]普通怪-防御'!$Y$23</f>
        <v>0</v>
      </c>
      <c r="L23">
        <f>'[3]普通怪-防御'!$Z$23</f>
        <v>0</v>
      </c>
    </row>
    <row r="24" spans="1:12" x14ac:dyDescent="0.15">
      <c r="A24">
        <v>23</v>
      </c>
      <c r="B24">
        <f>'[3]普通怪-防御'!$C$24</f>
        <v>17400</v>
      </c>
      <c r="C24">
        <f t="shared" si="0"/>
        <v>4600</v>
      </c>
      <c r="D24">
        <f>'[3]普通怪-防御'!$D$24</f>
        <v>5623</v>
      </c>
      <c r="E24">
        <f>'[3]普通怪-防御'!$E$24</f>
        <v>1400</v>
      </c>
      <c r="F24">
        <f>ROUND('[3]普通怪-防御'!$F$24*1000,0)</f>
        <v>0</v>
      </c>
      <c r="G24">
        <f>ROUND('[3]普通怪-防御'!$H$24*100,0)</f>
        <v>70</v>
      </c>
      <c r="H24">
        <f>'[3]普通怪-防御'!$I$24</f>
        <v>871</v>
      </c>
      <c r="I24">
        <f>'[3]普通怪-防御'!$J$24</f>
        <v>1687</v>
      </c>
      <c r="J24">
        <f>'[3]普通怪-防御'!$V$24</f>
        <v>0</v>
      </c>
      <c r="K24">
        <f>'[3]普通怪-防御'!$Y$24</f>
        <v>0</v>
      </c>
      <c r="L24">
        <f>'[3]普通怪-防御'!$Z$24</f>
        <v>0</v>
      </c>
    </row>
    <row r="25" spans="1:12" x14ac:dyDescent="0.15">
      <c r="A25">
        <v>24</v>
      </c>
      <c r="B25">
        <f>'[3]普通怪-防御'!$C$25</f>
        <v>23250</v>
      </c>
      <c r="C25">
        <f t="shared" si="0"/>
        <v>5850</v>
      </c>
      <c r="D25">
        <f>'[3]普通怪-防御'!$D$25</f>
        <v>7531</v>
      </c>
      <c r="E25">
        <f>'[3]普通怪-防御'!$E$25</f>
        <v>1868</v>
      </c>
      <c r="F25">
        <f>ROUND('[3]普通怪-防御'!$F$25*1000,0)</f>
        <v>0</v>
      </c>
      <c r="G25">
        <f>ROUND('[3]普通怪-防御'!$H$25*100,0)</f>
        <v>70</v>
      </c>
      <c r="H25">
        <f>'[3]普通怪-防御'!$I$25</f>
        <v>1153</v>
      </c>
      <c r="I25">
        <f>'[3]普通怪-防御'!$J$25</f>
        <v>2259</v>
      </c>
      <c r="J25">
        <f>'[3]普通怪-防御'!$V$25</f>
        <v>0</v>
      </c>
      <c r="K25">
        <f>'[3]普通怪-防御'!$Y$25</f>
        <v>0</v>
      </c>
      <c r="L25">
        <f>'[3]普通怪-防御'!$Z$25</f>
        <v>0</v>
      </c>
    </row>
    <row r="26" spans="1:12" x14ac:dyDescent="0.15">
      <c r="A26">
        <v>25</v>
      </c>
      <c r="B26">
        <f>'[3]普通怪-防御'!$C$26</f>
        <v>30750</v>
      </c>
      <c r="C26">
        <f t="shared" si="0"/>
        <v>7500</v>
      </c>
      <c r="D26">
        <f>'[3]普通怪-防御'!$D$26</f>
        <v>9908</v>
      </c>
      <c r="E26">
        <f>'[3]普通怪-防御'!$E$26</f>
        <v>2468</v>
      </c>
      <c r="F26">
        <f>ROUND('[3]普通怪-防御'!$F$26*1000,0)</f>
        <v>0</v>
      </c>
      <c r="G26">
        <f>ROUND('[3]普通怪-防御'!$H$26*100,0)</f>
        <v>70</v>
      </c>
      <c r="H26">
        <f>'[3]普通怪-防御'!$I$26</f>
        <v>1576</v>
      </c>
      <c r="I26">
        <f>'[3]普通怪-防御'!$J$26</f>
        <v>2972</v>
      </c>
      <c r="J26">
        <f>'[3]普通怪-防御'!$V$26</f>
        <v>0</v>
      </c>
      <c r="K26">
        <f>'[3]普通怪-防御'!$Y$26</f>
        <v>0</v>
      </c>
      <c r="L26">
        <f>'[3]普通怪-防御'!$Z$26</f>
        <v>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'[3]精英怪-攻击'!$C$2</f>
        <v>50</v>
      </c>
      <c r="C2">
        <f>B2-0</f>
        <v>50</v>
      </c>
      <c r="D2">
        <f>'[3]精英怪-攻击'!$D$2</f>
        <v>32</v>
      </c>
      <c r="E2">
        <f>'[3]精英怪-攻击'!$E$2</f>
        <v>8</v>
      </c>
      <c r="F2">
        <f>ROUND('[3]精英怪-攻击'!$F$2 *1000,0)</f>
        <v>0</v>
      </c>
      <c r="G2">
        <f>ROUND('[3]精英怪-攻击'!$H$2 *100,0)</f>
        <v>100</v>
      </c>
      <c r="H2">
        <f>'[3]精英怪-攻击'!$I$2</f>
        <v>7</v>
      </c>
      <c r="I2">
        <f>'[3]精英怪-攻击'!$J$2</f>
        <v>10</v>
      </c>
      <c r="J2">
        <f>'[3]精英怪-攻击'!$V$2</f>
        <v>0</v>
      </c>
      <c r="K2">
        <f>'[3]精英怪-攻击'!$Y$2</f>
        <v>0</v>
      </c>
      <c r="L2">
        <f>'[3]精英怪-攻击'!$Z$2</f>
        <v>0</v>
      </c>
    </row>
    <row r="3" spans="1:12" x14ac:dyDescent="0.15">
      <c r="A3">
        <v>2</v>
      </c>
      <c r="B3">
        <f>'[3]精英怪-攻击'!$C$3</f>
        <v>100</v>
      </c>
      <c r="C3">
        <f>B3-B2</f>
        <v>50</v>
      </c>
      <c r="D3">
        <f>'[3]精英怪-攻击'!$D$3</f>
        <v>36</v>
      </c>
      <c r="E3">
        <f>'[3]精英怪-攻击'!$E$3</f>
        <v>14</v>
      </c>
      <c r="F3">
        <f>ROUND('[3]精英怪-攻击'!$F$3 *1000,0)</f>
        <v>0</v>
      </c>
      <c r="G3">
        <f>ROUND('[3]精英怪-攻击'!$H$3 *100,0)</f>
        <v>100</v>
      </c>
      <c r="H3">
        <f>'[3]精英怪-攻击'!$I$3</f>
        <v>11</v>
      </c>
      <c r="I3">
        <f>'[3]精英怪-攻击'!$J$3</f>
        <v>11</v>
      </c>
      <c r="J3">
        <f>'[3]精英怪-攻击'!$V$3</f>
        <v>0</v>
      </c>
      <c r="K3">
        <f>'[3]精英怪-攻击'!$Y$3</f>
        <v>0</v>
      </c>
      <c r="L3">
        <f>'[3]精英怪-攻击'!$Z$3</f>
        <v>0</v>
      </c>
    </row>
    <row r="4" spans="1:12" x14ac:dyDescent="0.15">
      <c r="A4">
        <v>3</v>
      </c>
      <c r="B4">
        <f>'[3]精英怪-攻击'!$C$4</f>
        <v>150</v>
      </c>
      <c r="C4">
        <f t="shared" ref="C4:C26" si="0">B4-B3</f>
        <v>50</v>
      </c>
      <c r="D4">
        <f>'[3]精英怪-攻击'!$D$4</f>
        <v>36</v>
      </c>
      <c r="E4">
        <f>'[3]精英怪-攻击'!$E$4</f>
        <v>22</v>
      </c>
      <c r="F4">
        <f>ROUND('[3]精英怪-攻击'!$F$4 *1000,0)</f>
        <v>3</v>
      </c>
      <c r="G4">
        <f>ROUND('[3]精英怪-攻击'!$H$4 *100,0)</f>
        <v>100</v>
      </c>
      <c r="H4">
        <f>'[3]精英怪-攻击'!$I$4</f>
        <v>16</v>
      </c>
      <c r="I4">
        <f>'[3]精英怪-攻击'!$J$4</f>
        <v>11</v>
      </c>
      <c r="J4">
        <f>'[3]精英怪-攻击'!$V$4</f>
        <v>0</v>
      </c>
      <c r="K4">
        <f>'[3]精英怪-攻击'!$Y$4</f>
        <v>0</v>
      </c>
      <c r="L4">
        <f>'[3]精英怪-攻击'!$Z$4</f>
        <v>0</v>
      </c>
    </row>
    <row r="5" spans="1:12" x14ac:dyDescent="0.15">
      <c r="A5">
        <v>4</v>
      </c>
      <c r="B5">
        <f>'[3]精英怪-攻击'!$C$5</f>
        <v>250</v>
      </c>
      <c r="C5">
        <f t="shared" si="0"/>
        <v>100</v>
      </c>
      <c r="D5">
        <f>'[3]精英怪-攻击'!$D$5</f>
        <v>49</v>
      </c>
      <c r="E5">
        <f>'[3]精英怪-攻击'!$E$5</f>
        <v>32</v>
      </c>
      <c r="F5">
        <f>ROUND('[3]精英怪-攻击'!$F$5 *1000,0)</f>
        <v>3</v>
      </c>
      <c r="G5">
        <f>ROUND('[3]精英怪-攻击'!$H$5 *100,0)</f>
        <v>100</v>
      </c>
      <c r="H5">
        <f>'[3]精英怪-攻击'!$I$5</f>
        <v>22</v>
      </c>
      <c r="I5">
        <f>'[3]精英怪-攻击'!$J$5</f>
        <v>15</v>
      </c>
      <c r="J5">
        <f>'[3]精英怪-攻击'!$V$5</f>
        <v>0</v>
      </c>
      <c r="K5">
        <f>'[3]精英怪-攻击'!$Y$5</f>
        <v>0</v>
      </c>
      <c r="L5">
        <f>'[3]精英怪-攻击'!$Z$5</f>
        <v>0</v>
      </c>
    </row>
    <row r="6" spans="1:12" x14ac:dyDescent="0.15">
      <c r="A6">
        <v>5</v>
      </c>
      <c r="B6">
        <f>'[3]精英怪-攻击'!$C$6</f>
        <v>350</v>
      </c>
      <c r="C6">
        <f t="shared" si="0"/>
        <v>100</v>
      </c>
      <c r="D6">
        <f>'[3]精英怪-攻击'!$D$6</f>
        <v>57</v>
      </c>
      <c r="E6">
        <f>'[3]精英怪-攻击'!$E$6</f>
        <v>45</v>
      </c>
      <c r="F6">
        <f>ROUND('[3]精英怪-攻击'!$F$6 *1000,0)</f>
        <v>5</v>
      </c>
      <c r="G6">
        <f>ROUND('[3]精英怪-攻击'!$H$6 *100,0)</f>
        <v>100</v>
      </c>
      <c r="H6">
        <f>'[3]精英怪-攻击'!$I$6</f>
        <v>29</v>
      </c>
      <c r="I6">
        <f>'[3]精英怪-攻击'!$J$6</f>
        <v>17</v>
      </c>
      <c r="J6">
        <f>'[3]精英怪-攻击'!$V$6</f>
        <v>0</v>
      </c>
      <c r="K6">
        <f>'[3]精英怪-攻击'!$Y$6</f>
        <v>0</v>
      </c>
      <c r="L6">
        <f>'[3]精英怪-攻击'!$Z$6</f>
        <v>0</v>
      </c>
    </row>
    <row r="7" spans="1:12" x14ac:dyDescent="0.15">
      <c r="A7">
        <v>6</v>
      </c>
      <c r="B7">
        <f>'[3]精英怪-攻击'!$C$7</f>
        <v>500</v>
      </c>
      <c r="C7">
        <f t="shared" si="0"/>
        <v>150</v>
      </c>
      <c r="D7">
        <f>'[3]精英怪-攻击'!$D$7</f>
        <v>78</v>
      </c>
      <c r="E7">
        <f>'[3]精英怪-攻击'!$E$7</f>
        <v>60</v>
      </c>
      <c r="F7">
        <f>ROUND('[3]精英怪-攻击'!$F$7 *1000,0)</f>
        <v>10</v>
      </c>
      <c r="G7">
        <f>ROUND('[3]精英怪-攻击'!$H$7 *100,0)</f>
        <v>100</v>
      </c>
      <c r="H7">
        <f>'[3]精英怪-攻击'!$I$7</f>
        <v>37</v>
      </c>
      <c r="I7">
        <f>'[3]精英怪-攻击'!$J$7</f>
        <v>23</v>
      </c>
      <c r="J7">
        <f>'[3]精英怪-攻击'!$V$7</f>
        <v>0</v>
      </c>
      <c r="K7">
        <f>'[3]精英怪-攻击'!$Y$7</f>
        <v>0</v>
      </c>
      <c r="L7">
        <f>'[3]精英怪-攻击'!$Z$7</f>
        <v>0</v>
      </c>
    </row>
    <row r="8" spans="1:12" x14ac:dyDescent="0.15">
      <c r="A8">
        <v>7</v>
      </c>
      <c r="B8">
        <f>'[3]精英怪-攻击'!$C$8</f>
        <v>650</v>
      </c>
      <c r="C8">
        <f t="shared" si="0"/>
        <v>150</v>
      </c>
      <c r="D8">
        <f>'[3]精英怪-攻击'!$D$8</f>
        <v>74</v>
      </c>
      <c r="E8">
        <f>'[3]精英怪-攻击'!$E$8</f>
        <v>92</v>
      </c>
      <c r="F8">
        <f>ROUND('[3]精英怪-攻击'!$F$8 *1000,0)</f>
        <v>15</v>
      </c>
      <c r="G8">
        <f>ROUND('[3]精英怪-攻击'!$H$8 *100,0)</f>
        <v>100</v>
      </c>
      <c r="H8">
        <f>'[3]精英怪-攻击'!$I$8</f>
        <v>46</v>
      </c>
      <c r="I8">
        <f>'[3]精英怪-攻击'!$J$8</f>
        <v>22</v>
      </c>
      <c r="J8">
        <f>'[3]精英怪-攻击'!$V$8</f>
        <v>0</v>
      </c>
      <c r="K8">
        <f>'[3]精英怪-攻击'!$Y$8</f>
        <v>0</v>
      </c>
      <c r="L8">
        <f>'[3]精英怪-攻击'!$Z$8</f>
        <v>0</v>
      </c>
    </row>
    <row r="9" spans="1:12" x14ac:dyDescent="0.15">
      <c r="A9">
        <v>8</v>
      </c>
      <c r="B9">
        <f>'[3]精英怪-攻击'!$C$9</f>
        <v>850</v>
      </c>
      <c r="C9">
        <f t="shared" si="0"/>
        <v>200</v>
      </c>
      <c r="D9">
        <f>'[3]精英怪-攻击'!$D$9</f>
        <v>123</v>
      </c>
      <c r="E9">
        <f>'[3]精英怪-攻击'!$E$9</f>
        <v>130</v>
      </c>
      <c r="F9">
        <f>ROUND('[3]精英怪-攻击'!$F$9 *1000,0)</f>
        <v>25</v>
      </c>
      <c r="G9">
        <f>ROUND('[3]精英怪-攻击'!$H$9 *100,0)</f>
        <v>100</v>
      </c>
      <c r="H9">
        <f>'[3]精英怪-攻击'!$I$9</f>
        <v>56</v>
      </c>
      <c r="I9">
        <f>'[3]精英怪-攻击'!$J$9</f>
        <v>37</v>
      </c>
      <c r="J9">
        <f>'[3]精英怪-攻击'!$V$9</f>
        <v>0</v>
      </c>
      <c r="K9">
        <f>'[3]精英怪-攻击'!$Y$9</f>
        <v>0</v>
      </c>
      <c r="L9">
        <f>'[3]精英怪-攻击'!$Z$9</f>
        <v>0</v>
      </c>
    </row>
    <row r="10" spans="1:12" x14ac:dyDescent="0.15">
      <c r="A10">
        <v>9</v>
      </c>
      <c r="B10">
        <f>'[3]精英怪-攻击'!$C$10</f>
        <v>1050</v>
      </c>
      <c r="C10">
        <f t="shared" si="0"/>
        <v>200</v>
      </c>
      <c r="D10">
        <f>'[3]精英怪-攻击'!$D$10</f>
        <v>138</v>
      </c>
      <c r="E10">
        <f>'[3]精英怪-攻击'!$E$10</f>
        <v>165</v>
      </c>
      <c r="F10">
        <f>ROUND('[3]精英怪-攻击'!$F$10*1000,0)</f>
        <v>29</v>
      </c>
      <c r="G10">
        <f>ROUND('[3]精英怪-攻击'!$H$10*100,0)</f>
        <v>100</v>
      </c>
      <c r="H10">
        <f>'[3]精英怪-攻击'!$I$10</f>
        <v>67</v>
      </c>
      <c r="I10">
        <f>'[3]精英怪-攻击'!$J$10</f>
        <v>41</v>
      </c>
      <c r="J10">
        <f>'[3]精英怪-攻击'!$V$10</f>
        <v>0</v>
      </c>
      <c r="K10">
        <f>'[3]精英怪-攻击'!$Y$10</f>
        <v>0</v>
      </c>
      <c r="L10">
        <f>'[3]精英怪-攻击'!$Z$10</f>
        <v>0</v>
      </c>
    </row>
    <row r="11" spans="1:12" x14ac:dyDescent="0.15">
      <c r="A11">
        <v>10</v>
      </c>
      <c r="B11">
        <f>'[3]精英怪-攻击'!$C$11</f>
        <v>1250</v>
      </c>
      <c r="C11">
        <f t="shared" si="0"/>
        <v>200</v>
      </c>
      <c r="D11">
        <f>'[3]精英怪-攻击'!$D$11</f>
        <v>148</v>
      </c>
      <c r="E11">
        <f>'[3]精英怪-攻击'!$E$11</f>
        <v>203</v>
      </c>
      <c r="F11">
        <f>ROUND('[3]精英怪-攻击'!$F$11*1000,0)</f>
        <v>37</v>
      </c>
      <c r="G11">
        <f>ROUND('[3]精英怪-攻击'!$H$11*100,0)</f>
        <v>100</v>
      </c>
      <c r="H11">
        <f>'[3]精英怪-攻击'!$I$11</f>
        <v>79</v>
      </c>
      <c r="I11">
        <f>'[3]精英怪-攻击'!$J$11</f>
        <v>44</v>
      </c>
      <c r="J11">
        <f>'[3]精英怪-攻击'!$V$11</f>
        <v>0</v>
      </c>
      <c r="K11">
        <f>'[3]精英怪-攻击'!$Y$11</f>
        <v>0</v>
      </c>
      <c r="L11">
        <f>'[3]精英怪-攻击'!$Z$11</f>
        <v>0</v>
      </c>
    </row>
    <row r="12" spans="1:12" x14ac:dyDescent="0.15">
      <c r="A12">
        <v>11</v>
      </c>
      <c r="B12">
        <f>'[3]精英怪-攻击'!$C$12</f>
        <v>1500</v>
      </c>
      <c r="C12">
        <f t="shared" si="0"/>
        <v>250</v>
      </c>
      <c r="D12">
        <f>'[3]精英怪-攻击'!$D$12</f>
        <v>254</v>
      </c>
      <c r="E12">
        <f>'[3]精英怪-攻击'!$E$12</f>
        <v>238</v>
      </c>
      <c r="F12">
        <f>ROUND('[3]精英怪-攻击'!$F$12*1000,0)</f>
        <v>46</v>
      </c>
      <c r="G12">
        <f>ROUND('[3]精英怪-攻击'!$H$12*100,0)</f>
        <v>100</v>
      </c>
      <c r="H12">
        <f>'[3]精英怪-攻击'!$I$12</f>
        <v>92</v>
      </c>
      <c r="I12">
        <f>'[3]精英怪-攻击'!$J$12</f>
        <v>76</v>
      </c>
      <c r="J12">
        <f>'[3]精英怪-攻击'!$V$12</f>
        <v>0</v>
      </c>
      <c r="K12">
        <f>'[3]精英怪-攻击'!$Y$12</f>
        <v>0</v>
      </c>
      <c r="L12">
        <f>'[3]精英怪-攻击'!$Z$12</f>
        <v>0</v>
      </c>
    </row>
    <row r="13" spans="1:12" x14ac:dyDescent="0.15">
      <c r="A13">
        <v>12</v>
      </c>
      <c r="B13">
        <f>'[3]精英怪-攻击'!$C$13</f>
        <v>1750</v>
      </c>
      <c r="C13">
        <f t="shared" si="0"/>
        <v>250</v>
      </c>
      <c r="D13">
        <f>'[3]精英怪-攻击'!$D$13</f>
        <v>289</v>
      </c>
      <c r="E13">
        <f>'[3]精英怪-攻击'!$E$13</f>
        <v>277</v>
      </c>
      <c r="F13">
        <f>ROUND('[3]精英怪-攻击'!$F$13*1000,0)</f>
        <v>55</v>
      </c>
      <c r="G13">
        <f>ROUND('[3]精英怪-攻击'!$H$13*100,0)</f>
        <v>100</v>
      </c>
      <c r="H13">
        <f>'[3]精英怪-攻击'!$I$13</f>
        <v>106</v>
      </c>
      <c r="I13">
        <f>'[3]精英怪-攻击'!$J$13</f>
        <v>87</v>
      </c>
      <c r="J13">
        <f>'[3]精英怪-攻击'!$V$13</f>
        <v>0</v>
      </c>
      <c r="K13">
        <f>'[3]精英怪-攻击'!$Y$13</f>
        <v>0</v>
      </c>
      <c r="L13">
        <f>'[3]精英怪-攻击'!$Z$13</f>
        <v>0</v>
      </c>
    </row>
    <row r="14" spans="1:12" x14ac:dyDescent="0.15">
      <c r="A14">
        <v>13</v>
      </c>
      <c r="B14">
        <f>'[3]精英怪-攻击'!$C$14</f>
        <v>2050</v>
      </c>
      <c r="C14">
        <f t="shared" si="0"/>
        <v>300</v>
      </c>
      <c r="D14">
        <f>'[3]精英怪-攻击'!$D$14</f>
        <v>336</v>
      </c>
      <c r="E14">
        <f>'[3]精英怪-攻击'!$E$14</f>
        <v>320</v>
      </c>
      <c r="F14">
        <f>ROUND('[3]精英怪-攻击'!$F$14*1000,0)</f>
        <v>65</v>
      </c>
      <c r="G14">
        <f>ROUND('[3]精英怪-攻击'!$H$14*100,0)</f>
        <v>100</v>
      </c>
      <c r="H14">
        <f>'[3]精英怪-攻击'!$I$14</f>
        <v>122</v>
      </c>
      <c r="I14">
        <f>'[3]精英怪-攻击'!$J$14</f>
        <v>101</v>
      </c>
      <c r="J14">
        <f>'[3]精英怪-攻击'!$V$14</f>
        <v>0</v>
      </c>
      <c r="K14">
        <f>'[3]精英怪-攻击'!$Y$14</f>
        <v>0</v>
      </c>
      <c r="L14">
        <f>'[3]精英怪-攻击'!$Z$14</f>
        <v>0</v>
      </c>
    </row>
    <row r="15" spans="1:12" x14ac:dyDescent="0.15">
      <c r="A15">
        <v>14</v>
      </c>
      <c r="B15">
        <f>'[3]精英怪-攻击'!$C$15</f>
        <v>2400</v>
      </c>
      <c r="C15">
        <f t="shared" si="0"/>
        <v>350</v>
      </c>
      <c r="D15">
        <f>'[3]精英怪-攻击'!$D$15</f>
        <v>514</v>
      </c>
      <c r="E15">
        <f>'[3]精英怪-攻击'!$E$15</f>
        <v>368</v>
      </c>
      <c r="F15">
        <f>ROUND('[3]精英怪-攻击'!$F$15*1000,0)</f>
        <v>76</v>
      </c>
      <c r="G15">
        <f>ROUND('[3]精英怪-攻击'!$H$15*100,0)</f>
        <v>100</v>
      </c>
      <c r="H15">
        <f>'[3]精英怪-攻击'!$I$15</f>
        <v>140</v>
      </c>
      <c r="I15">
        <f>'[3]精英怪-攻击'!$J$15</f>
        <v>154</v>
      </c>
      <c r="J15">
        <f>'[3]精英怪-攻击'!$V$15</f>
        <v>0</v>
      </c>
      <c r="K15">
        <f>'[3]精英怪-攻击'!$Y$15</f>
        <v>0</v>
      </c>
      <c r="L15">
        <f>'[3]精英怪-攻击'!$Z$15</f>
        <v>0</v>
      </c>
    </row>
    <row r="16" spans="1:12" x14ac:dyDescent="0.15">
      <c r="A16">
        <v>15</v>
      </c>
      <c r="B16">
        <f>'[3]精英怪-攻击'!$C$16</f>
        <v>2850</v>
      </c>
      <c r="C16">
        <f t="shared" si="0"/>
        <v>450</v>
      </c>
      <c r="D16">
        <f>'[3]精英怪-攻击'!$D$16</f>
        <v>625</v>
      </c>
      <c r="E16">
        <f>'[3]精英怪-攻击'!$E$16</f>
        <v>421</v>
      </c>
      <c r="F16">
        <f>ROUND('[3]精英怪-攻击'!$F$16*1000,0)</f>
        <v>89</v>
      </c>
      <c r="G16">
        <f>ROUND('[3]精英怪-攻击'!$H$16*100,0)</f>
        <v>100</v>
      </c>
      <c r="H16">
        <f>'[3]精英怪-攻击'!$I$16</f>
        <v>160</v>
      </c>
      <c r="I16">
        <f>'[3]精英怪-攻击'!$J$16</f>
        <v>188</v>
      </c>
      <c r="J16">
        <f>'[3]精英怪-攻击'!$V$16</f>
        <v>0</v>
      </c>
      <c r="K16">
        <f>'[3]精英怪-攻击'!$Y$16</f>
        <v>0</v>
      </c>
      <c r="L16">
        <f>'[3]精英怪-攻击'!$Z$16</f>
        <v>0</v>
      </c>
    </row>
    <row r="17" spans="1:12" x14ac:dyDescent="0.15">
      <c r="A17">
        <v>16</v>
      </c>
      <c r="B17">
        <f>'[3]精英怪-攻击'!$C$17</f>
        <v>3350</v>
      </c>
      <c r="C17">
        <f t="shared" si="0"/>
        <v>500</v>
      </c>
      <c r="D17">
        <f>'[3]精英怪-攻击'!$D$17</f>
        <v>915</v>
      </c>
      <c r="E17">
        <f>'[3]精英怪-攻击'!$E$17</f>
        <v>480</v>
      </c>
      <c r="F17">
        <f>ROUND('[3]精英怪-攻击'!$F$17*1000,0)</f>
        <v>100</v>
      </c>
      <c r="G17">
        <f>ROUND('[3]精英怪-攻击'!$H$17*100,0)</f>
        <v>100</v>
      </c>
      <c r="H17">
        <f>'[3]精英怪-攻击'!$I$17</f>
        <v>182</v>
      </c>
      <c r="I17">
        <f>'[3]精英怪-攻击'!$J$17</f>
        <v>275</v>
      </c>
      <c r="J17">
        <f>'[3]精英怪-攻击'!$V$17</f>
        <v>0</v>
      </c>
      <c r="K17">
        <f>'[3]精英怪-攻击'!$Y$17</f>
        <v>0</v>
      </c>
      <c r="L17">
        <f>'[3]精英怪-攻击'!$Z$17</f>
        <v>0</v>
      </c>
    </row>
    <row r="18" spans="1:12" x14ac:dyDescent="0.15">
      <c r="A18">
        <v>17</v>
      </c>
      <c r="B18">
        <f>'[3]精英怪-攻击'!$C$18</f>
        <v>3900</v>
      </c>
      <c r="C18">
        <f t="shared" si="0"/>
        <v>550</v>
      </c>
      <c r="D18">
        <f>'[3]精英怪-攻击'!$D$18</f>
        <v>1074</v>
      </c>
      <c r="E18">
        <f>'[3]精英怪-攻击'!$E$18</f>
        <v>546</v>
      </c>
      <c r="F18">
        <f>ROUND('[3]精英怪-攻击'!$F$18*1000,0)</f>
        <v>111</v>
      </c>
      <c r="G18">
        <f>ROUND('[3]精英怪-攻击'!$H$18*100,0)</f>
        <v>100</v>
      </c>
      <c r="H18">
        <f>'[3]精英怪-攻击'!$I$18</f>
        <v>207</v>
      </c>
      <c r="I18">
        <f>'[3]精英怪-攻击'!$J$18</f>
        <v>322</v>
      </c>
      <c r="J18">
        <f>'[3]精英怪-攻击'!$V$18</f>
        <v>0</v>
      </c>
      <c r="K18">
        <f>'[3]精英怪-攻击'!$Y$18</f>
        <v>0</v>
      </c>
      <c r="L18">
        <f>'[3]精英怪-攻击'!$Z$18</f>
        <v>0</v>
      </c>
    </row>
    <row r="19" spans="1:12" x14ac:dyDescent="0.15">
      <c r="A19">
        <v>18</v>
      </c>
      <c r="B19">
        <f>'[3]精英怪-攻击'!$C$19</f>
        <v>4550</v>
      </c>
      <c r="C19">
        <f t="shared" si="0"/>
        <v>650</v>
      </c>
      <c r="D19">
        <f>'[3]精英怪-攻击'!$D$19</f>
        <v>1268</v>
      </c>
      <c r="E19">
        <f>'[3]精英怪-攻击'!$E$19</f>
        <v>619</v>
      </c>
      <c r="F19">
        <f>ROUND('[3]精英怪-攻击'!$F$19*1000,0)</f>
        <v>125</v>
      </c>
      <c r="G19">
        <f>ROUND('[3]精英怪-攻击'!$H$19*100,0)</f>
        <v>100</v>
      </c>
      <c r="H19">
        <f>'[3]精英怪-攻击'!$I$19</f>
        <v>235</v>
      </c>
      <c r="I19">
        <f>'[3]精英怪-攻击'!$J$19</f>
        <v>380</v>
      </c>
      <c r="J19">
        <f>'[3]精英怪-攻击'!$V$19</f>
        <v>0</v>
      </c>
      <c r="K19">
        <f>'[3]精英怪-攻击'!$Y$19</f>
        <v>0</v>
      </c>
      <c r="L19">
        <f>'[3]精英怪-攻击'!$Z$19</f>
        <v>0</v>
      </c>
    </row>
    <row r="20" spans="1:12" x14ac:dyDescent="0.15">
      <c r="A20">
        <v>19</v>
      </c>
      <c r="B20">
        <f>'[3]精英怪-攻击'!$C$20</f>
        <v>5500</v>
      </c>
      <c r="C20">
        <f t="shared" si="0"/>
        <v>950</v>
      </c>
      <c r="D20">
        <f>'[3]精英怪-攻击'!$D$20</f>
        <v>1884</v>
      </c>
      <c r="E20">
        <f>'[3]精英怪-攻击'!$E$20</f>
        <v>700</v>
      </c>
      <c r="F20">
        <f>ROUND('[3]精英怪-攻击'!$F$20*1000,0)</f>
        <v>130</v>
      </c>
      <c r="G20">
        <f>ROUND('[3]精英怪-攻击'!$H$20*100,0)</f>
        <v>100</v>
      </c>
      <c r="H20">
        <f>'[3]精英怪-攻击'!$I$20</f>
        <v>266</v>
      </c>
      <c r="I20">
        <f>'[3]精英怪-攻击'!$J$20</f>
        <v>565</v>
      </c>
      <c r="J20">
        <f>'[3]精英怪-攻击'!$V$20</f>
        <v>0</v>
      </c>
      <c r="K20">
        <f>'[3]精英怪-攻击'!$Y$20</f>
        <v>0</v>
      </c>
      <c r="L20">
        <f>'[3]精英怪-攻击'!$Z$20</f>
        <v>0</v>
      </c>
    </row>
    <row r="21" spans="1:12" x14ac:dyDescent="0.15">
      <c r="A21">
        <v>20</v>
      </c>
      <c r="B21">
        <f>'[3]精英怪-攻击'!$C$21</f>
        <v>6600</v>
      </c>
      <c r="C21">
        <f t="shared" si="0"/>
        <v>1100</v>
      </c>
      <c r="D21">
        <f>'[3]精英怪-攻击'!$D$21</f>
        <v>2529</v>
      </c>
      <c r="E21">
        <f>'[3]精英怪-攻击'!$E$21</f>
        <v>830</v>
      </c>
      <c r="F21">
        <f>ROUND('[3]精英怪-攻击'!$F$21*1000,0)</f>
        <v>180</v>
      </c>
      <c r="G21">
        <f>ROUND('[3]精英怪-攻击'!$H$21*100,0)</f>
        <v>100</v>
      </c>
      <c r="H21">
        <f>'[3]精英怪-攻击'!$I$21</f>
        <v>300</v>
      </c>
      <c r="I21">
        <f>'[3]精英怪-攻击'!$J$21</f>
        <v>759</v>
      </c>
      <c r="J21">
        <f>'[3]精英怪-攻击'!$V$21</f>
        <v>0</v>
      </c>
      <c r="K21">
        <f>'[3]精英怪-攻击'!$Y$21</f>
        <v>0</v>
      </c>
      <c r="L21">
        <f>'[3]精英怪-攻击'!$Z$21</f>
        <v>0</v>
      </c>
    </row>
    <row r="22" spans="1:12" x14ac:dyDescent="0.15">
      <c r="A22">
        <v>21</v>
      </c>
      <c r="B22">
        <f>'[3]精英怪-攻击'!$C$22</f>
        <v>9450</v>
      </c>
      <c r="C22">
        <f t="shared" si="0"/>
        <v>2850</v>
      </c>
      <c r="D22">
        <f>'[3]精英怪-攻击'!$D$22</f>
        <v>3556</v>
      </c>
      <c r="E22">
        <f>'[3]精英怪-攻击'!$E$22</f>
        <v>1012</v>
      </c>
      <c r="F22">
        <f>ROUND('[3]精英怪-攻击'!$F$22*1000,0)</f>
        <v>180</v>
      </c>
      <c r="G22">
        <f>ROUND('[3]精英怪-攻击'!$H$22*100,0)</f>
        <v>100</v>
      </c>
      <c r="H22">
        <f>'[3]精英怪-攻击'!$I$22</f>
        <v>354</v>
      </c>
      <c r="I22">
        <f>'[3]精英怪-攻击'!$J$22</f>
        <v>1067</v>
      </c>
      <c r="J22">
        <f>'[3]精英怪-攻击'!$V$22</f>
        <v>0</v>
      </c>
      <c r="K22">
        <f>'[3]精英怪-攻击'!$Y$22</f>
        <v>0</v>
      </c>
      <c r="L22">
        <f>'[3]精英怪-攻击'!$Z$22</f>
        <v>0</v>
      </c>
    </row>
    <row r="23" spans="1:12" x14ac:dyDescent="0.15">
      <c r="A23">
        <v>22</v>
      </c>
      <c r="B23">
        <f>'[3]精英怪-攻击'!$C$23</f>
        <v>12800</v>
      </c>
      <c r="C23">
        <f t="shared" si="0"/>
        <v>3350</v>
      </c>
      <c r="D23">
        <f>'[3]精英怪-攻击'!$D$23</f>
        <v>5638</v>
      </c>
      <c r="E23">
        <f>'[3]精英怪-攻击'!$E$23</f>
        <v>1267</v>
      </c>
      <c r="F23">
        <f>ROUND('[3]精英怪-攻击'!$F$23*1000,0)</f>
        <v>180</v>
      </c>
      <c r="G23">
        <f>ROUND('[3]精英怪-攻击'!$H$23*100,0)</f>
        <v>100</v>
      </c>
      <c r="H23">
        <f>'[3]精英怪-攻击'!$I$23</f>
        <v>440</v>
      </c>
      <c r="I23">
        <f>'[3]精英怪-攻击'!$J$23</f>
        <v>1691</v>
      </c>
      <c r="J23">
        <f>'[3]精英怪-攻击'!$V$23</f>
        <v>0</v>
      </c>
      <c r="K23">
        <f>'[3]精英怪-攻击'!$Y$23</f>
        <v>0</v>
      </c>
      <c r="L23">
        <f>'[3]精英怪-攻击'!$Z$23</f>
        <v>0</v>
      </c>
    </row>
    <row r="24" spans="1:12" x14ac:dyDescent="0.15">
      <c r="A24">
        <v>23</v>
      </c>
      <c r="B24">
        <f>'[3]精英怪-攻击'!$C$24</f>
        <v>17400</v>
      </c>
      <c r="C24">
        <f t="shared" si="0"/>
        <v>4600</v>
      </c>
      <c r="D24">
        <f>'[3]精英怪-攻击'!$D$24</f>
        <v>7792</v>
      </c>
      <c r="E24">
        <f>'[3]精英怪-攻击'!$E$24</f>
        <v>1624</v>
      </c>
      <c r="F24">
        <f>ROUND('[3]精英怪-攻击'!$F$24*1000,0)</f>
        <v>200</v>
      </c>
      <c r="G24">
        <f>ROUND('[3]精英怪-攻击'!$H$24*100,0)</f>
        <v>100</v>
      </c>
      <c r="H24">
        <f>'[3]精英怪-攻击'!$I$24</f>
        <v>578</v>
      </c>
      <c r="I24">
        <f>'[3]精英怪-攻击'!$J$24</f>
        <v>2338</v>
      </c>
      <c r="J24">
        <f>'[3]精英怪-攻击'!$V$24</f>
        <v>0</v>
      </c>
      <c r="K24">
        <f>'[3]精英怪-攻击'!$Y$24</f>
        <v>0</v>
      </c>
      <c r="L24">
        <f>'[3]精英怪-攻击'!$Z$24</f>
        <v>0</v>
      </c>
    </row>
    <row r="25" spans="1:12" x14ac:dyDescent="0.15">
      <c r="A25">
        <v>24</v>
      </c>
      <c r="B25">
        <f>'[3]精英怪-攻击'!$C$25</f>
        <v>23250</v>
      </c>
      <c r="C25">
        <f t="shared" si="0"/>
        <v>5850</v>
      </c>
      <c r="D25">
        <f>'[3]精英怪-攻击'!$D$25</f>
        <v>10450</v>
      </c>
      <c r="E25">
        <f>'[3]精英怪-攻击'!$E$25</f>
        <v>2124</v>
      </c>
      <c r="F25">
        <f>ROUND('[3]精英怪-攻击'!$F$25*1000,0)</f>
        <v>200</v>
      </c>
      <c r="G25">
        <f>ROUND('[3]精英怪-攻击'!$H$25*100,0)</f>
        <v>100</v>
      </c>
      <c r="H25">
        <f>'[3]精英怪-攻击'!$I$25</f>
        <v>799</v>
      </c>
      <c r="I25">
        <f>'[3]精英怪-攻击'!$J$25</f>
        <v>3135</v>
      </c>
      <c r="J25">
        <f>'[3]精英怪-攻击'!$V$25</f>
        <v>0</v>
      </c>
      <c r="K25">
        <f>'[3]精英怪-攻击'!$Y$25</f>
        <v>0</v>
      </c>
      <c r="L25">
        <f>'[3]精英怪-攻击'!$Z$25</f>
        <v>0</v>
      </c>
    </row>
    <row r="26" spans="1:12" x14ac:dyDescent="0.15">
      <c r="A26">
        <v>25</v>
      </c>
      <c r="B26">
        <f>'[3]精英怪-攻击'!$C$26</f>
        <v>30750</v>
      </c>
      <c r="C26">
        <f t="shared" si="0"/>
        <v>7500</v>
      </c>
      <c r="D26">
        <f>'[3]精英怪-攻击'!$D$26</f>
        <v>13685</v>
      </c>
      <c r="E26">
        <f>'[3]精英怪-攻击'!$E$26</f>
        <v>2824</v>
      </c>
      <c r="F26">
        <f>ROUND('[3]精英怪-攻击'!$F$26*1000,0)</f>
        <v>200</v>
      </c>
      <c r="G26">
        <f>ROUND('[3]精英怪-攻击'!$H$26*100,0)</f>
        <v>100</v>
      </c>
      <c r="H26">
        <f>'[3]精英怪-攻击'!$I$26</f>
        <v>1153</v>
      </c>
      <c r="I26">
        <f>'[3]精英怪-攻击'!$J$26</f>
        <v>4106</v>
      </c>
      <c r="J26">
        <f>'[3]精英怪-攻击'!$V$26</f>
        <v>0</v>
      </c>
      <c r="K26">
        <f>'[3]精英怪-攻击'!$Y$26</f>
        <v>0</v>
      </c>
      <c r="L26">
        <f>'[3]精英怪-攻击'!$Z$26</f>
        <v>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'[3]精英怪-回复'!$C$2</f>
        <v>50</v>
      </c>
      <c r="C2">
        <f>B2-0</f>
        <v>50</v>
      </c>
      <c r="D2">
        <f>'[3]精英怪-回复'!$D$2</f>
        <v>29</v>
      </c>
      <c r="E2">
        <f>'[3]精英怪-回复'!$E$2</f>
        <v>7</v>
      </c>
      <c r="F2">
        <f>ROUND('[3]精英怪-回复'!$F$2 *1000,0)</f>
        <v>100</v>
      </c>
      <c r="G2">
        <f>ROUND('[3]精英怪-回复'!$H$2 *100,0)</f>
        <v>100</v>
      </c>
      <c r="H2">
        <f>'[3]精英怪-回复'!$I$2</f>
        <v>7</v>
      </c>
      <c r="I2">
        <f>'[3]精英怪-回复'!$J$2</f>
        <v>15</v>
      </c>
      <c r="J2">
        <f>'[3]精英怪-回复'!$V$2</f>
        <v>0</v>
      </c>
      <c r="K2">
        <f>'[3]精英怪-回复'!$Y$2</f>
        <v>0</v>
      </c>
      <c r="L2">
        <f>'[3]精英怪-回复'!$Z$2</f>
        <v>0</v>
      </c>
    </row>
    <row r="3" spans="1:12" x14ac:dyDescent="0.15">
      <c r="A3">
        <v>2</v>
      </c>
      <c r="B3">
        <f>'[3]精英怪-回复'!$C$3</f>
        <v>100</v>
      </c>
      <c r="C3">
        <f>B3-B2</f>
        <v>50</v>
      </c>
      <c r="D3">
        <f>'[3]精英怪-回复'!$D$3</f>
        <v>31</v>
      </c>
      <c r="E3">
        <f>'[3]精英怪-回复'!$E$3</f>
        <v>13</v>
      </c>
      <c r="F3">
        <f>ROUND('[3]精英怪-回复'!$F$3 *1000,0)</f>
        <v>100</v>
      </c>
      <c r="G3">
        <f>ROUND('[3]精英怪-回复'!$H$3 *100,0)</f>
        <v>100</v>
      </c>
      <c r="H3">
        <f>'[3]精英怪-回复'!$I$3</f>
        <v>11</v>
      </c>
      <c r="I3">
        <f>'[3]精英怪-回复'!$J$3</f>
        <v>16</v>
      </c>
      <c r="J3">
        <f>'[3]精英怪-回复'!$V$3</f>
        <v>0</v>
      </c>
      <c r="K3">
        <f>'[3]精英怪-回复'!$Y$3</f>
        <v>0</v>
      </c>
      <c r="L3">
        <f>'[3]精英怪-回复'!$Z$3</f>
        <v>0</v>
      </c>
    </row>
    <row r="4" spans="1:12" x14ac:dyDescent="0.15">
      <c r="A4">
        <v>3</v>
      </c>
      <c r="B4">
        <f>'[3]精英怪-回复'!$C$4</f>
        <v>150</v>
      </c>
      <c r="C4">
        <f t="shared" ref="C4:C26" si="0">B4-B3</f>
        <v>50</v>
      </c>
      <c r="D4">
        <f>'[3]精英怪-回复'!$D$4</f>
        <v>32</v>
      </c>
      <c r="E4">
        <f>'[3]精英怪-回复'!$E$4</f>
        <v>21</v>
      </c>
      <c r="F4">
        <f>ROUND('[3]精英怪-回复'!$F$4 *1000,0)</f>
        <v>100</v>
      </c>
      <c r="G4">
        <f>ROUND('[3]精英怪-回复'!$H$4 *100,0)</f>
        <v>100</v>
      </c>
      <c r="H4">
        <f>'[3]精英怪-回复'!$I$4</f>
        <v>15</v>
      </c>
      <c r="I4">
        <f>'[3]精英怪-回复'!$J$4</f>
        <v>16</v>
      </c>
      <c r="J4">
        <f>'[3]精英怪-回复'!$V$4</f>
        <v>0</v>
      </c>
      <c r="K4">
        <f>'[3]精英怪-回复'!$Y$4</f>
        <v>0</v>
      </c>
      <c r="L4">
        <f>'[3]精英怪-回复'!$Z$4</f>
        <v>0</v>
      </c>
    </row>
    <row r="5" spans="1:12" x14ac:dyDescent="0.15">
      <c r="A5">
        <v>4</v>
      </c>
      <c r="B5">
        <f>'[3]精英怪-回复'!$C$5</f>
        <v>250</v>
      </c>
      <c r="C5">
        <f t="shared" si="0"/>
        <v>100</v>
      </c>
      <c r="D5">
        <f>'[3]精英怪-回复'!$D$5</f>
        <v>44</v>
      </c>
      <c r="E5">
        <f>'[3]精英怪-回复'!$E$5</f>
        <v>32</v>
      </c>
      <c r="F5">
        <f>ROUND('[3]精英怪-回复'!$F$5 *1000,0)</f>
        <v>100</v>
      </c>
      <c r="G5">
        <f>ROUND('[3]精英怪-回复'!$H$5 *100,0)</f>
        <v>100</v>
      </c>
      <c r="H5">
        <f>'[3]精英怪-回复'!$I$5</f>
        <v>19</v>
      </c>
      <c r="I5">
        <f>'[3]精英怪-回复'!$J$5</f>
        <v>22</v>
      </c>
      <c r="J5">
        <f>'[3]精英怪-回复'!$V$5</f>
        <v>0</v>
      </c>
      <c r="K5">
        <f>'[3]精英怪-回复'!$Y$5</f>
        <v>0</v>
      </c>
      <c r="L5">
        <f>'[3]精英怪-回复'!$Z$5</f>
        <v>0</v>
      </c>
    </row>
    <row r="6" spans="1:12" x14ac:dyDescent="0.15">
      <c r="A6">
        <v>5</v>
      </c>
      <c r="B6">
        <f>'[3]精英怪-回复'!$C$6</f>
        <v>350</v>
      </c>
      <c r="C6">
        <f t="shared" si="0"/>
        <v>100</v>
      </c>
      <c r="D6">
        <f>'[3]精英怪-回复'!$D$6</f>
        <v>53</v>
      </c>
      <c r="E6">
        <f>'[3]精英怪-回复'!$E$6</f>
        <v>44</v>
      </c>
      <c r="F6">
        <f>ROUND('[3]精英怪-回复'!$F$6 *1000,0)</f>
        <v>100</v>
      </c>
      <c r="G6">
        <f>ROUND('[3]精英怪-回复'!$H$6 *100,0)</f>
        <v>100</v>
      </c>
      <c r="H6">
        <f>'[3]精英怪-回复'!$I$6</f>
        <v>24</v>
      </c>
      <c r="I6">
        <f>'[3]精英怪-回复'!$J$6</f>
        <v>27</v>
      </c>
      <c r="J6">
        <f>'[3]精英怪-回复'!$V$6</f>
        <v>0</v>
      </c>
      <c r="K6">
        <f>'[3]精英怪-回复'!$Y$6</f>
        <v>0</v>
      </c>
      <c r="L6">
        <f>'[3]精英怪-回复'!$Z$6</f>
        <v>0</v>
      </c>
    </row>
    <row r="7" spans="1:12" x14ac:dyDescent="0.15">
      <c r="A7">
        <v>6</v>
      </c>
      <c r="B7">
        <f>'[3]精英怪-回复'!$C$7</f>
        <v>500</v>
      </c>
      <c r="C7">
        <f t="shared" si="0"/>
        <v>150</v>
      </c>
      <c r="D7">
        <f>'[3]精英怪-回复'!$D$7</f>
        <v>75</v>
      </c>
      <c r="E7">
        <f>'[3]精英怪-回复'!$E$7</f>
        <v>57</v>
      </c>
      <c r="F7">
        <f>ROUND('[3]精英怪-回复'!$F$7 *1000,0)</f>
        <v>100</v>
      </c>
      <c r="G7">
        <f>ROUND('[3]精英怪-回复'!$H$7 *100,0)</f>
        <v>100</v>
      </c>
      <c r="H7">
        <f>'[3]精英怪-回复'!$I$7</f>
        <v>30</v>
      </c>
      <c r="I7">
        <f>'[3]精英怪-回复'!$J$7</f>
        <v>38</v>
      </c>
      <c r="J7">
        <f>'[3]精英怪-回复'!$V$7</f>
        <v>0</v>
      </c>
      <c r="K7">
        <f>'[3]精英怪-回复'!$Y$7</f>
        <v>0</v>
      </c>
      <c r="L7">
        <f>'[3]精英怪-回复'!$Z$7</f>
        <v>0</v>
      </c>
    </row>
    <row r="8" spans="1:12" x14ac:dyDescent="0.15">
      <c r="A8">
        <v>7</v>
      </c>
      <c r="B8">
        <f>'[3]精英怪-回复'!$C$8</f>
        <v>650</v>
      </c>
      <c r="C8">
        <f t="shared" si="0"/>
        <v>150</v>
      </c>
      <c r="D8">
        <f>'[3]精英怪-回复'!$D$8</f>
        <v>95</v>
      </c>
      <c r="E8">
        <f>'[3]精英怪-回复'!$E$8</f>
        <v>70</v>
      </c>
      <c r="F8">
        <f>ROUND('[3]精英怪-回复'!$F$8 *1000,0)</f>
        <v>101</v>
      </c>
      <c r="G8">
        <f>ROUND('[3]精英怪-回复'!$H$8 *100,0)</f>
        <v>100</v>
      </c>
      <c r="H8">
        <f>'[3]精英怪-回复'!$I$8</f>
        <v>37</v>
      </c>
      <c r="I8">
        <f>'[3]精英怪-回复'!$J$8</f>
        <v>48</v>
      </c>
      <c r="J8">
        <f>'[3]精英怪-回复'!$V$8</f>
        <v>0</v>
      </c>
      <c r="K8">
        <f>'[3]精英怪-回复'!$Y$8</f>
        <v>0</v>
      </c>
      <c r="L8">
        <f>'[3]精英怪-回复'!$Z$8</f>
        <v>0</v>
      </c>
    </row>
    <row r="9" spans="1:12" x14ac:dyDescent="0.15">
      <c r="A9">
        <v>8</v>
      </c>
      <c r="B9">
        <f>'[3]精英怪-回复'!$C$9</f>
        <v>850</v>
      </c>
      <c r="C9">
        <f t="shared" si="0"/>
        <v>200</v>
      </c>
      <c r="D9">
        <f>'[3]精英怪-回复'!$D$9</f>
        <v>162</v>
      </c>
      <c r="E9">
        <f>'[3]精英怪-回复'!$E$9</f>
        <v>90</v>
      </c>
      <c r="F9">
        <f>ROUND('[3]精英怪-回复'!$F$9 *1000,0)</f>
        <v>101</v>
      </c>
      <c r="G9">
        <f>ROUND('[3]精英怪-回复'!$H$9 *100,0)</f>
        <v>100</v>
      </c>
      <c r="H9">
        <f>'[3]精英怪-回复'!$I$9</f>
        <v>45</v>
      </c>
      <c r="I9">
        <f>'[3]精英怪-回复'!$J$9</f>
        <v>81</v>
      </c>
      <c r="J9">
        <f>'[3]精英怪-回复'!$V$9</f>
        <v>0</v>
      </c>
      <c r="K9">
        <f>'[3]精英怪-回复'!$Y$9</f>
        <v>0</v>
      </c>
      <c r="L9">
        <f>'[3]精英怪-回复'!$Z$9</f>
        <v>0</v>
      </c>
    </row>
    <row r="10" spans="1:12" x14ac:dyDescent="0.15">
      <c r="A10">
        <v>9</v>
      </c>
      <c r="B10">
        <f>'[3]精英怪-回复'!$C$10</f>
        <v>1050</v>
      </c>
      <c r="C10">
        <f t="shared" si="0"/>
        <v>200</v>
      </c>
      <c r="D10">
        <f>'[3]精英怪-回复'!$D$10</f>
        <v>182</v>
      </c>
      <c r="E10">
        <f>'[3]精英怪-回复'!$E$10</f>
        <v>120</v>
      </c>
      <c r="F10">
        <f>ROUND('[3]精英怪-回复'!$F$10*1000,0)</f>
        <v>101</v>
      </c>
      <c r="G10">
        <f>ROUND('[3]精英怪-回复'!$H$10*100,0)</f>
        <v>100</v>
      </c>
      <c r="H10">
        <f>'[3]精英怪-回复'!$I$10</f>
        <v>54</v>
      </c>
      <c r="I10">
        <f>'[3]精英怪-回复'!$J$10</f>
        <v>91</v>
      </c>
      <c r="J10">
        <f>'[3]精英怪-回复'!$V$10</f>
        <v>0</v>
      </c>
      <c r="K10">
        <f>'[3]精英怪-回复'!$Y$10</f>
        <v>0</v>
      </c>
      <c r="L10">
        <f>'[3]精英怪-回复'!$Z$10</f>
        <v>0</v>
      </c>
    </row>
    <row r="11" spans="1:12" x14ac:dyDescent="0.15">
      <c r="A11">
        <v>10</v>
      </c>
      <c r="B11">
        <f>'[3]精英怪-回复'!$C$11</f>
        <v>1250</v>
      </c>
      <c r="C11">
        <f t="shared" si="0"/>
        <v>200</v>
      </c>
      <c r="D11">
        <f>'[3]精英怪-回复'!$D$11</f>
        <v>192</v>
      </c>
      <c r="E11">
        <f>'[3]精英怪-回复'!$E$11</f>
        <v>157</v>
      </c>
      <c r="F11">
        <f>ROUND('[3]精英怪-回复'!$F$11*1000,0)</f>
        <v>101</v>
      </c>
      <c r="G11">
        <f>ROUND('[3]精英怪-回复'!$H$11*100,0)</f>
        <v>100</v>
      </c>
      <c r="H11">
        <f>'[3]精英怪-回复'!$I$11</f>
        <v>64</v>
      </c>
      <c r="I11">
        <f>'[3]精英怪-回复'!$J$11</f>
        <v>96</v>
      </c>
      <c r="J11">
        <f>'[3]精英怪-回复'!$V$11</f>
        <v>0</v>
      </c>
      <c r="K11">
        <f>'[3]精英怪-回复'!$Y$11</f>
        <v>0</v>
      </c>
      <c r="L11">
        <f>'[3]精英怪-回复'!$Z$11</f>
        <v>0</v>
      </c>
    </row>
    <row r="12" spans="1:12" x14ac:dyDescent="0.15">
      <c r="A12">
        <v>11</v>
      </c>
      <c r="B12">
        <f>'[3]精英怪-回复'!$C$12</f>
        <v>1500</v>
      </c>
      <c r="C12">
        <f t="shared" si="0"/>
        <v>250</v>
      </c>
      <c r="D12">
        <f>'[3]精英怪-回复'!$D$12</f>
        <v>300</v>
      </c>
      <c r="E12">
        <f>'[3]精英怪-回复'!$E$12</f>
        <v>184</v>
      </c>
      <c r="F12">
        <f>ROUND('[3]精英怪-回复'!$F$12*1000,0)</f>
        <v>101</v>
      </c>
      <c r="G12">
        <f>ROUND('[3]精英怪-回复'!$H$12*100,0)</f>
        <v>100</v>
      </c>
      <c r="H12">
        <f>'[3]精英怪-回复'!$I$12</f>
        <v>75</v>
      </c>
      <c r="I12">
        <f>'[3]精英怪-回复'!$J$12</f>
        <v>150</v>
      </c>
      <c r="J12">
        <f>'[3]精英怪-回复'!$V$12</f>
        <v>0</v>
      </c>
      <c r="K12">
        <f>'[3]精英怪-回复'!$Y$12</f>
        <v>0</v>
      </c>
      <c r="L12">
        <f>'[3]精英怪-回复'!$Z$12</f>
        <v>0</v>
      </c>
    </row>
    <row r="13" spans="1:12" x14ac:dyDescent="0.15">
      <c r="A13">
        <v>12</v>
      </c>
      <c r="B13">
        <f>'[3]精英怪-回复'!$C$13</f>
        <v>1750</v>
      </c>
      <c r="C13">
        <f t="shared" si="0"/>
        <v>250</v>
      </c>
      <c r="D13">
        <f>'[3]精英怪-回复'!$D$13</f>
        <v>345</v>
      </c>
      <c r="E13">
        <f>'[3]精英怪-回复'!$E$13</f>
        <v>213</v>
      </c>
      <c r="F13">
        <f>ROUND('[3]精英怪-回复'!$F$13*1000,0)</f>
        <v>102</v>
      </c>
      <c r="G13">
        <f>ROUND('[3]精英怪-回复'!$H$13*100,0)</f>
        <v>100</v>
      </c>
      <c r="H13">
        <f>'[3]精英怪-回复'!$I$13</f>
        <v>87</v>
      </c>
      <c r="I13">
        <f>'[3]精英怪-回复'!$J$13</f>
        <v>173</v>
      </c>
      <c r="J13">
        <f>'[3]精英怪-回复'!$V$13</f>
        <v>0</v>
      </c>
      <c r="K13">
        <f>'[3]精英怪-回复'!$Y$13</f>
        <v>0</v>
      </c>
      <c r="L13">
        <f>'[3]精英怪-回复'!$Z$13</f>
        <v>0</v>
      </c>
    </row>
    <row r="14" spans="1:12" x14ac:dyDescent="0.15">
      <c r="A14">
        <v>13</v>
      </c>
      <c r="B14">
        <f>'[3]精英怪-回复'!$C$14</f>
        <v>2050</v>
      </c>
      <c r="C14">
        <f t="shared" si="0"/>
        <v>300</v>
      </c>
      <c r="D14">
        <f>'[3]精英怪-回复'!$D$14</f>
        <v>403</v>
      </c>
      <c r="E14">
        <f>'[3]精英怪-回复'!$E$14</f>
        <v>247</v>
      </c>
      <c r="F14">
        <f>ROUND('[3]精英怪-回复'!$F$14*1000,0)</f>
        <v>102</v>
      </c>
      <c r="G14">
        <f>ROUND('[3]精英怪-回复'!$H$14*100,0)</f>
        <v>100</v>
      </c>
      <c r="H14">
        <f>'[3]精英怪-回复'!$I$14</f>
        <v>100</v>
      </c>
      <c r="I14">
        <f>'[3]精英怪-回复'!$J$14</f>
        <v>202</v>
      </c>
      <c r="J14">
        <f>'[3]精英怪-回复'!$V$14</f>
        <v>0</v>
      </c>
      <c r="K14">
        <f>'[3]精英怪-回复'!$Y$14</f>
        <v>0</v>
      </c>
      <c r="L14">
        <f>'[3]精英怪-回复'!$Z$14</f>
        <v>0</v>
      </c>
    </row>
    <row r="15" spans="1:12" x14ac:dyDescent="0.15">
      <c r="A15">
        <v>14</v>
      </c>
      <c r="B15">
        <f>'[3]精英怪-回复'!$C$15</f>
        <v>2400</v>
      </c>
      <c r="C15">
        <f t="shared" si="0"/>
        <v>350</v>
      </c>
      <c r="D15">
        <f>'[3]精英怪-回复'!$D$15</f>
        <v>582</v>
      </c>
      <c r="E15">
        <f>'[3]精英怪-回复'!$E$15</f>
        <v>283</v>
      </c>
      <c r="F15">
        <f>ROUND('[3]精英怪-回复'!$F$15*1000,0)</f>
        <v>102</v>
      </c>
      <c r="G15">
        <f>ROUND('[3]精英怪-回复'!$H$15*100,0)</f>
        <v>100</v>
      </c>
      <c r="H15">
        <f>'[3]精英怪-回复'!$I$15</f>
        <v>115</v>
      </c>
      <c r="I15">
        <f>'[3]精英怪-回复'!$J$15</f>
        <v>291</v>
      </c>
      <c r="J15">
        <f>'[3]精英怪-回复'!$V$15</f>
        <v>0</v>
      </c>
      <c r="K15">
        <f>'[3]精英怪-回复'!$Y$15</f>
        <v>0</v>
      </c>
      <c r="L15">
        <f>'[3]精英怪-回复'!$Z$15</f>
        <v>0</v>
      </c>
    </row>
    <row r="16" spans="1:12" x14ac:dyDescent="0.15">
      <c r="A16">
        <v>15</v>
      </c>
      <c r="B16">
        <f>'[3]精英怪-回复'!$C$16</f>
        <v>2850</v>
      </c>
      <c r="C16">
        <f t="shared" si="0"/>
        <v>450</v>
      </c>
      <c r="D16">
        <f>'[3]精英怪-回复'!$D$16</f>
        <v>704</v>
      </c>
      <c r="E16">
        <f>'[3]精英怪-回复'!$E$16</f>
        <v>324</v>
      </c>
      <c r="F16">
        <f>ROUND('[3]精英怪-回复'!$F$16*1000,0)</f>
        <v>103</v>
      </c>
      <c r="G16">
        <f>ROUND('[3]精英怪-回复'!$H$16*100,0)</f>
        <v>100</v>
      </c>
      <c r="H16">
        <f>'[3]精英怪-回复'!$I$16</f>
        <v>132</v>
      </c>
      <c r="I16">
        <f>'[3]精英怪-回复'!$J$16</f>
        <v>352</v>
      </c>
      <c r="J16">
        <f>'[3]精英怪-回复'!$V$16</f>
        <v>0</v>
      </c>
      <c r="K16">
        <f>'[3]精英怪-回复'!$Y$16</f>
        <v>0</v>
      </c>
      <c r="L16">
        <f>'[3]精英怪-回复'!$Z$16</f>
        <v>0</v>
      </c>
    </row>
    <row r="17" spans="1:12" x14ac:dyDescent="0.15">
      <c r="A17">
        <v>16</v>
      </c>
      <c r="B17">
        <f>'[3]精英怪-回复'!$C$17</f>
        <v>3350</v>
      </c>
      <c r="C17">
        <f t="shared" si="0"/>
        <v>500</v>
      </c>
      <c r="D17">
        <f>'[3]精英怪-回复'!$D$17</f>
        <v>986</v>
      </c>
      <c r="E17">
        <f>'[3]精英怪-回复'!$E$17</f>
        <v>369</v>
      </c>
      <c r="F17">
        <f>ROUND('[3]精英怪-回复'!$F$17*1000,0)</f>
        <v>103</v>
      </c>
      <c r="G17">
        <f>ROUND('[3]精英怪-回复'!$H$17*100,0)</f>
        <v>100</v>
      </c>
      <c r="H17">
        <f>'[3]精英怪-回复'!$I$17</f>
        <v>151</v>
      </c>
      <c r="I17">
        <f>'[3]精英怪-回复'!$J$17</f>
        <v>493</v>
      </c>
      <c r="J17">
        <f>'[3]精英怪-回复'!$V$17</f>
        <v>0</v>
      </c>
      <c r="K17">
        <f>'[3]精英怪-回复'!$Y$17</f>
        <v>0</v>
      </c>
      <c r="L17">
        <f>'[3]精英怪-回复'!$Z$17</f>
        <v>0</v>
      </c>
    </row>
    <row r="18" spans="1:12" x14ac:dyDescent="0.15">
      <c r="A18">
        <v>17</v>
      </c>
      <c r="B18">
        <f>'[3]精英怪-回复'!$C$18</f>
        <v>3900</v>
      </c>
      <c r="C18">
        <f t="shared" si="0"/>
        <v>550</v>
      </c>
      <c r="D18">
        <f>'[3]精英怪-回复'!$D$18</f>
        <v>1160</v>
      </c>
      <c r="E18">
        <f>'[3]精英怪-回复'!$E$18</f>
        <v>418</v>
      </c>
      <c r="F18">
        <f>ROUND('[3]精英怪-回复'!$F$18*1000,0)</f>
        <v>104</v>
      </c>
      <c r="G18">
        <f>ROUND('[3]精英怪-回复'!$H$18*100,0)</f>
        <v>100</v>
      </c>
      <c r="H18">
        <f>'[3]精英怪-回复'!$I$18</f>
        <v>172</v>
      </c>
      <c r="I18">
        <f>'[3]精英怪-回复'!$J$18</f>
        <v>580</v>
      </c>
      <c r="J18">
        <f>'[3]精英怪-回复'!$V$18</f>
        <v>0</v>
      </c>
      <c r="K18">
        <f>'[3]精英怪-回复'!$Y$18</f>
        <v>0</v>
      </c>
      <c r="L18">
        <f>'[3]精英怪-回复'!$Z$18</f>
        <v>0</v>
      </c>
    </row>
    <row r="19" spans="1:12" x14ac:dyDescent="0.15">
      <c r="A19">
        <v>18</v>
      </c>
      <c r="B19">
        <f>'[3]精英怪-回复'!$C$19</f>
        <v>4550</v>
      </c>
      <c r="C19">
        <f t="shared" si="0"/>
        <v>650</v>
      </c>
      <c r="D19">
        <f>'[3]精英怪-回复'!$D$19</f>
        <v>1371</v>
      </c>
      <c r="E19">
        <f>'[3]精英怪-回复'!$E$19</f>
        <v>473</v>
      </c>
      <c r="F19">
        <f>ROUND('[3]精英怪-回复'!$F$19*1000,0)</f>
        <v>105</v>
      </c>
      <c r="G19">
        <f>ROUND('[3]精英怪-回复'!$H$19*100,0)</f>
        <v>100</v>
      </c>
      <c r="H19">
        <f>'[3]精英怪-回复'!$I$19</f>
        <v>195</v>
      </c>
      <c r="I19">
        <f>'[3]精英怪-回复'!$J$19</f>
        <v>686</v>
      </c>
      <c r="J19">
        <f>'[3]精英怪-回复'!$V$19</f>
        <v>0</v>
      </c>
      <c r="K19">
        <f>'[3]精英怪-回复'!$Y$19</f>
        <v>0</v>
      </c>
      <c r="L19">
        <f>'[3]精英怪-回复'!$Z$19</f>
        <v>0</v>
      </c>
    </row>
    <row r="20" spans="1:12" x14ac:dyDescent="0.15">
      <c r="A20">
        <v>19</v>
      </c>
      <c r="B20">
        <f>'[3]精英怪-回复'!$C$20</f>
        <v>5500</v>
      </c>
      <c r="C20">
        <f t="shared" si="0"/>
        <v>950</v>
      </c>
      <c r="D20">
        <f>'[3]精英怪-回复'!$D$20</f>
        <v>1950</v>
      </c>
      <c r="E20">
        <f>'[3]精英怪-回复'!$E$20</f>
        <v>535</v>
      </c>
      <c r="F20">
        <f>ROUND('[3]精英怪-回复'!$F$20*1000,0)</f>
        <v>105</v>
      </c>
      <c r="G20">
        <f>ROUND('[3]精英怪-回复'!$H$20*100,0)</f>
        <v>100</v>
      </c>
      <c r="H20">
        <f>'[3]精英怪-回复'!$I$20</f>
        <v>221</v>
      </c>
      <c r="I20">
        <f>'[3]精英怪-回复'!$J$20</f>
        <v>975</v>
      </c>
      <c r="J20">
        <f>'[3]精英怪-回复'!$V$20</f>
        <v>0</v>
      </c>
      <c r="K20">
        <f>'[3]精英怪-回复'!$Y$20</f>
        <v>0</v>
      </c>
      <c r="L20">
        <f>'[3]精英怪-回复'!$Z$20</f>
        <v>0</v>
      </c>
    </row>
    <row r="21" spans="1:12" x14ac:dyDescent="0.15">
      <c r="A21">
        <v>20</v>
      </c>
      <c r="B21">
        <f>'[3]精英怪-回复'!$C$21</f>
        <v>6600</v>
      </c>
      <c r="C21">
        <f t="shared" si="0"/>
        <v>1100</v>
      </c>
      <c r="D21">
        <f>'[3]精英怪-回复'!$D$21</f>
        <v>2557</v>
      </c>
      <c r="E21">
        <f>'[3]精英怪-回复'!$E$21</f>
        <v>680</v>
      </c>
      <c r="F21">
        <f>ROUND('[3]精英怪-回复'!$F$21*1000,0)</f>
        <v>107</v>
      </c>
      <c r="G21">
        <f>ROUND('[3]精英怪-回复'!$H$21*100,0)</f>
        <v>100</v>
      </c>
      <c r="H21">
        <f>'[3]精英怪-回复'!$I$21</f>
        <v>250</v>
      </c>
      <c r="I21">
        <f>'[3]精英怪-回复'!$J$21</f>
        <v>1279</v>
      </c>
      <c r="J21">
        <f>'[3]精英怪-回复'!$V$21</f>
        <v>0</v>
      </c>
      <c r="K21">
        <f>'[3]精英怪-回复'!$Y$21</f>
        <v>0</v>
      </c>
      <c r="L21">
        <f>'[3]精英怪-回复'!$Z$21</f>
        <v>0</v>
      </c>
    </row>
    <row r="22" spans="1:12" x14ac:dyDescent="0.15">
      <c r="A22">
        <v>21</v>
      </c>
      <c r="B22">
        <f>'[3]精英怪-回复'!$C$22</f>
        <v>9450</v>
      </c>
      <c r="C22">
        <f t="shared" si="0"/>
        <v>2850</v>
      </c>
      <c r="D22">
        <f>'[3]精英怪-回复'!$D$22</f>
        <v>3613</v>
      </c>
      <c r="E22">
        <f>'[3]精英怪-回复'!$E$22</f>
        <v>764</v>
      </c>
      <c r="F22">
        <f>ROUND('[3]精英怪-回复'!$F$22*1000,0)</f>
        <v>109</v>
      </c>
      <c r="G22">
        <f>ROUND('[3]精英怪-回复'!$H$22*100,0)</f>
        <v>100</v>
      </c>
      <c r="H22">
        <f>'[3]精英怪-回复'!$I$22</f>
        <v>296</v>
      </c>
      <c r="I22">
        <f>'[3]精英怪-回复'!$J$22</f>
        <v>1807</v>
      </c>
      <c r="J22">
        <f>'[3]精英怪-回复'!$V$22</f>
        <v>0</v>
      </c>
      <c r="K22">
        <f>'[3]精英怪-回复'!$Y$22</f>
        <v>0</v>
      </c>
      <c r="L22">
        <f>'[3]精英怪-回复'!$Z$22</f>
        <v>0</v>
      </c>
    </row>
    <row r="23" spans="1:12" x14ac:dyDescent="0.15">
      <c r="A23">
        <v>22</v>
      </c>
      <c r="B23">
        <f>'[3]精英怪-回复'!$C$23</f>
        <v>12800</v>
      </c>
      <c r="C23">
        <f t="shared" si="0"/>
        <v>3350</v>
      </c>
      <c r="D23">
        <f>'[3]精英怪-回复'!$D$23</f>
        <v>5465</v>
      </c>
      <c r="E23">
        <f>'[3]精英怪-回复'!$E$23</f>
        <v>1032</v>
      </c>
      <c r="F23">
        <f>ROUND('[3]精英怪-回复'!$F$23*1000,0)</f>
        <v>113</v>
      </c>
      <c r="G23">
        <f>ROUND('[3]精英怪-回复'!$H$23*100,0)</f>
        <v>100</v>
      </c>
      <c r="H23">
        <f>'[3]精英怪-回复'!$I$23</f>
        <v>370</v>
      </c>
      <c r="I23">
        <f>'[3]精英怪-回复'!$J$23</f>
        <v>2733</v>
      </c>
      <c r="J23">
        <f>'[3]精英怪-回复'!$V$23</f>
        <v>0</v>
      </c>
      <c r="K23">
        <f>'[3]精英怪-回复'!$Y$23</f>
        <v>0</v>
      </c>
      <c r="L23">
        <f>'[3]精英怪-回复'!$Z$23</f>
        <v>0</v>
      </c>
    </row>
    <row r="24" spans="1:12" x14ac:dyDescent="0.15">
      <c r="A24">
        <v>23</v>
      </c>
      <c r="B24">
        <f>'[3]精英怪-回复'!$C$24</f>
        <v>17400</v>
      </c>
      <c r="C24">
        <f t="shared" si="0"/>
        <v>4600</v>
      </c>
      <c r="D24">
        <f>'[3]精英怪-回复'!$D$24</f>
        <v>7434</v>
      </c>
      <c r="E24">
        <f>'[3]精英怪-回复'!$E$24</f>
        <v>1400</v>
      </c>
      <c r="F24">
        <f>ROUND('[3]精英怪-回复'!$F$24*1000,0)</f>
        <v>117</v>
      </c>
      <c r="G24">
        <f>ROUND('[3]精英怪-回复'!$H$24*100,0)</f>
        <v>100</v>
      </c>
      <c r="H24">
        <f>'[3]精英怪-回复'!$I$24</f>
        <v>488</v>
      </c>
      <c r="I24">
        <f>'[3]精英怪-回复'!$J$24</f>
        <v>3717</v>
      </c>
      <c r="J24">
        <f>'[3]精英怪-回复'!$V$24</f>
        <v>0</v>
      </c>
      <c r="K24">
        <f>'[3]精英怪-回复'!$Y$24</f>
        <v>0</v>
      </c>
      <c r="L24">
        <f>'[3]精英怪-回复'!$Z$24</f>
        <v>0</v>
      </c>
    </row>
    <row r="25" spans="1:12" x14ac:dyDescent="0.15">
      <c r="A25">
        <v>24</v>
      </c>
      <c r="B25">
        <f>'[3]精英怪-回复'!$C$25</f>
        <v>23250</v>
      </c>
      <c r="C25">
        <f t="shared" si="0"/>
        <v>5850</v>
      </c>
      <c r="D25">
        <f>'[3]精英怪-回复'!$D$25</f>
        <v>9896</v>
      </c>
      <c r="E25">
        <f>'[3]精英怪-回复'!$E$25</f>
        <v>1868</v>
      </c>
      <c r="F25">
        <f>ROUND('[3]精英怪-回复'!$F$25*1000,0)</f>
        <v>123</v>
      </c>
      <c r="G25">
        <f>ROUND('[3]精英怪-回复'!$H$25*100,0)</f>
        <v>100</v>
      </c>
      <c r="H25">
        <f>'[3]精英怪-回复'!$I$25</f>
        <v>677</v>
      </c>
      <c r="I25">
        <f>'[3]精英怪-回复'!$J$25</f>
        <v>4948</v>
      </c>
      <c r="J25">
        <f>'[3]精英怪-回复'!$V$25</f>
        <v>0</v>
      </c>
      <c r="K25">
        <f>'[3]精英怪-回复'!$Y$25</f>
        <v>0</v>
      </c>
      <c r="L25">
        <f>'[3]精英怪-回复'!$Z$25</f>
        <v>0</v>
      </c>
    </row>
    <row r="26" spans="1:12" x14ac:dyDescent="0.15">
      <c r="A26">
        <v>25</v>
      </c>
      <c r="B26">
        <f>'[3]精英怪-回复'!$C$26</f>
        <v>30750</v>
      </c>
      <c r="C26">
        <f t="shared" si="0"/>
        <v>7500</v>
      </c>
      <c r="D26">
        <f>'[3]精英怪-回复'!$D$26</f>
        <v>12986</v>
      </c>
      <c r="E26">
        <f>'[3]精英怪-回复'!$E$26</f>
        <v>2468</v>
      </c>
      <c r="F26">
        <f>ROUND('[3]精英怪-回复'!$F$26*1000,0)</f>
        <v>131</v>
      </c>
      <c r="G26">
        <f>ROUND('[3]精英怪-回复'!$H$26*100,0)</f>
        <v>100</v>
      </c>
      <c r="H26">
        <f>'[3]精英怪-回复'!$I$26</f>
        <v>979</v>
      </c>
      <c r="I26">
        <f>'[3]精英怪-回复'!$J$26</f>
        <v>6493</v>
      </c>
      <c r="J26">
        <f>'[3]精英怪-回复'!$V$26</f>
        <v>0</v>
      </c>
      <c r="K26">
        <f>'[3]精英怪-回复'!$Y$26</f>
        <v>0</v>
      </c>
      <c r="L26">
        <f>'[3]精英怪-回复'!$Z$26</f>
        <v>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'[3]精英怪-敏捷'!$C$2</f>
        <v>50</v>
      </c>
      <c r="C2">
        <f>B2-0</f>
        <v>50</v>
      </c>
      <c r="D2">
        <f>'[3]精英怪-敏捷'!$D$2</f>
        <v>29</v>
      </c>
      <c r="E2">
        <f>'[3]精英怪-敏捷'!$E$2</f>
        <v>10</v>
      </c>
      <c r="F2">
        <f>ROUND('[3]精英怪-敏捷'!$F$2 *1000,0)</f>
        <v>0</v>
      </c>
      <c r="G2">
        <f>ROUND('[3]精英怪-敏捷'!$H$2 *100,0)</f>
        <v>100</v>
      </c>
      <c r="H2">
        <f>'[3]精英怪-敏捷'!$I$2</f>
        <v>7</v>
      </c>
      <c r="I2">
        <f>'[3]精英怪-敏捷'!$J$2</f>
        <v>9</v>
      </c>
      <c r="J2">
        <f>'[3]精英怪-敏捷'!$V$2</f>
        <v>0</v>
      </c>
      <c r="K2">
        <f>'[3]精英怪-敏捷'!$Y$2</f>
        <v>0</v>
      </c>
      <c r="L2">
        <f>'[3]精英怪-敏捷'!$Z$2</f>
        <v>0</v>
      </c>
    </row>
    <row r="3" spans="1:12" x14ac:dyDescent="0.15">
      <c r="A3">
        <v>2</v>
      </c>
      <c r="B3">
        <f>'[3]精英怪-敏捷'!$C$3</f>
        <v>100</v>
      </c>
      <c r="C3">
        <f>B3-B2</f>
        <v>50</v>
      </c>
      <c r="D3">
        <f>'[3]精英怪-敏捷'!$D$3</f>
        <v>30</v>
      </c>
      <c r="E3">
        <f>'[3]精英怪-敏捷'!$E$3</f>
        <v>19</v>
      </c>
      <c r="F3">
        <f>ROUND('[3]精英怪-敏捷'!$F$3 *1000,0)</f>
        <v>0</v>
      </c>
      <c r="G3">
        <f>ROUND('[3]精英怪-敏捷'!$H$3 *100,0)</f>
        <v>100</v>
      </c>
      <c r="H3">
        <f>'[3]精英怪-敏捷'!$I$3</f>
        <v>11</v>
      </c>
      <c r="I3">
        <f>'[3]精英怪-敏捷'!$J$3</f>
        <v>9</v>
      </c>
      <c r="J3">
        <f>'[3]精英怪-敏捷'!$V$3</f>
        <v>0</v>
      </c>
      <c r="K3">
        <f>'[3]精英怪-敏捷'!$Y$3</f>
        <v>0</v>
      </c>
      <c r="L3">
        <f>'[3]精英怪-敏捷'!$Z$3</f>
        <v>0</v>
      </c>
    </row>
    <row r="4" spans="1:12" x14ac:dyDescent="0.15">
      <c r="A4">
        <v>3</v>
      </c>
      <c r="B4">
        <f>'[3]精英怪-敏捷'!$C$4</f>
        <v>150</v>
      </c>
      <c r="C4">
        <f t="shared" ref="C4:C26" si="0">B4-B3</f>
        <v>50</v>
      </c>
      <c r="D4">
        <f>'[3]精英怪-敏捷'!$D$4</f>
        <v>32</v>
      </c>
      <c r="E4">
        <f>'[3]精英怪-敏捷'!$E$4</f>
        <v>27</v>
      </c>
      <c r="F4">
        <f>ROUND('[3]精英怪-敏捷'!$F$4 *1000,0)</f>
        <v>3</v>
      </c>
      <c r="G4">
        <f>ROUND('[3]精英怪-敏捷'!$H$4 *100,0)</f>
        <v>100</v>
      </c>
      <c r="H4">
        <f>'[3]精英怪-敏捷'!$I$4</f>
        <v>14</v>
      </c>
      <c r="I4">
        <f>'[3]精英怪-敏捷'!$J$4</f>
        <v>10</v>
      </c>
      <c r="J4">
        <f>'[3]精英怪-敏捷'!$V$4</f>
        <v>0</v>
      </c>
      <c r="K4">
        <f>'[3]精英怪-敏捷'!$Y$4</f>
        <v>0</v>
      </c>
      <c r="L4">
        <f>'[3]精英怪-敏捷'!$Z$4</f>
        <v>0</v>
      </c>
    </row>
    <row r="5" spans="1:12" x14ac:dyDescent="0.15">
      <c r="A5">
        <v>4</v>
      </c>
      <c r="B5">
        <f>'[3]精英怪-敏捷'!$C$5</f>
        <v>250</v>
      </c>
      <c r="C5">
        <f t="shared" si="0"/>
        <v>100</v>
      </c>
      <c r="D5">
        <f>'[3]精英怪-敏捷'!$D$5</f>
        <v>40</v>
      </c>
      <c r="E5">
        <f>'[3]精英怪-敏捷'!$E$5</f>
        <v>42</v>
      </c>
      <c r="F5">
        <f>ROUND('[3]精英怪-敏捷'!$F$5 *1000,0)</f>
        <v>3</v>
      </c>
      <c r="G5">
        <f>ROUND('[3]精英怪-敏捷'!$H$5 *100,0)</f>
        <v>100</v>
      </c>
      <c r="H5">
        <f>'[3]精英怪-敏捷'!$I$5</f>
        <v>19</v>
      </c>
      <c r="I5">
        <f>'[3]精英怪-敏捷'!$J$5</f>
        <v>12</v>
      </c>
      <c r="J5">
        <f>'[3]精英怪-敏捷'!$V$5</f>
        <v>0</v>
      </c>
      <c r="K5">
        <f>'[3]精英怪-敏捷'!$Y$5</f>
        <v>0</v>
      </c>
      <c r="L5">
        <f>'[3]精英怪-敏捷'!$Z$5</f>
        <v>0</v>
      </c>
    </row>
    <row r="6" spans="1:12" x14ac:dyDescent="0.15">
      <c r="A6">
        <v>5</v>
      </c>
      <c r="B6">
        <f>'[3]精英怪-敏捷'!$C$6</f>
        <v>350</v>
      </c>
      <c r="C6">
        <f t="shared" si="0"/>
        <v>100</v>
      </c>
      <c r="D6">
        <f>'[3]精英怪-敏捷'!$D$6</f>
        <v>45</v>
      </c>
      <c r="E6">
        <f>'[3]精英怪-敏捷'!$E$6</f>
        <v>54</v>
      </c>
      <c r="F6">
        <f>ROUND('[3]精英怪-敏捷'!$F$6 *1000,0)</f>
        <v>5</v>
      </c>
      <c r="G6">
        <f>ROUND('[3]精英怪-敏捷'!$H$6 *100,0)</f>
        <v>120</v>
      </c>
      <c r="H6">
        <f>'[3]精英怪-敏捷'!$I$6</f>
        <v>24</v>
      </c>
      <c r="I6">
        <f>'[3]精英怪-敏捷'!$J$6</f>
        <v>14</v>
      </c>
      <c r="J6">
        <f>'[3]精英怪-敏捷'!$V$6</f>
        <v>0</v>
      </c>
      <c r="K6">
        <f>'[3]精英怪-敏捷'!$Y$6</f>
        <v>0</v>
      </c>
      <c r="L6">
        <f>'[3]精英怪-敏捷'!$Z$6</f>
        <v>0</v>
      </c>
    </row>
    <row r="7" spans="1:12" x14ac:dyDescent="0.15">
      <c r="A7">
        <v>6</v>
      </c>
      <c r="B7">
        <f>'[3]精英怪-敏捷'!$C$7</f>
        <v>500</v>
      </c>
      <c r="C7">
        <f t="shared" si="0"/>
        <v>150</v>
      </c>
      <c r="D7">
        <f>'[3]精英怪-敏捷'!$D$7</f>
        <v>65</v>
      </c>
      <c r="E7">
        <f>'[3]精英怪-敏捷'!$E$7</f>
        <v>70</v>
      </c>
      <c r="F7">
        <f>ROUND('[3]精英怪-敏捷'!$F$7 *1000,0)</f>
        <v>10</v>
      </c>
      <c r="G7">
        <f>ROUND('[3]精英怪-敏捷'!$H$7 *100,0)</f>
        <v>120</v>
      </c>
      <c r="H7">
        <f>'[3]精英怪-敏捷'!$I$7</f>
        <v>30</v>
      </c>
      <c r="I7">
        <f>'[3]精英怪-敏捷'!$J$7</f>
        <v>20</v>
      </c>
      <c r="J7">
        <f>'[3]精英怪-敏捷'!$V$7</f>
        <v>0</v>
      </c>
      <c r="K7">
        <f>'[3]精英怪-敏捷'!$Y$7</f>
        <v>0</v>
      </c>
      <c r="L7">
        <f>'[3]精英怪-敏捷'!$Z$7</f>
        <v>0</v>
      </c>
    </row>
    <row r="8" spans="1:12" x14ac:dyDescent="0.15">
      <c r="A8">
        <v>7</v>
      </c>
      <c r="B8">
        <f>'[3]精英怪-敏捷'!$C$8</f>
        <v>650</v>
      </c>
      <c r="C8">
        <f t="shared" si="0"/>
        <v>150</v>
      </c>
      <c r="D8">
        <f>'[3]精英怪-敏捷'!$D$8</f>
        <v>77</v>
      </c>
      <c r="E8">
        <f>'[3]精英怪-敏捷'!$E$8</f>
        <v>90</v>
      </c>
      <c r="F8">
        <f>ROUND('[3]精英怪-敏捷'!$F$8 *1000,0)</f>
        <v>15</v>
      </c>
      <c r="G8">
        <f>ROUND('[3]精英怪-敏捷'!$H$8 *100,0)</f>
        <v>120</v>
      </c>
      <c r="H8">
        <f>'[3]精英怪-敏捷'!$I$8</f>
        <v>37</v>
      </c>
      <c r="I8">
        <f>'[3]精英怪-敏捷'!$J$8</f>
        <v>23</v>
      </c>
      <c r="J8">
        <f>'[3]精英怪-敏捷'!$V$8</f>
        <v>0</v>
      </c>
      <c r="K8">
        <f>'[3]精英怪-敏捷'!$Y$8</f>
        <v>0</v>
      </c>
      <c r="L8">
        <f>'[3]精英怪-敏捷'!$Z$8</f>
        <v>0</v>
      </c>
    </row>
    <row r="9" spans="1:12" x14ac:dyDescent="0.15">
      <c r="A9">
        <v>8</v>
      </c>
      <c r="B9">
        <f>'[3]精英怪-敏捷'!$C$9</f>
        <v>850</v>
      </c>
      <c r="C9">
        <f t="shared" si="0"/>
        <v>200</v>
      </c>
      <c r="D9">
        <f>'[3]精英怪-敏捷'!$D$9</f>
        <v>143</v>
      </c>
      <c r="E9">
        <f>'[3]精英怪-敏捷'!$E$9</f>
        <v>115</v>
      </c>
      <c r="F9">
        <f>ROUND('[3]精英怪-敏捷'!$F$9 *1000,0)</f>
        <v>25</v>
      </c>
      <c r="G9">
        <f>ROUND('[3]精英怪-敏捷'!$H$9 *100,0)</f>
        <v>120</v>
      </c>
      <c r="H9">
        <f>'[3]精英怪-敏捷'!$I$9</f>
        <v>45</v>
      </c>
      <c r="I9">
        <f>'[3]精英怪-敏捷'!$J$9</f>
        <v>43</v>
      </c>
      <c r="J9">
        <f>'[3]精英怪-敏捷'!$V$9</f>
        <v>0</v>
      </c>
      <c r="K9">
        <f>'[3]精英怪-敏捷'!$Y$9</f>
        <v>0</v>
      </c>
      <c r="L9">
        <f>'[3]精英怪-敏捷'!$Z$9</f>
        <v>0</v>
      </c>
    </row>
    <row r="10" spans="1:12" x14ac:dyDescent="0.15">
      <c r="A10">
        <v>9</v>
      </c>
      <c r="B10">
        <f>'[3]精英怪-敏捷'!$C$10</f>
        <v>1050</v>
      </c>
      <c r="C10">
        <f t="shared" si="0"/>
        <v>200</v>
      </c>
      <c r="D10">
        <f>'[3]精英怪-敏捷'!$D$10</f>
        <v>167</v>
      </c>
      <c r="E10">
        <f>'[3]精英怪-敏捷'!$E$10</f>
        <v>143</v>
      </c>
      <c r="F10">
        <f>ROUND('[3]精英怪-敏捷'!$F$10*1000,0)</f>
        <v>29</v>
      </c>
      <c r="G10">
        <f>ROUND('[3]精英怪-敏捷'!$H$10*100,0)</f>
        <v>120</v>
      </c>
      <c r="H10">
        <f>'[3]精英怪-敏捷'!$I$10</f>
        <v>54</v>
      </c>
      <c r="I10">
        <f>'[3]精英怪-敏捷'!$J$10</f>
        <v>50</v>
      </c>
      <c r="J10">
        <f>'[3]精英怪-敏捷'!$V$10</f>
        <v>0</v>
      </c>
      <c r="K10">
        <f>'[3]精英怪-敏捷'!$Y$10</f>
        <v>0</v>
      </c>
      <c r="L10">
        <f>'[3]精英怪-敏捷'!$Z$10</f>
        <v>0</v>
      </c>
    </row>
    <row r="11" spans="1:12" x14ac:dyDescent="0.15">
      <c r="A11">
        <v>10</v>
      </c>
      <c r="B11">
        <f>'[3]精英怪-敏捷'!$C$11</f>
        <v>1250</v>
      </c>
      <c r="C11">
        <f t="shared" si="0"/>
        <v>200</v>
      </c>
      <c r="D11">
        <f>'[3]精英怪-敏捷'!$D$11</f>
        <v>180</v>
      </c>
      <c r="E11">
        <f>'[3]精英怪-敏捷'!$E$11</f>
        <v>169</v>
      </c>
      <c r="F11">
        <f>ROUND('[3]精英怪-敏捷'!$F$11*1000,0)</f>
        <v>37</v>
      </c>
      <c r="G11">
        <f>ROUND('[3]精英怪-敏捷'!$H$11*100,0)</f>
        <v>130</v>
      </c>
      <c r="H11">
        <f>'[3]精英怪-敏捷'!$I$11</f>
        <v>64</v>
      </c>
      <c r="I11">
        <f>'[3]精英怪-敏捷'!$J$11</f>
        <v>54</v>
      </c>
      <c r="J11">
        <f>'[3]精英怪-敏捷'!$V$11</f>
        <v>0</v>
      </c>
      <c r="K11">
        <f>'[3]精英怪-敏捷'!$Y$11</f>
        <v>0</v>
      </c>
      <c r="L11">
        <f>'[3]精英怪-敏捷'!$Z$11</f>
        <v>0</v>
      </c>
    </row>
    <row r="12" spans="1:12" x14ac:dyDescent="0.15">
      <c r="A12">
        <v>11</v>
      </c>
      <c r="B12">
        <f>'[3]精英怪-敏捷'!$C$12</f>
        <v>1500</v>
      </c>
      <c r="C12">
        <f t="shared" si="0"/>
        <v>250</v>
      </c>
      <c r="D12">
        <f>'[3]精英怪-敏捷'!$D$12</f>
        <v>292</v>
      </c>
      <c r="E12">
        <f>'[3]精英怪-敏捷'!$E$12</f>
        <v>198</v>
      </c>
      <c r="F12">
        <f>ROUND('[3]精英怪-敏捷'!$F$12*1000,0)</f>
        <v>46</v>
      </c>
      <c r="G12">
        <f>ROUND('[3]精英怪-敏捷'!$H$12*100,0)</f>
        <v>130</v>
      </c>
      <c r="H12">
        <f>'[3]精英怪-敏捷'!$I$12</f>
        <v>75</v>
      </c>
      <c r="I12">
        <f>'[3]精英怪-敏捷'!$J$12</f>
        <v>88</v>
      </c>
      <c r="J12">
        <f>'[3]精英怪-敏捷'!$V$12</f>
        <v>0</v>
      </c>
      <c r="K12">
        <f>'[3]精英怪-敏捷'!$Y$12</f>
        <v>0</v>
      </c>
      <c r="L12">
        <f>'[3]精英怪-敏捷'!$Z$12</f>
        <v>0</v>
      </c>
    </row>
    <row r="13" spans="1:12" x14ac:dyDescent="0.15">
      <c r="A13">
        <v>12</v>
      </c>
      <c r="B13">
        <f>'[3]精英怪-敏捷'!$C$13</f>
        <v>1750</v>
      </c>
      <c r="C13">
        <f t="shared" si="0"/>
        <v>250</v>
      </c>
      <c r="D13">
        <f>'[3]精英怪-敏捷'!$D$13</f>
        <v>333</v>
      </c>
      <c r="E13">
        <f>'[3]精英怪-敏捷'!$E$13</f>
        <v>230</v>
      </c>
      <c r="F13">
        <f>ROUND('[3]精英怪-敏捷'!$F$13*1000,0)</f>
        <v>55</v>
      </c>
      <c r="G13">
        <f>ROUND('[3]精英怪-敏捷'!$H$13*100,0)</f>
        <v>130</v>
      </c>
      <c r="H13">
        <f>'[3]精英怪-敏捷'!$I$13</f>
        <v>87</v>
      </c>
      <c r="I13">
        <f>'[3]精英怪-敏捷'!$J$13</f>
        <v>100</v>
      </c>
      <c r="J13">
        <f>'[3]精英怪-敏捷'!$V$13</f>
        <v>0</v>
      </c>
      <c r="K13">
        <f>'[3]精英怪-敏捷'!$Y$13</f>
        <v>0</v>
      </c>
      <c r="L13">
        <f>'[3]精英怪-敏捷'!$Z$13</f>
        <v>0</v>
      </c>
    </row>
    <row r="14" spans="1:12" x14ac:dyDescent="0.15">
      <c r="A14">
        <v>13</v>
      </c>
      <c r="B14">
        <f>'[3]精英怪-敏捷'!$C$14</f>
        <v>2050</v>
      </c>
      <c r="C14">
        <f t="shared" si="0"/>
        <v>300</v>
      </c>
      <c r="D14">
        <f>'[3]精英怪-敏捷'!$D$14</f>
        <v>385</v>
      </c>
      <c r="E14">
        <f>'[3]精英怪-敏捷'!$E$14</f>
        <v>266</v>
      </c>
      <c r="F14">
        <f>ROUND('[3]精英怪-敏捷'!$F$14*1000,0)</f>
        <v>65</v>
      </c>
      <c r="G14">
        <f>ROUND('[3]精英怪-敏捷'!$H$14*100,0)</f>
        <v>130</v>
      </c>
      <c r="H14">
        <f>'[3]精英怪-敏捷'!$I$14</f>
        <v>100</v>
      </c>
      <c r="I14">
        <f>'[3]精英怪-敏捷'!$J$14</f>
        <v>116</v>
      </c>
      <c r="J14">
        <f>'[3]精英怪-敏捷'!$V$14</f>
        <v>0</v>
      </c>
      <c r="K14">
        <f>'[3]精英怪-敏捷'!$Y$14</f>
        <v>0</v>
      </c>
      <c r="L14">
        <f>'[3]精英怪-敏捷'!$Z$14</f>
        <v>0</v>
      </c>
    </row>
    <row r="15" spans="1:12" x14ac:dyDescent="0.15">
      <c r="A15">
        <v>14</v>
      </c>
      <c r="B15">
        <f>'[3]精英怪-敏捷'!$C$15</f>
        <v>2400</v>
      </c>
      <c r="C15">
        <f t="shared" si="0"/>
        <v>350</v>
      </c>
      <c r="D15">
        <f>'[3]精英怪-敏捷'!$D$15</f>
        <v>571</v>
      </c>
      <c r="E15">
        <f>'[3]精英怪-敏捷'!$E$15</f>
        <v>306</v>
      </c>
      <c r="F15">
        <f>ROUND('[3]精英怪-敏捷'!$F$15*1000,0)</f>
        <v>76</v>
      </c>
      <c r="G15">
        <f>ROUND('[3]精英怪-敏捷'!$H$15*100,0)</f>
        <v>130</v>
      </c>
      <c r="H15">
        <f>'[3]精英怪-敏捷'!$I$15</f>
        <v>115</v>
      </c>
      <c r="I15">
        <f>'[3]精英怪-敏捷'!$J$15</f>
        <v>171</v>
      </c>
      <c r="J15">
        <f>'[3]精英怪-敏捷'!$V$15</f>
        <v>0</v>
      </c>
      <c r="K15">
        <f>'[3]精英怪-敏捷'!$Y$15</f>
        <v>0</v>
      </c>
      <c r="L15">
        <f>'[3]精英怪-敏捷'!$Z$15</f>
        <v>0</v>
      </c>
    </row>
    <row r="16" spans="1:12" x14ac:dyDescent="0.15">
      <c r="A16">
        <v>15</v>
      </c>
      <c r="B16">
        <f>'[3]精英怪-敏捷'!$C$16</f>
        <v>2850</v>
      </c>
      <c r="C16">
        <f t="shared" si="0"/>
        <v>450</v>
      </c>
      <c r="D16">
        <f>'[3]精英怪-敏捷'!$D$16</f>
        <v>662</v>
      </c>
      <c r="E16">
        <f>'[3]精英怪-敏捷'!$E$16</f>
        <v>351</v>
      </c>
      <c r="F16">
        <f>ROUND('[3]精英怪-敏捷'!$F$16*1000,0)</f>
        <v>89</v>
      </c>
      <c r="G16">
        <f>ROUND('[3]精英怪-敏捷'!$H$16*100,0)</f>
        <v>140</v>
      </c>
      <c r="H16">
        <f>'[3]精英怪-敏捷'!$I$16</f>
        <v>132</v>
      </c>
      <c r="I16">
        <f>'[3]精英怪-敏捷'!$J$16</f>
        <v>199</v>
      </c>
      <c r="J16">
        <f>'[3]精英怪-敏捷'!$V$16</f>
        <v>0</v>
      </c>
      <c r="K16">
        <f>'[3]精英怪-敏捷'!$Y$16</f>
        <v>0</v>
      </c>
      <c r="L16">
        <f>'[3]精英怪-敏捷'!$Z$16</f>
        <v>0</v>
      </c>
    </row>
    <row r="17" spans="1:12" x14ac:dyDescent="0.15">
      <c r="A17">
        <v>16</v>
      </c>
      <c r="B17">
        <f>'[3]精英怪-敏捷'!$C$17</f>
        <v>3350</v>
      </c>
      <c r="C17">
        <f t="shared" si="0"/>
        <v>500</v>
      </c>
      <c r="D17">
        <f>'[3]精英怪-敏捷'!$D$17</f>
        <v>955</v>
      </c>
      <c r="E17">
        <f>'[3]精英怪-敏捷'!$E$17</f>
        <v>401</v>
      </c>
      <c r="F17">
        <f>ROUND('[3]精英怪-敏捷'!$F$17*1000,0)</f>
        <v>100</v>
      </c>
      <c r="G17">
        <f>ROUND('[3]精英怪-敏捷'!$H$17*100,0)</f>
        <v>140</v>
      </c>
      <c r="H17">
        <f>'[3]精英怪-敏捷'!$I$17</f>
        <v>151</v>
      </c>
      <c r="I17">
        <f>'[3]精英怪-敏捷'!$J$17</f>
        <v>287</v>
      </c>
      <c r="J17">
        <f>'[3]精英怪-敏捷'!$V$17</f>
        <v>0</v>
      </c>
      <c r="K17">
        <f>'[3]精英怪-敏捷'!$Y$17</f>
        <v>0</v>
      </c>
      <c r="L17">
        <f>'[3]精英怪-敏捷'!$Z$17</f>
        <v>0</v>
      </c>
    </row>
    <row r="18" spans="1:12" x14ac:dyDescent="0.15">
      <c r="A18">
        <v>17</v>
      </c>
      <c r="B18">
        <f>'[3]精英怪-敏捷'!$C$18</f>
        <v>3900</v>
      </c>
      <c r="C18">
        <f t="shared" si="0"/>
        <v>550</v>
      </c>
      <c r="D18">
        <f>'[3]精英怪-敏捷'!$D$18</f>
        <v>1117</v>
      </c>
      <c r="E18">
        <f>'[3]精英怪-敏捷'!$E$18</f>
        <v>457</v>
      </c>
      <c r="F18">
        <f>ROUND('[3]精英怪-敏捷'!$F$18*1000,0)</f>
        <v>111</v>
      </c>
      <c r="G18">
        <f>ROUND('[3]精英怪-敏捷'!$H$18*100,0)</f>
        <v>140</v>
      </c>
      <c r="H18">
        <f>'[3]精英怪-敏捷'!$I$18</f>
        <v>172</v>
      </c>
      <c r="I18">
        <f>'[3]精英怪-敏捷'!$J$18</f>
        <v>335</v>
      </c>
      <c r="J18">
        <f>'[3]精英怪-敏捷'!$V$18</f>
        <v>0</v>
      </c>
      <c r="K18">
        <f>'[3]精英怪-敏捷'!$Y$18</f>
        <v>0</v>
      </c>
      <c r="L18">
        <f>'[3]精英怪-敏捷'!$Z$18</f>
        <v>0</v>
      </c>
    </row>
    <row r="19" spans="1:12" x14ac:dyDescent="0.15">
      <c r="A19">
        <v>18</v>
      </c>
      <c r="B19">
        <f>'[3]精英怪-敏捷'!$C$19</f>
        <v>4550</v>
      </c>
      <c r="C19">
        <f t="shared" si="0"/>
        <v>650</v>
      </c>
      <c r="D19">
        <f>'[3]精英怪-敏捷'!$D$19</f>
        <v>1316</v>
      </c>
      <c r="E19">
        <f>'[3]精英怪-敏捷'!$E$19</f>
        <v>519</v>
      </c>
      <c r="F19">
        <f>ROUND('[3]精英怪-敏捷'!$F$19*1000,0)</f>
        <v>125</v>
      </c>
      <c r="G19">
        <f>ROUND('[3]精英怪-敏捷'!$H$19*100,0)</f>
        <v>140</v>
      </c>
      <c r="H19">
        <f>'[3]精英怪-敏捷'!$I$19</f>
        <v>195</v>
      </c>
      <c r="I19">
        <f>'[3]精英怪-敏捷'!$J$19</f>
        <v>395</v>
      </c>
      <c r="J19">
        <f>'[3]精英怪-敏捷'!$V$19</f>
        <v>0</v>
      </c>
      <c r="K19">
        <f>'[3]精英怪-敏捷'!$Y$19</f>
        <v>0</v>
      </c>
      <c r="L19">
        <f>'[3]精英怪-敏捷'!$Z$19</f>
        <v>0</v>
      </c>
    </row>
    <row r="20" spans="1:12" x14ac:dyDescent="0.15">
      <c r="A20">
        <v>19</v>
      </c>
      <c r="B20">
        <f>'[3]精英怪-敏捷'!$C$20</f>
        <v>5500</v>
      </c>
      <c r="C20">
        <f t="shared" si="0"/>
        <v>950</v>
      </c>
      <c r="D20">
        <f>'[3]精英怪-敏捷'!$D$20</f>
        <v>1935</v>
      </c>
      <c r="E20">
        <f>'[3]精英怪-敏捷'!$E$20</f>
        <v>588</v>
      </c>
      <c r="F20">
        <f>ROUND('[3]精英怪-敏捷'!$F$20*1000,0)</f>
        <v>130</v>
      </c>
      <c r="G20">
        <f>ROUND('[3]精英怪-敏捷'!$H$20*100,0)</f>
        <v>140</v>
      </c>
      <c r="H20">
        <f>'[3]精英怪-敏捷'!$I$20</f>
        <v>221</v>
      </c>
      <c r="I20">
        <f>'[3]精英怪-敏捷'!$J$20</f>
        <v>581</v>
      </c>
      <c r="J20">
        <f>'[3]精英怪-敏捷'!$V$20</f>
        <v>0</v>
      </c>
      <c r="K20">
        <f>'[3]精英怪-敏捷'!$Y$20</f>
        <v>0</v>
      </c>
      <c r="L20">
        <f>'[3]精英怪-敏捷'!$Z$20</f>
        <v>0</v>
      </c>
    </row>
    <row r="21" spans="1:12" x14ac:dyDescent="0.15">
      <c r="A21">
        <v>20</v>
      </c>
      <c r="B21">
        <f>'[3]精英怪-敏捷'!$C$21</f>
        <v>6600</v>
      </c>
      <c r="C21">
        <f t="shared" si="0"/>
        <v>1100</v>
      </c>
      <c r="D21">
        <f>'[3]精英怪-敏捷'!$D$21</f>
        <v>2525</v>
      </c>
      <c r="E21">
        <f>'[3]精英怪-敏捷'!$E$21</f>
        <v>700</v>
      </c>
      <c r="F21">
        <f>ROUND('[3]精英怪-敏捷'!$F$21*1000,0)</f>
        <v>180</v>
      </c>
      <c r="G21">
        <f>ROUND('[3]精英怪-敏捷'!$H$21*100,0)</f>
        <v>150</v>
      </c>
      <c r="H21">
        <f>'[3]精英怪-敏捷'!$I$21</f>
        <v>250</v>
      </c>
      <c r="I21">
        <f>'[3]精英怪-敏捷'!$J$21</f>
        <v>758</v>
      </c>
      <c r="J21">
        <f>'[3]精英怪-敏捷'!$V$21</f>
        <v>0</v>
      </c>
      <c r="K21">
        <f>'[3]精英怪-敏捷'!$Y$21</f>
        <v>0</v>
      </c>
      <c r="L21">
        <f>'[3]精英怪-敏捷'!$Z$21</f>
        <v>0</v>
      </c>
    </row>
    <row r="22" spans="1:12" x14ac:dyDescent="0.15">
      <c r="A22">
        <v>21</v>
      </c>
      <c r="B22">
        <f>'[3]精英怪-敏捷'!$C$22</f>
        <v>9450</v>
      </c>
      <c r="C22">
        <f t="shared" si="0"/>
        <v>2850</v>
      </c>
      <c r="D22">
        <f>'[3]精英怪-敏捷'!$D$22</f>
        <v>3719</v>
      </c>
      <c r="E22">
        <f>'[3]精英怪-敏捷'!$E$22</f>
        <v>764</v>
      </c>
      <c r="F22">
        <f>ROUND('[3]精英怪-敏捷'!$F$22*1000,0)</f>
        <v>180</v>
      </c>
      <c r="G22">
        <f>ROUND('[3]精英怪-敏捷'!$H$22*100,0)</f>
        <v>150</v>
      </c>
      <c r="H22">
        <f>'[3]精英怪-敏捷'!$I$22</f>
        <v>299</v>
      </c>
      <c r="I22">
        <f>'[3]精英怪-敏捷'!$J$22</f>
        <v>1116</v>
      </c>
      <c r="J22">
        <f>'[3]精英怪-敏捷'!$V$22</f>
        <v>0</v>
      </c>
      <c r="K22">
        <f>'[3]精英怪-敏捷'!$Y$22</f>
        <v>0</v>
      </c>
      <c r="L22">
        <f>'[3]精英怪-敏捷'!$Z$22</f>
        <v>0</v>
      </c>
    </row>
    <row r="23" spans="1:12" x14ac:dyDescent="0.15">
      <c r="A23">
        <v>22</v>
      </c>
      <c r="B23">
        <f>'[3]精英怪-敏捷'!$C$23</f>
        <v>12800</v>
      </c>
      <c r="C23">
        <f t="shared" si="0"/>
        <v>3350</v>
      </c>
      <c r="D23">
        <f>'[3]精英怪-敏捷'!$D$23</f>
        <v>5679</v>
      </c>
      <c r="E23">
        <f>'[3]精英怪-敏捷'!$E$23</f>
        <v>1032</v>
      </c>
      <c r="F23">
        <f>ROUND('[3]精英怪-敏捷'!$F$23*1000,0)</f>
        <v>180</v>
      </c>
      <c r="G23">
        <f>ROUND('[3]精英怪-敏捷'!$H$23*100,0)</f>
        <v>150</v>
      </c>
      <c r="H23">
        <f>'[3]精英怪-敏捷'!$I$23</f>
        <v>382</v>
      </c>
      <c r="I23">
        <f>'[3]精英怪-敏捷'!$J$23</f>
        <v>1704</v>
      </c>
      <c r="J23">
        <f>'[3]精英怪-敏捷'!$V$23</f>
        <v>0</v>
      </c>
      <c r="K23">
        <f>'[3]精英怪-敏捷'!$Y$23</f>
        <v>0</v>
      </c>
      <c r="L23">
        <f>'[3]精英怪-敏捷'!$Z$23</f>
        <v>0</v>
      </c>
    </row>
    <row r="24" spans="1:12" x14ac:dyDescent="0.15">
      <c r="A24">
        <v>23</v>
      </c>
      <c r="B24">
        <f>'[3]精英怪-敏捷'!$C$24</f>
        <v>17400</v>
      </c>
      <c r="C24">
        <f t="shared" si="0"/>
        <v>4600</v>
      </c>
      <c r="D24">
        <f>'[3]精英怪-敏捷'!$D$24</f>
        <v>7664</v>
      </c>
      <c r="E24">
        <f>'[3]精英怪-敏捷'!$E$24</f>
        <v>1400</v>
      </c>
      <c r="F24">
        <f>ROUND('[3]精英怪-敏捷'!$F$24*1000,0)</f>
        <v>200</v>
      </c>
      <c r="G24">
        <f>ROUND('[3]精英怪-敏捷'!$H$24*100,0)</f>
        <v>150</v>
      </c>
      <c r="H24">
        <f>'[3]精英怪-敏捷'!$I$24</f>
        <v>523</v>
      </c>
      <c r="I24">
        <f>'[3]精英怪-敏捷'!$J$24</f>
        <v>2299</v>
      </c>
      <c r="J24">
        <f>'[3]精英怪-敏捷'!$V$24</f>
        <v>0</v>
      </c>
      <c r="K24">
        <f>'[3]精英怪-敏捷'!$Y$24</f>
        <v>0</v>
      </c>
      <c r="L24">
        <f>'[3]精英怪-敏捷'!$Z$24</f>
        <v>0</v>
      </c>
    </row>
    <row r="25" spans="1:12" x14ac:dyDescent="0.15">
      <c r="A25">
        <v>24</v>
      </c>
      <c r="B25">
        <f>'[3]精英怪-敏捷'!$C$25</f>
        <v>23250</v>
      </c>
      <c r="C25">
        <f t="shared" si="0"/>
        <v>5850</v>
      </c>
      <c r="D25">
        <f>'[3]精英怪-敏捷'!$D$25</f>
        <v>10012</v>
      </c>
      <c r="E25">
        <f>'[3]精英怪-敏捷'!$E$25</f>
        <v>1868</v>
      </c>
      <c r="F25">
        <f>ROUND('[3]精英怪-敏捷'!$F$25*1000,0)</f>
        <v>200</v>
      </c>
      <c r="G25">
        <f>ROUND('[3]精英怪-敏捷'!$H$25*100,0)</f>
        <v>160</v>
      </c>
      <c r="H25">
        <f>'[3]精英怪-敏捷'!$I$25</f>
        <v>763</v>
      </c>
      <c r="I25">
        <f>'[3]精英怪-敏捷'!$J$25</f>
        <v>3004</v>
      </c>
      <c r="J25">
        <f>'[3]精英怪-敏捷'!$V$25</f>
        <v>0</v>
      </c>
      <c r="K25">
        <f>'[3]精英怪-敏捷'!$Y$25</f>
        <v>0</v>
      </c>
      <c r="L25">
        <f>'[3]精英怪-敏捷'!$Z$25</f>
        <v>0</v>
      </c>
    </row>
    <row r="26" spans="1:12" x14ac:dyDescent="0.15">
      <c r="A26">
        <v>25</v>
      </c>
      <c r="B26">
        <f>'[3]精英怪-敏捷'!$C$26</f>
        <v>30750</v>
      </c>
      <c r="C26">
        <f t="shared" si="0"/>
        <v>7500</v>
      </c>
      <c r="D26">
        <f>'[3]精英怪-敏捷'!$D$26</f>
        <v>13048</v>
      </c>
      <c r="E26">
        <f>'[3]精英怪-敏捷'!$E$26</f>
        <v>2468</v>
      </c>
      <c r="F26">
        <f>ROUND('[3]精英怪-敏捷'!$F$26*1000,0)</f>
        <v>200</v>
      </c>
      <c r="G26">
        <f>ROUND('[3]精英怪-敏捷'!$H$26*100,0)</f>
        <v>160</v>
      </c>
      <c r="H26">
        <f>'[3]精英怪-敏捷'!$I$26</f>
        <v>1171</v>
      </c>
      <c r="I26">
        <f>'[3]精英怪-敏捷'!$J$26</f>
        <v>3914</v>
      </c>
      <c r="J26">
        <f>'[3]精英怪-敏捷'!$V$26</f>
        <v>0</v>
      </c>
      <c r="K26">
        <f>'[3]精英怪-敏捷'!$Y$26</f>
        <v>0</v>
      </c>
      <c r="L26">
        <f>'[3]精英怪-敏捷'!$Z$26</f>
        <v>0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-0.499984740745262"/>
  </sheetPr>
  <dimension ref="A1:L26"/>
  <sheetViews>
    <sheetView topLeftCell="A13" workbookViewId="0">
      <selection activeCell="J13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'[3]精英怪-防御'!$C$2</f>
        <v>50</v>
      </c>
      <c r="C2">
        <f>B2-0</f>
        <v>50</v>
      </c>
      <c r="D2">
        <f>'[3]精英怪-防御'!$D$2</f>
        <v>28</v>
      </c>
      <c r="E2">
        <f>'[3]精英怪-防御'!$E$2</f>
        <v>9</v>
      </c>
      <c r="F2">
        <f>ROUND('[3]精英怪-防御'!$F$2 *1000,0)</f>
        <v>0</v>
      </c>
      <c r="G2">
        <f>ROUND('[3]精英怪-防御'!$H$2 *100,0)</f>
        <v>100</v>
      </c>
      <c r="H2">
        <f>'[3]精英怪-防御'!$I$2</f>
        <v>9</v>
      </c>
      <c r="I2">
        <f>'[3]精英怪-防御'!$J$2</f>
        <v>8</v>
      </c>
      <c r="J2">
        <f>'[3]精英怪-防御'!$V$2</f>
        <v>0</v>
      </c>
      <c r="K2">
        <f>'[3]精英怪-防御'!$Y$2</f>
        <v>0</v>
      </c>
      <c r="L2">
        <f>'[3]精英怪-防御'!$Z$2</f>
        <v>0</v>
      </c>
    </row>
    <row r="3" spans="1:12" x14ac:dyDescent="0.15">
      <c r="A3">
        <v>2</v>
      </c>
      <c r="B3">
        <f>'[3]精英怪-防御'!$C$3</f>
        <v>100</v>
      </c>
      <c r="C3">
        <f>B3-B2</f>
        <v>50</v>
      </c>
      <c r="D3">
        <f>'[3]精英怪-防御'!$D$3</f>
        <v>29</v>
      </c>
      <c r="E3">
        <f>'[3]精英怪-防御'!$E$3</f>
        <v>12</v>
      </c>
      <c r="F3">
        <f>ROUND('[3]精英怪-防御'!$F$3 *1000,0)</f>
        <v>0</v>
      </c>
      <c r="G3">
        <f>ROUND('[3]精英怪-防御'!$H$3 *100,0)</f>
        <v>100</v>
      </c>
      <c r="H3">
        <f>'[3]精英怪-防御'!$I$3</f>
        <v>18</v>
      </c>
      <c r="I3">
        <f>'[3]精英怪-防御'!$J$3</f>
        <v>9</v>
      </c>
      <c r="J3">
        <f>'[3]精英怪-防御'!$V$3</f>
        <v>0</v>
      </c>
      <c r="K3">
        <f>'[3]精英怪-防御'!$Y$3</f>
        <v>0</v>
      </c>
      <c r="L3">
        <f>'[3]精英怪-防御'!$Z$3</f>
        <v>0</v>
      </c>
    </row>
    <row r="4" spans="1:12" x14ac:dyDescent="0.15">
      <c r="A4">
        <v>3</v>
      </c>
      <c r="B4">
        <f>'[3]精英怪-防御'!$C$4</f>
        <v>150</v>
      </c>
      <c r="C4">
        <f t="shared" ref="C4:C26" si="0">B4-B3</f>
        <v>50</v>
      </c>
      <c r="D4">
        <f>'[3]精英怪-防御'!$D$4</f>
        <v>33</v>
      </c>
      <c r="E4">
        <f>'[3]精英怪-防御'!$E$4</f>
        <v>15</v>
      </c>
      <c r="F4">
        <f>ROUND('[3]精英怪-防御'!$F$4 *1000,0)</f>
        <v>0</v>
      </c>
      <c r="G4">
        <f>ROUND('[3]精英怪-防御'!$H$4 *100,0)</f>
        <v>100</v>
      </c>
      <c r="H4">
        <f>'[3]精英怪-防御'!$I$4</f>
        <v>25</v>
      </c>
      <c r="I4">
        <f>'[3]精英怪-防御'!$J$4</f>
        <v>10</v>
      </c>
      <c r="J4">
        <f>'[3]精英怪-防御'!$V$4</f>
        <v>0</v>
      </c>
      <c r="K4">
        <f>'[3]精英怪-防御'!$Y$4</f>
        <v>0</v>
      </c>
      <c r="L4">
        <f>'[3]精英怪-防御'!$Z$4</f>
        <v>0</v>
      </c>
    </row>
    <row r="5" spans="1:12" x14ac:dyDescent="0.15">
      <c r="A5">
        <v>4</v>
      </c>
      <c r="B5">
        <f>'[3]精英怪-防御'!$C$5</f>
        <v>250</v>
      </c>
      <c r="C5">
        <f t="shared" si="0"/>
        <v>100</v>
      </c>
      <c r="D5">
        <f>'[3]精英怪-防御'!$D$5</f>
        <v>45</v>
      </c>
      <c r="E5">
        <f>'[3]精英怪-防御'!$E$5</f>
        <v>22</v>
      </c>
      <c r="F5">
        <f>ROUND('[3]精英怪-防御'!$F$5 *1000,0)</f>
        <v>0</v>
      </c>
      <c r="G5">
        <f>ROUND('[3]精英怪-防御'!$H$5 *100,0)</f>
        <v>100</v>
      </c>
      <c r="H5">
        <f>'[3]精英怪-防御'!$I$5</f>
        <v>35</v>
      </c>
      <c r="I5">
        <f>'[3]精英怪-防御'!$J$5</f>
        <v>14</v>
      </c>
      <c r="J5">
        <f>'[3]精英怪-防御'!$V$5</f>
        <v>0</v>
      </c>
      <c r="K5">
        <f>'[3]精英怪-防御'!$Y$5</f>
        <v>0</v>
      </c>
      <c r="L5">
        <f>'[3]精英怪-防御'!$Z$5</f>
        <v>0</v>
      </c>
    </row>
    <row r="6" spans="1:12" x14ac:dyDescent="0.15">
      <c r="A6">
        <v>5</v>
      </c>
      <c r="B6">
        <f>'[3]精英怪-防御'!$C$6</f>
        <v>350</v>
      </c>
      <c r="C6">
        <f t="shared" si="0"/>
        <v>100</v>
      </c>
      <c r="D6">
        <f>'[3]精英怪-防御'!$D$6</f>
        <v>52</v>
      </c>
      <c r="E6">
        <f>'[3]精英怪-防御'!$E$6</f>
        <v>35</v>
      </c>
      <c r="F6">
        <f>ROUND('[3]精英怪-防御'!$F$6 *1000,0)</f>
        <v>0</v>
      </c>
      <c r="G6">
        <f>ROUND('[3]精英怪-防御'!$H$6 *100,0)</f>
        <v>100</v>
      </c>
      <c r="H6">
        <f>'[3]精英怪-防御'!$I$6</f>
        <v>43</v>
      </c>
      <c r="I6">
        <f>'[3]精英怪-防御'!$J$6</f>
        <v>16</v>
      </c>
      <c r="J6">
        <f>'[3]精英怪-防御'!$V$6</f>
        <v>0</v>
      </c>
      <c r="K6">
        <f>'[3]精英怪-防御'!$Y$6</f>
        <v>0</v>
      </c>
      <c r="L6">
        <f>'[3]精英怪-防御'!$Z$6</f>
        <v>0</v>
      </c>
    </row>
    <row r="7" spans="1:12" x14ac:dyDescent="0.15">
      <c r="A7">
        <v>6</v>
      </c>
      <c r="B7">
        <f>'[3]精英怪-防御'!$C$7</f>
        <v>500</v>
      </c>
      <c r="C7">
        <f t="shared" si="0"/>
        <v>150</v>
      </c>
      <c r="D7">
        <f>'[3]精英怪-防御'!$D$7</f>
        <v>71</v>
      </c>
      <c r="E7">
        <f>'[3]精英怪-防御'!$E$7</f>
        <v>47</v>
      </c>
      <c r="F7">
        <f>ROUND('[3]精英怪-防御'!$F$7 *1000,0)</f>
        <v>0</v>
      </c>
      <c r="G7">
        <f>ROUND('[3]精英怪-防御'!$H$7 *100,0)</f>
        <v>100</v>
      </c>
      <c r="H7">
        <f>'[3]精英怪-防御'!$I$7</f>
        <v>56</v>
      </c>
      <c r="I7">
        <f>'[3]精英怪-防御'!$J$7</f>
        <v>21</v>
      </c>
      <c r="J7">
        <f>'[3]精英怪-防御'!$V$7</f>
        <v>0</v>
      </c>
      <c r="K7">
        <f>'[3]精英怪-防御'!$Y$7</f>
        <v>0</v>
      </c>
      <c r="L7">
        <f>'[3]精英怪-防御'!$Z$7</f>
        <v>0</v>
      </c>
    </row>
    <row r="8" spans="1:12" x14ac:dyDescent="0.15">
      <c r="A8">
        <v>7</v>
      </c>
      <c r="B8">
        <f>'[3]精英怪-防御'!$C$8</f>
        <v>650</v>
      </c>
      <c r="C8">
        <f t="shared" si="0"/>
        <v>150</v>
      </c>
      <c r="D8">
        <f>'[3]精英怪-防御'!$D$8</f>
        <v>89</v>
      </c>
      <c r="E8">
        <f>'[3]精英怪-防御'!$E$8</f>
        <v>60</v>
      </c>
      <c r="F8">
        <f>ROUND('[3]精英怪-防御'!$F$8 *1000,0)</f>
        <v>0</v>
      </c>
      <c r="G8">
        <f>ROUND('[3]精英怪-防御'!$H$8 *100,0)</f>
        <v>100</v>
      </c>
      <c r="H8">
        <f>'[3]精英怪-防御'!$I$8</f>
        <v>68</v>
      </c>
      <c r="I8">
        <f>'[3]精英怪-防御'!$J$8</f>
        <v>27</v>
      </c>
      <c r="J8">
        <f>'[3]精英怪-防御'!$V$8</f>
        <v>0</v>
      </c>
      <c r="K8">
        <f>'[3]精英怪-防御'!$Y$8</f>
        <v>0</v>
      </c>
      <c r="L8">
        <f>'[3]精英怪-防御'!$Z$8</f>
        <v>0</v>
      </c>
    </row>
    <row r="9" spans="1:12" x14ac:dyDescent="0.15">
      <c r="A9">
        <v>8</v>
      </c>
      <c r="B9">
        <f>'[3]精英怪-防御'!$C$9</f>
        <v>850</v>
      </c>
      <c r="C9">
        <f t="shared" si="0"/>
        <v>200</v>
      </c>
      <c r="D9">
        <f>'[3]精英怪-防御'!$D$9</f>
        <v>122</v>
      </c>
      <c r="E9">
        <f>'[3]精英怪-防御'!$E$9</f>
        <v>100</v>
      </c>
      <c r="F9">
        <f>ROUND('[3]精英怪-防御'!$F$9 *1000,0)</f>
        <v>0</v>
      </c>
      <c r="G9">
        <f>ROUND('[3]精英怪-防御'!$H$9 *100,0)</f>
        <v>100</v>
      </c>
      <c r="H9">
        <f>'[3]精英怪-防御'!$I$9</f>
        <v>90</v>
      </c>
      <c r="I9">
        <f>'[3]精英怪-防御'!$J$9</f>
        <v>37</v>
      </c>
      <c r="J9">
        <f>'[3]精英怪-防御'!$V$9</f>
        <v>0</v>
      </c>
      <c r="K9">
        <f>'[3]精英怪-防御'!$Y$9</f>
        <v>0</v>
      </c>
      <c r="L9">
        <f>'[3]精英怪-防御'!$Z$9</f>
        <v>0</v>
      </c>
    </row>
    <row r="10" spans="1:12" x14ac:dyDescent="0.15">
      <c r="A10">
        <v>9</v>
      </c>
      <c r="B10">
        <f>'[3]精英怪-防御'!$C$10</f>
        <v>1050</v>
      </c>
      <c r="C10">
        <f t="shared" si="0"/>
        <v>200</v>
      </c>
      <c r="D10">
        <f>'[3]精英怪-防御'!$D$10</f>
        <v>141</v>
      </c>
      <c r="E10">
        <f>'[3]精英怪-防御'!$E$10</f>
        <v>128</v>
      </c>
      <c r="F10">
        <f>ROUND('[3]精英怪-防御'!$F$10*1000,0)</f>
        <v>0</v>
      </c>
      <c r="G10">
        <f>ROUND('[3]精英怪-防御'!$H$10*100,0)</f>
        <v>100</v>
      </c>
      <c r="H10">
        <f>'[3]精英怪-防御'!$I$10</f>
        <v>107</v>
      </c>
      <c r="I10">
        <f>'[3]精英怪-防御'!$J$10</f>
        <v>42</v>
      </c>
      <c r="J10">
        <f>'[3]精英怪-防御'!$V$10</f>
        <v>0</v>
      </c>
      <c r="K10">
        <f>'[3]精英怪-防御'!$Y$10</f>
        <v>0</v>
      </c>
      <c r="L10">
        <f>'[3]精英怪-防御'!$Z$10</f>
        <v>0</v>
      </c>
    </row>
    <row r="11" spans="1:12" x14ac:dyDescent="0.15">
      <c r="A11">
        <v>10</v>
      </c>
      <c r="B11">
        <f>'[3]精英怪-防御'!$C$11</f>
        <v>1250</v>
      </c>
      <c r="C11">
        <f t="shared" si="0"/>
        <v>200</v>
      </c>
      <c r="D11">
        <f>'[3]精英怪-防御'!$D$11</f>
        <v>144</v>
      </c>
      <c r="E11">
        <f>'[3]精英怪-防御'!$E$11</f>
        <v>160</v>
      </c>
      <c r="F11">
        <f>ROUND('[3]精英怪-防御'!$F$11*1000,0)</f>
        <v>0</v>
      </c>
      <c r="G11">
        <f>ROUND('[3]精英怪-防御'!$H$11*100,0)</f>
        <v>100</v>
      </c>
      <c r="H11">
        <f>'[3]精英怪-防御'!$I$11</f>
        <v>132</v>
      </c>
      <c r="I11">
        <f>'[3]精英怪-防御'!$J$11</f>
        <v>43</v>
      </c>
      <c r="J11">
        <f>'[3]精英怪-防御'!$V$11</f>
        <v>0</v>
      </c>
      <c r="K11">
        <f>'[3]精英怪-防御'!$Y$11</f>
        <v>0</v>
      </c>
      <c r="L11">
        <f>'[3]精英怪-防御'!$Z$11</f>
        <v>0</v>
      </c>
    </row>
    <row r="12" spans="1:12" x14ac:dyDescent="0.15">
      <c r="A12">
        <v>11</v>
      </c>
      <c r="B12">
        <f>'[3]精英怪-防御'!$C$12</f>
        <v>1500</v>
      </c>
      <c r="C12">
        <f t="shared" si="0"/>
        <v>250</v>
      </c>
      <c r="D12">
        <f>'[3]精英怪-防御'!$D$12</f>
        <v>228</v>
      </c>
      <c r="E12">
        <f>'[3]精英怪-防御'!$E$12</f>
        <v>207</v>
      </c>
      <c r="F12">
        <f>ROUND('[3]精英怪-防御'!$F$12*1000,0)</f>
        <v>0</v>
      </c>
      <c r="G12">
        <f>ROUND('[3]精英怪-防御'!$H$12*100,0)</f>
        <v>100</v>
      </c>
      <c r="H12">
        <f>'[3]精英怪-防御'!$I$12</f>
        <v>154</v>
      </c>
      <c r="I12">
        <f>'[3]精英怪-防御'!$J$12</f>
        <v>68</v>
      </c>
      <c r="J12">
        <f>'[3]精英怪-防御'!$V$12</f>
        <v>0</v>
      </c>
      <c r="K12">
        <f>'[3]精英怪-防御'!$Y$12</f>
        <v>0</v>
      </c>
      <c r="L12">
        <f>'[3]精英怪-防御'!$Z$12</f>
        <v>0</v>
      </c>
    </row>
    <row r="13" spans="1:12" x14ac:dyDescent="0.15">
      <c r="A13">
        <v>12</v>
      </c>
      <c r="B13">
        <f>'[3]精英怪-防御'!$C$13</f>
        <v>1750</v>
      </c>
      <c r="C13">
        <f t="shared" si="0"/>
        <v>250</v>
      </c>
      <c r="D13">
        <f>'[3]精英怪-防御'!$D$13</f>
        <v>262</v>
      </c>
      <c r="E13">
        <f>'[3]精英怪-防御'!$E$13</f>
        <v>241</v>
      </c>
      <c r="F13">
        <f>ROUND('[3]精英怪-防御'!$F$13*1000,0)</f>
        <v>0</v>
      </c>
      <c r="G13">
        <f>ROUND('[3]精英怪-防御'!$H$13*100,0)</f>
        <v>100</v>
      </c>
      <c r="H13">
        <f>'[3]精英怪-防御'!$I$13</f>
        <v>178</v>
      </c>
      <c r="I13">
        <f>'[3]精英怪-防御'!$J$13</f>
        <v>79</v>
      </c>
      <c r="J13">
        <f>'[3]精英怪-防御'!$V$13</f>
        <v>0</v>
      </c>
      <c r="K13">
        <f>'[3]精英怪-防御'!$Y$13</f>
        <v>0</v>
      </c>
      <c r="L13">
        <f>'[3]精英怪-防御'!$Z$13</f>
        <v>0</v>
      </c>
    </row>
    <row r="14" spans="1:12" x14ac:dyDescent="0.15">
      <c r="A14">
        <v>13</v>
      </c>
      <c r="B14">
        <f>'[3]精英怪-防御'!$C$14</f>
        <v>2050</v>
      </c>
      <c r="C14">
        <f t="shared" si="0"/>
        <v>300</v>
      </c>
      <c r="D14">
        <f>'[3]精英怪-防御'!$D$14</f>
        <v>308</v>
      </c>
      <c r="E14">
        <f>'[3]精英怪-防御'!$E$14</f>
        <v>279</v>
      </c>
      <c r="F14">
        <f>ROUND('[3]精英怪-防御'!$F$14*1000,0)</f>
        <v>0</v>
      </c>
      <c r="G14">
        <f>ROUND('[3]精英怪-防御'!$H$14*100,0)</f>
        <v>100</v>
      </c>
      <c r="H14">
        <f>'[3]精英怪-防御'!$I$14</f>
        <v>205</v>
      </c>
      <c r="I14">
        <f>'[3]精英怪-防御'!$J$14</f>
        <v>92</v>
      </c>
      <c r="J14">
        <f>'[3]精英怪-防御'!$V$14</f>
        <v>0</v>
      </c>
      <c r="K14">
        <f>'[3]精英怪-防御'!$Y$14</f>
        <v>0</v>
      </c>
      <c r="L14">
        <f>'[3]精英怪-防御'!$Z$14</f>
        <v>0</v>
      </c>
    </row>
    <row r="15" spans="1:12" x14ac:dyDescent="0.15">
      <c r="A15">
        <v>14</v>
      </c>
      <c r="B15">
        <f>'[3]精英怪-防御'!$C$15</f>
        <v>2400</v>
      </c>
      <c r="C15">
        <f t="shared" si="0"/>
        <v>350</v>
      </c>
      <c r="D15">
        <f>'[3]精英怪-防御'!$D$15</f>
        <v>488</v>
      </c>
      <c r="E15">
        <f>'[3]精英怪-防御'!$E$15</f>
        <v>321</v>
      </c>
      <c r="F15">
        <f>ROUND('[3]精英怪-防御'!$F$15*1000,0)</f>
        <v>0</v>
      </c>
      <c r="G15">
        <f>ROUND('[3]精英怪-防御'!$H$15*100,0)</f>
        <v>100</v>
      </c>
      <c r="H15">
        <f>'[3]精英怪-防御'!$I$15</f>
        <v>235</v>
      </c>
      <c r="I15">
        <f>'[3]精英怪-防御'!$J$15</f>
        <v>146</v>
      </c>
      <c r="J15">
        <f>'[3]精英怪-防御'!$V$15</f>
        <v>0</v>
      </c>
      <c r="K15">
        <f>'[3]精英怪-防御'!$Y$15</f>
        <v>0</v>
      </c>
      <c r="L15">
        <f>'[3]精英怪-防御'!$Z$15</f>
        <v>0</v>
      </c>
    </row>
    <row r="16" spans="1:12" x14ac:dyDescent="0.15">
      <c r="A16">
        <v>15</v>
      </c>
      <c r="B16">
        <f>'[3]精英怪-防御'!$C$16</f>
        <v>2850</v>
      </c>
      <c r="C16">
        <f t="shared" si="0"/>
        <v>450</v>
      </c>
      <c r="D16">
        <f>'[3]精英怪-防御'!$D$16</f>
        <v>602</v>
      </c>
      <c r="E16">
        <f>'[3]精英怪-防御'!$E$16</f>
        <v>368</v>
      </c>
      <c r="F16">
        <f>ROUND('[3]精英怪-防御'!$F$16*1000,0)</f>
        <v>0</v>
      </c>
      <c r="G16">
        <f>ROUND('[3]精英怪-防御'!$H$16*100,0)</f>
        <v>100</v>
      </c>
      <c r="H16">
        <f>'[3]精英怪-防御'!$I$16</f>
        <v>268</v>
      </c>
      <c r="I16">
        <f>'[3]精英怪-防御'!$J$16</f>
        <v>181</v>
      </c>
      <c r="J16">
        <f>'[3]精英怪-防御'!$V$16</f>
        <v>0</v>
      </c>
      <c r="K16">
        <f>'[3]精英怪-防御'!$Y$16</f>
        <v>0</v>
      </c>
      <c r="L16">
        <f>'[3]精英怪-防御'!$Z$16</f>
        <v>0</v>
      </c>
    </row>
    <row r="17" spans="1:12" x14ac:dyDescent="0.15">
      <c r="A17">
        <v>16</v>
      </c>
      <c r="B17">
        <f>'[3]精英怪-防御'!$C$17</f>
        <v>3350</v>
      </c>
      <c r="C17">
        <f t="shared" si="0"/>
        <v>500</v>
      </c>
      <c r="D17">
        <f>'[3]精英怪-防御'!$D$17</f>
        <v>895</v>
      </c>
      <c r="E17">
        <f>'[3]精英怪-防御'!$E$17</f>
        <v>420</v>
      </c>
      <c r="F17">
        <f>ROUND('[3]精英怪-防御'!$F$17*1000,0)</f>
        <v>0</v>
      </c>
      <c r="G17">
        <f>ROUND('[3]精英怪-防御'!$H$17*100,0)</f>
        <v>100</v>
      </c>
      <c r="H17">
        <f>'[3]精英怪-防御'!$I$17</f>
        <v>305</v>
      </c>
      <c r="I17">
        <f>'[3]精英怪-防御'!$J$17</f>
        <v>269</v>
      </c>
      <c r="J17">
        <f>'[3]精英怪-防御'!$V$17</f>
        <v>0</v>
      </c>
      <c r="K17">
        <f>'[3]精英怪-防御'!$Y$17</f>
        <v>0</v>
      </c>
      <c r="L17">
        <f>'[3]精英怪-防御'!$Z$17</f>
        <v>0</v>
      </c>
    </row>
    <row r="18" spans="1:12" x14ac:dyDescent="0.15">
      <c r="A18">
        <v>17</v>
      </c>
      <c r="B18">
        <f>'[3]精英怪-防御'!$C$18</f>
        <v>3900</v>
      </c>
      <c r="C18">
        <f t="shared" si="0"/>
        <v>550</v>
      </c>
      <c r="D18">
        <f>'[3]精英怪-防御'!$D$18</f>
        <v>1061</v>
      </c>
      <c r="E18">
        <f>'[3]精英怪-防御'!$E$18</f>
        <v>478</v>
      </c>
      <c r="F18">
        <f>ROUND('[3]精英怪-防御'!$F$18*1000,0)</f>
        <v>0</v>
      </c>
      <c r="G18">
        <f>ROUND('[3]精英怪-防御'!$H$18*100,0)</f>
        <v>100</v>
      </c>
      <c r="H18">
        <f>'[3]精英怪-防御'!$I$18</f>
        <v>346</v>
      </c>
      <c r="I18">
        <f>'[3]精英怪-防御'!$J$18</f>
        <v>318</v>
      </c>
      <c r="J18">
        <f>'[3]精英怪-防御'!$V$18</f>
        <v>0</v>
      </c>
      <c r="K18">
        <f>'[3]精英怪-防御'!$Y$18</f>
        <v>0</v>
      </c>
      <c r="L18">
        <f>'[3]精英怪-防御'!$Z$18</f>
        <v>0</v>
      </c>
    </row>
    <row r="19" spans="1:12" x14ac:dyDescent="0.15">
      <c r="A19">
        <v>18</v>
      </c>
      <c r="B19">
        <f>'[3]精英怪-防御'!$C$19</f>
        <v>4550</v>
      </c>
      <c r="C19">
        <f t="shared" si="0"/>
        <v>650</v>
      </c>
      <c r="D19">
        <f>'[3]精英怪-防御'!$D$19</f>
        <v>1264</v>
      </c>
      <c r="E19">
        <f>'[3]精英怪-防御'!$E$19</f>
        <v>543</v>
      </c>
      <c r="F19">
        <f>ROUND('[3]精英怪-防御'!$F$19*1000,0)</f>
        <v>0</v>
      </c>
      <c r="G19">
        <f>ROUND('[3]精英怪-防御'!$H$19*100,0)</f>
        <v>100</v>
      </c>
      <c r="H19">
        <f>'[3]精英怪-防御'!$I$19</f>
        <v>392</v>
      </c>
      <c r="I19">
        <f>'[3]精英怪-防御'!$J$19</f>
        <v>379</v>
      </c>
      <c r="J19">
        <f>'[3]精英怪-防御'!$V$19</f>
        <v>0</v>
      </c>
      <c r="K19">
        <f>'[3]精英怪-防御'!$Y$19</f>
        <v>0</v>
      </c>
      <c r="L19">
        <f>'[3]精英怪-防御'!$Z$19</f>
        <v>0</v>
      </c>
    </row>
    <row r="20" spans="1:12" x14ac:dyDescent="0.15">
      <c r="A20">
        <v>19</v>
      </c>
      <c r="B20">
        <f>'[3]精英怪-防御'!$C$20</f>
        <v>5500</v>
      </c>
      <c r="C20">
        <f t="shared" si="0"/>
        <v>950</v>
      </c>
      <c r="D20">
        <f>'[3]精英怪-防御'!$D$20</f>
        <v>1882</v>
      </c>
      <c r="E20">
        <f>'[3]精英怪-防御'!$E$20</f>
        <v>615</v>
      </c>
      <c r="F20">
        <f>ROUND('[3]精英怪-防御'!$F$20*1000,0)</f>
        <v>0</v>
      </c>
      <c r="G20">
        <f>ROUND('[3]精英怪-防御'!$H$20*100,0)</f>
        <v>100</v>
      </c>
      <c r="H20">
        <f>'[3]精英怪-防御'!$I$20</f>
        <v>443</v>
      </c>
      <c r="I20">
        <f>'[3]精英怪-防御'!$J$20</f>
        <v>565</v>
      </c>
      <c r="J20">
        <f>'[3]精英怪-防御'!$V$20</f>
        <v>0</v>
      </c>
      <c r="K20">
        <f>'[3]精英怪-防御'!$Y$20</f>
        <v>0</v>
      </c>
      <c r="L20">
        <f>'[3]精英怪-防御'!$Z$20</f>
        <v>0</v>
      </c>
    </row>
    <row r="21" spans="1:12" x14ac:dyDescent="0.15">
      <c r="A21">
        <v>20</v>
      </c>
      <c r="B21">
        <f>'[3]精英怪-防御'!$C$21</f>
        <v>6600</v>
      </c>
      <c r="C21">
        <f t="shared" si="0"/>
        <v>1100</v>
      </c>
      <c r="D21">
        <f>'[3]精英怪-防御'!$D$21</f>
        <v>2569</v>
      </c>
      <c r="E21">
        <f>'[3]精英怪-防御'!$E$21</f>
        <v>750</v>
      </c>
      <c r="F21">
        <f>ROUND('[3]精英怪-防御'!$F$21*1000,0)</f>
        <v>0</v>
      </c>
      <c r="G21">
        <f>ROUND('[3]精英怪-防御'!$H$21*100,0)</f>
        <v>100</v>
      </c>
      <c r="H21">
        <f>'[3]精英怪-防御'!$I$21</f>
        <v>500</v>
      </c>
      <c r="I21">
        <f>'[3]精英怪-防御'!$J$21</f>
        <v>771</v>
      </c>
      <c r="J21">
        <f>'[3]精英怪-防御'!$V$21</f>
        <v>0</v>
      </c>
      <c r="K21">
        <f>'[3]精英怪-防御'!$Y$21</f>
        <v>0</v>
      </c>
      <c r="L21">
        <f>'[3]精英怪-防御'!$Z$21</f>
        <v>0</v>
      </c>
    </row>
    <row r="22" spans="1:12" x14ac:dyDescent="0.15">
      <c r="A22">
        <v>21</v>
      </c>
      <c r="B22">
        <f>'[3]精英怪-防御'!$C$22</f>
        <v>9450</v>
      </c>
      <c r="C22">
        <f t="shared" si="0"/>
        <v>2850</v>
      </c>
      <c r="D22">
        <f>'[3]精英怪-防御'!$D$22</f>
        <v>3819</v>
      </c>
      <c r="E22">
        <f>'[3]精英怪-防御'!$E$22</f>
        <v>764</v>
      </c>
      <c r="F22">
        <f>ROUND('[3]精英怪-防御'!$F$22*1000,0)</f>
        <v>0</v>
      </c>
      <c r="G22">
        <f>ROUND('[3]精英怪-防御'!$H$22*100,0)</f>
        <v>100</v>
      </c>
      <c r="H22">
        <f>'[3]精英怪-防御'!$I$22</f>
        <v>586</v>
      </c>
      <c r="I22">
        <f>'[3]精英怪-防御'!$J$22</f>
        <v>1146</v>
      </c>
      <c r="J22">
        <f>'[3]精英怪-防御'!$V$22</f>
        <v>0</v>
      </c>
      <c r="K22">
        <f>'[3]精英怪-防御'!$Y$22</f>
        <v>0</v>
      </c>
      <c r="L22">
        <f>'[3]精英怪-防御'!$Z$22</f>
        <v>0</v>
      </c>
    </row>
    <row r="23" spans="1:12" x14ac:dyDescent="0.15">
      <c r="A23">
        <v>22</v>
      </c>
      <c r="B23">
        <f>'[3]精英怪-防御'!$C$23</f>
        <v>12800</v>
      </c>
      <c r="C23">
        <f t="shared" si="0"/>
        <v>3350</v>
      </c>
      <c r="D23">
        <f>'[3]精英怪-防御'!$D$23</f>
        <v>5888</v>
      </c>
      <c r="E23">
        <f>'[3]精英怪-防御'!$E$23</f>
        <v>1032</v>
      </c>
      <c r="F23">
        <f>ROUND('[3]精英怪-防御'!$F$23*1000,0)</f>
        <v>0</v>
      </c>
      <c r="G23">
        <f>ROUND('[3]精英怪-防御'!$H$23*100,0)</f>
        <v>100</v>
      </c>
      <c r="H23">
        <f>'[3]精英怪-防御'!$I$23</f>
        <v>715</v>
      </c>
      <c r="I23">
        <f>'[3]精英怪-防御'!$J$23</f>
        <v>1766</v>
      </c>
      <c r="J23">
        <f>'[3]精英怪-防御'!$V$23</f>
        <v>0</v>
      </c>
      <c r="K23">
        <f>'[3]精英怪-防御'!$Y$23</f>
        <v>0</v>
      </c>
      <c r="L23">
        <f>'[3]精英怪-防御'!$Z$23</f>
        <v>0</v>
      </c>
    </row>
    <row r="24" spans="1:12" x14ac:dyDescent="0.15">
      <c r="A24">
        <v>23</v>
      </c>
      <c r="B24">
        <f>'[3]精英怪-防御'!$C$24</f>
        <v>17400</v>
      </c>
      <c r="C24">
        <f t="shared" si="0"/>
        <v>4600</v>
      </c>
      <c r="D24">
        <f>'[3]精英怪-防御'!$D$24</f>
        <v>8081</v>
      </c>
      <c r="E24">
        <f>'[3]精英怪-防御'!$E$24</f>
        <v>1400</v>
      </c>
      <c r="F24">
        <f>ROUND('[3]精英怪-防御'!$F$24*1000,0)</f>
        <v>0</v>
      </c>
      <c r="G24">
        <f>ROUND('[3]精英怪-防御'!$H$24*100,0)</f>
        <v>100</v>
      </c>
      <c r="H24">
        <f>'[3]精英怪-防御'!$I$24</f>
        <v>909</v>
      </c>
      <c r="I24">
        <f>'[3]精英怪-防御'!$J$24</f>
        <v>2424</v>
      </c>
      <c r="J24">
        <f>'[3]精英怪-防御'!$V$24</f>
        <v>0</v>
      </c>
      <c r="K24">
        <f>'[3]精英怪-防御'!$Y$24</f>
        <v>0</v>
      </c>
      <c r="L24">
        <f>'[3]精英怪-防御'!$Z$24</f>
        <v>0</v>
      </c>
    </row>
    <row r="25" spans="1:12" x14ac:dyDescent="0.15">
      <c r="A25">
        <v>24</v>
      </c>
      <c r="B25">
        <f>'[3]精英怪-防御'!$C$25</f>
        <v>23250</v>
      </c>
      <c r="C25">
        <f t="shared" si="0"/>
        <v>5850</v>
      </c>
      <c r="D25">
        <f>'[3]精英怪-防御'!$D$25</f>
        <v>10822</v>
      </c>
      <c r="E25">
        <f>'[3]精英怪-防御'!$E$25</f>
        <v>1868</v>
      </c>
      <c r="F25">
        <f>ROUND('[3]精英怪-防御'!$F$25*1000,0)</f>
        <v>0</v>
      </c>
      <c r="G25">
        <f>ROUND('[3]精英怪-防御'!$H$25*100,0)</f>
        <v>100</v>
      </c>
      <c r="H25">
        <f>'[3]精英怪-防御'!$I$25</f>
        <v>1200</v>
      </c>
      <c r="I25">
        <f>'[3]精英怪-防御'!$J$25</f>
        <v>3247</v>
      </c>
      <c r="J25">
        <f>'[3]精英怪-防御'!$V$25</f>
        <v>0</v>
      </c>
      <c r="K25">
        <f>'[3]精英怪-防御'!$Y$25</f>
        <v>0</v>
      </c>
      <c r="L25">
        <f>'[3]精英怪-防御'!$Z$25</f>
        <v>0</v>
      </c>
    </row>
    <row r="26" spans="1:12" x14ac:dyDescent="0.15">
      <c r="A26">
        <v>25</v>
      </c>
      <c r="B26">
        <f>'[3]精英怪-防御'!$C$26</f>
        <v>30750</v>
      </c>
      <c r="C26">
        <f t="shared" si="0"/>
        <v>7500</v>
      </c>
      <c r="D26">
        <f>'[3]精英怪-防御'!$D$26</f>
        <v>14266</v>
      </c>
      <c r="E26">
        <f>'[3]精英怪-防御'!$E$26</f>
        <v>2468</v>
      </c>
      <c r="F26">
        <f>ROUND('[3]精英怪-防御'!$F$26*1000,0)</f>
        <v>0</v>
      </c>
      <c r="G26">
        <f>ROUND('[3]精英怪-防御'!$H$26*100,0)</f>
        <v>100</v>
      </c>
      <c r="H26">
        <f>'[3]精英怪-防御'!$I$26</f>
        <v>1637</v>
      </c>
      <c r="I26">
        <f>'[3]精英怪-防御'!$J$26</f>
        <v>4280</v>
      </c>
      <c r="J26">
        <f>'[3]精英怪-防御'!$V$26</f>
        <v>0</v>
      </c>
      <c r="K26">
        <f>'[3]精英怪-防御'!$Y$26</f>
        <v>0</v>
      </c>
      <c r="L26">
        <f>'[3]精英怪-防御'!$Z$26</f>
        <v>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'[3]Boss怪-攻击'!$C$2</f>
        <v>50</v>
      </c>
      <c r="C2">
        <f>B2-0</f>
        <v>50</v>
      </c>
      <c r="D2">
        <f>'[3]Boss怪-攻击'!$D$2</f>
        <v>45</v>
      </c>
      <c r="E2">
        <f>'[3]Boss怪-攻击'!$E$2</f>
        <v>9</v>
      </c>
      <c r="F2">
        <f>ROUND('[3]Boss怪-攻击'!$F$2 *1000,0)</f>
        <v>0</v>
      </c>
      <c r="G2">
        <f>ROUND('[3]Boss怪-攻击'!$H$2 *100,0)</f>
        <v>100</v>
      </c>
      <c r="H2">
        <f>'[3]Boss怪-攻击'!$I$2</f>
        <v>8</v>
      </c>
      <c r="I2">
        <f>'[3]Boss怪-攻击'!$J$2</f>
        <v>9</v>
      </c>
      <c r="J2">
        <f>'[3]Boss怪-攻击'!$V$2</f>
        <v>0</v>
      </c>
      <c r="K2">
        <f>'[3]Boss怪-攻击'!$Y$2</f>
        <v>0</v>
      </c>
      <c r="L2">
        <f>'[3]Boss怪-攻击'!$Z$2</f>
        <v>0</v>
      </c>
    </row>
    <row r="3" spans="1:12" x14ac:dyDescent="0.15">
      <c r="A3">
        <v>2</v>
      </c>
      <c r="B3">
        <f>'[3]Boss怪-攻击'!$C$3</f>
        <v>100</v>
      </c>
      <c r="C3">
        <f>B3-B2</f>
        <v>50</v>
      </c>
      <c r="D3">
        <f>'[3]Boss怪-攻击'!$D$3</f>
        <v>52</v>
      </c>
      <c r="E3">
        <f>'[3]Boss怪-攻击'!$E$3</f>
        <v>15</v>
      </c>
      <c r="F3">
        <f>ROUND('[3]Boss怪-攻击'!$F$3 *1000,0)</f>
        <v>0</v>
      </c>
      <c r="G3">
        <f>ROUND('[3]Boss怪-攻击'!$H$3 *100,0)</f>
        <v>100</v>
      </c>
      <c r="H3">
        <f>'[3]Boss怪-攻击'!$I$3</f>
        <v>14</v>
      </c>
      <c r="I3">
        <f>'[3]Boss怪-攻击'!$J$3</f>
        <v>10</v>
      </c>
      <c r="J3">
        <f>'[3]Boss怪-攻击'!$V$3</f>
        <v>0</v>
      </c>
      <c r="K3">
        <f>'[3]Boss怪-攻击'!$Y$3</f>
        <v>0</v>
      </c>
      <c r="L3">
        <f>'[3]Boss怪-攻击'!$Z$3</f>
        <v>0</v>
      </c>
    </row>
    <row r="4" spans="1:12" x14ac:dyDescent="0.15">
      <c r="A4">
        <v>3</v>
      </c>
      <c r="B4">
        <f>'[3]Boss怪-攻击'!$C$4</f>
        <v>150</v>
      </c>
      <c r="C4">
        <f t="shared" ref="C4:C26" si="0">B4-B3</f>
        <v>50</v>
      </c>
      <c r="D4">
        <f>'[3]Boss怪-攻击'!$D$4</f>
        <v>58</v>
      </c>
      <c r="E4">
        <f>'[3]Boss怪-攻击'!$E$4</f>
        <v>22</v>
      </c>
      <c r="F4">
        <f>ROUND('[3]Boss怪-攻击'!$F$4 *1000,0)</f>
        <v>3</v>
      </c>
      <c r="G4">
        <f>ROUND('[3]Boss怪-攻击'!$H$4 *100,0)</f>
        <v>100</v>
      </c>
      <c r="H4">
        <f>'[3]Boss怪-攻击'!$I$4</f>
        <v>19</v>
      </c>
      <c r="I4">
        <f>'[3]Boss怪-攻击'!$J$4</f>
        <v>12</v>
      </c>
      <c r="J4">
        <f>'[3]Boss怪-攻击'!$V$4</f>
        <v>0</v>
      </c>
      <c r="K4">
        <f>'[3]Boss怪-攻击'!$Y$4</f>
        <v>0</v>
      </c>
      <c r="L4">
        <f>'[3]Boss怪-攻击'!$Z$4</f>
        <v>0</v>
      </c>
    </row>
    <row r="5" spans="1:12" x14ac:dyDescent="0.15">
      <c r="A5">
        <v>4</v>
      </c>
      <c r="B5">
        <f>'[3]Boss怪-攻击'!$C$5</f>
        <v>250</v>
      </c>
      <c r="C5">
        <f t="shared" si="0"/>
        <v>100</v>
      </c>
      <c r="D5">
        <f>'[3]Boss怪-攻击'!$D$5</f>
        <v>69</v>
      </c>
      <c r="E5">
        <f>'[3]Boss怪-攻击'!$E$5</f>
        <v>39</v>
      </c>
      <c r="F5">
        <f>ROUND('[3]Boss怪-攻击'!$F$5 *1000,0)</f>
        <v>3</v>
      </c>
      <c r="G5">
        <f>ROUND('[3]Boss怪-攻击'!$H$5 *100,0)</f>
        <v>100</v>
      </c>
      <c r="H5">
        <f>'[3]Boss怪-攻击'!$I$5</f>
        <v>26</v>
      </c>
      <c r="I5">
        <f>'[3]Boss怪-攻击'!$J$5</f>
        <v>14</v>
      </c>
      <c r="J5">
        <f>'[3]Boss怪-攻击'!$V$5</f>
        <v>0</v>
      </c>
      <c r="K5">
        <f>'[3]Boss怪-攻击'!$Y$5</f>
        <v>0</v>
      </c>
      <c r="L5">
        <f>'[3]Boss怪-攻击'!$Z$5</f>
        <v>0</v>
      </c>
    </row>
    <row r="6" spans="1:12" x14ac:dyDescent="0.15">
      <c r="A6">
        <v>5</v>
      </c>
      <c r="B6">
        <f>'[3]Boss怪-攻击'!$C$6</f>
        <v>350</v>
      </c>
      <c r="C6">
        <f t="shared" si="0"/>
        <v>100</v>
      </c>
      <c r="D6">
        <f>'[3]Boss怪-攻击'!$D$6</f>
        <v>86</v>
      </c>
      <c r="E6">
        <f>'[3]Boss怪-攻击'!$E$6</f>
        <v>52</v>
      </c>
      <c r="F6">
        <f>ROUND('[3]Boss怪-攻击'!$F$6 *1000,0)</f>
        <v>5</v>
      </c>
      <c r="G6">
        <f>ROUND('[3]Boss怪-攻击'!$H$6 *100,0)</f>
        <v>100</v>
      </c>
      <c r="H6">
        <f>'[3]Boss怪-攻击'!$I$6</f>
        <v>34</v>
      </c>
      <c r="I6">
        <f>'[3]Boss怪-攻击'!$J$6</f>
        <v>17</v>
      </c>
      <c r="J6">
        <f>'[3]Boss怪-攻击'!$V$6</f>
        <v>0</v>
      </c>
      <c r="K6">
        <f>'[3]Boss怪-攻击'!$Y$6</f>
        <v>0</v>
      </c>
      <c r="L6">
        <f>'[3]Boss怪-攻击'!$Z$6</f>
        <v>0</v>
      </c>
    </row>
    <row r="7" spans="1:12" x14ac:dyDescent="0.15">
      <c r="A7">
        <v>6</v>
      </c>
      <c r="B7">
        <f>'[3]Boss怪-攻击'!$C$7</f>
        <v>500</v>
      </c>
      <c r="C7">
        <f t="shared" si="0"/>
        <v>150</v>
      </c>
      <c r="D7">
        <f>'[3]Boss怪-攻击'!$D$7</f>
        <v>103</v>
      </c>
      <c r="E7">
        <f>'[3]Boss怪-攻击'!$E$7</f>
        <v>79</v>
      </c>
      <c r="F7">
        <f>ROUND('[3]Boss怪-攻击'!$F$7 *1000,0)</f>
        <v>10</v>
      </c>
      <c r="G7">
        <f>ROUND('[3]Boss怪-攻击'!$H$7 *100,0)</f>
        <v>100</v>
      </c>
      <c r="H7">
        <f>'[3]Boss怪-攻击'!$I$7</f>
        <v>43</v>
      </c>
      <c r="I7">
        <f>'[3]Boss怪-攻击'!$J$7</f>
        <v>21</v>
      </c>
      <c r="J7">
        <f>'[3]Boss怪-攻击'!$V$7</f>
        <v>0</v>
      </c>
      <c r="K7">
        <f>'[3]Boss怪-攻击'!$Y$7</f>
        <v>0</v>
      </c>
      <c r="L7">
        <f>'[3]Boss怪-攻击'!$Z$7</f>
        <v>0</v>
      </c>
    </row>
    <row r="8" spans="1:12" x14ac:dyDescent="0.15">
      <c r="A8">
        <v>7</v>
      </c>
      <c r="B8">
        <f>'[3]Boss怪-攻击'!$C$8</f>
        <v>650</v>
      </c>
      <c r="C8">
        <f t="shared" si="0"/>
        <v>150</v>
      </c>
      <c r="D8">
        <f>'[3]Boss怪-攻击'!$D$8</f>
        <v>123</v>
      </c>
      <c r="E8">
        <f>'[3]Boss怪-攻击'!$E$8</f>
        <v>103</v>
      </c>
      <c r="F8">
        <f>ROUND('[3]Boss怪-攻击'!$F$8 *1000,0)</f>
        <v>15</v>
      </c>
      <c r="G8">
        <f>ROUND('[3]Boss怪-攻击'!$H$8 *100,0)</f>
        <v>100</v>
      </c>
      <c r="H8">
        <f>'[3]Boss怪-攻击'!$I$8</f>
        <v>53</v>
      </c>
      <c r="I8">
        <f>'[3]Boss怪-攻击'!$J$8</f>
        <v>25</v>
      </c>
      <c r="J8">
        <f>'[3]Boss怪-攻击'!$V$8</f>
        <v>0</v>
      </c>
      <c r="K8">
        <f>'[3]Boss怪-攻击'!$Y$8</f>
        <v>0</v>
      </c>
      <c r="L8">
        <f>'[3]Boss怪-攻击'!$Z$8</f>
        <v>0</v>
      </c>
    </row>
    <row r="9" spans="1:12" x14ac:dyDescent="0.15">
      <c r="A9">
        <v>8</v>
      </c>
      <c r="B9">
        <f>'[3]Boss怪-攻击'!$C$9</f>
        <v>850</v>
      </c>
      <c r="C9">
        <f t="shared" si="0"/>
        <v>200</v>
      </c>
      <c r="D9">
        <f>'[3]Boss怪-攻击'!$D$9</f>
        <v>180</v>
      </c>
      <c r="E9">
        <f>'[3]Boss怪-攻击'!$E$9</f>
        <v>158</v>
      </c>
      <c r="F9">
        <f>ROUND('[3]Boss怪-攻击'!$F$9 *1000,0)</f>
        <v>25</v>
      </c>
      <c r="G9">
        <f>ROUND('[3]Boss怪-攻击'!$H$9 *100,0)</f>
        <v>100</v>
      </c>
      <c r="H9">
        <f>'[3]Boss怪-攻击'!$I$9</f>
        <v>64</v>
      </c>
      <c r="I9">
        <f>'[3]Boss怪-攻击'!$J$9</f>
        <v>36</v>
      </c>
      <c r="J9">
        <f>'[3]Boss怪-攻击'!$V$9</f>
        <v>0</v>
      </c>
      <c r="K9">
        <f>'[3]Boss怪-攻击'!$Y$9</f>
        <v>0</v>
      </c>
      <c r="L9">
        <f>'[3]Boss怪-攻击'!$Z$9</f>
        <v>0</v>
      </c>
    </row>
    <row r="10" spans="1:12" x14ac:dyDescent="0.15">
      <c r="A10">
        <v>9</v>
      </c>
      <c r="B10">
        <f>'[3]Boss怪-攻击'!$C$10</f>
        <v>1050</v>
      </c>
      <c r="C10">
        <f t="shared" si="0"/>
        <v>200</v>
      </c>
      <c r="D10">
        <f>'[3]Boss怪-攻击'!$D$10</f>
        <v>206</v>
      </c>
      <c r="E10">
        <f>'[3]Boss怪-攻击'!$E$10</f>
        <v>200</v>
      </c>
      <c r="F10">
        <f>ROUND('[3]Boss怪-攻击'!$F$10*1000,0)</f>
        <v>29</v>
      </c>
      <c r="G10">
        <f>ROUND('[3]Boss怪-攻击'!$H$10*100,0)</f>
        <v>100</v>
      </c>
      <c r="H10">
        <f>'[3]Boss怪-攻击'!$I$10</f>
        <v>76</v>
      </c>
      <c r="I10">
        <f>'[3]Boss怪-攻击'!$J$10</f>
        <v>41</v>
      </c>
      <c r="J10">
        <f>'[3]Boss怪-攻击'!$V$10</f>
        <v>0</v>
      </c>
      <c r="K10">
        <f>'[3]Boss怪-攻击'!$Y$10</f>
        <v>0</v>
      </c>
      <c r="L10">
        <f>'[3]Boss怪-攻击'!$Z$10</f>
        <v>0</v>
      </c>
    </row>
    <row r="11" spans="1:12" x14ac:dyDescent="0.15">
      <c r="A11">
        <v>10</v>
      </c>
      <c r="B11">
        <f>'[3]Boss怪-攻击'!$C$11</f>
        <v>1250</v>
      </c>
      <c r="C11">
        <f t="shared" si="0"/>
        <v>200</v>
      </c>
      <c r="D11">
        <f>'[3]Boss怪-攻击'!$D$11</f>
        <v>214</v>
      </c>
      <c r="E11">
        <f>'[3]Boss怪-攻击'!$E$11</f>
        <v>252</v>
      </c>
      <c r="F11">
        <f>ROUND('[3]Boss怪-攻击'!$F$11*1000,0)</f>
        <v>37</v>
      </c>
      <c r="G11">
        <f>ROUND('[3]Boss怪-攻击'!$H$11*100,0)</f>
        <v>100</v>
      </c>
      <c r="H11">
        <f>'[3]Boss怪-攻击'!$I$11</f>
        <v>89</v>
      </c>
      <c r="I11">
        <f>'[3]Boss怪-攻击'!$J$11</f>
        <v>43</v>
      </c>
      <c r="J11">
        <f>'[3]Boss怪-攻击'!$V$11</f>
        <v>0</v>
      </c>
      <c r="K11">
        <f>'[3]Boss怪-攻击'!$Y$11</f>
        <v>0</v>
      </c>
      <c r="L11">
        <f>'[3]Boss怪-攻击'!$Z$11</f>
        <v>0</v>
      </c>
    </row>
    <row r="12" spans="1:12" x14ac:dyDescent="0.15">
      <c r="A12">
        <v>11</v>
      </c>
      <c r="B12">
        <f>'[3]Boss怪-攻击'!$C$12</f>
        <v>1500</v>
      </c>
      <c r="C12">
        <f t="shared" si="0"/>
        <v>250</v>
      </c>
      <c r="D12">
        <f>'[3]Boss怪-攻击'!$D$12</f>
        <v>361</v>
      </c>
      <c r="E12">
        <f>'[3]Boss怪-攻击'!$E$12</f>
        <v>296</v>
      </c>
      <c r="F12">
        <f>ROUND('[3]Boss怪-攻击'!$F$12*1000,0)</f>
        <v>46</v>
      </c>
      <c r="G12">
        <f>ROUND('[3]Boss怪-攻击'!$H$12*100,0)</f>
        <v>100</v>
      </c>
      <c r="H12">
        <f>'[3]Boss怪-攻击'!$I$12</f>
        <v>103</v>
      </c>
      <c r="I12">
        <f>'[3]Boss怪-攻击'!$J$12</f>
        <v>72</v>
      </c>
      <c r="J12">
        <f>'[3]Boss怪-攻击'!$V$12</f>
        <v>0</v>
      </c>
      <c r="K12">
        <f>'[3]Boss怪-攻击'!$Y$12</f>
        <v>0</v>
      </c>
      <c r="L12">
        <f>'[3]Boss怪-攻击'!$Z$12</f>
        <v>0</v>
      </c>
    </row>
    <row r="13" spans="1:12" x14ac:dyDescent="0.15">
      <c r="A13">
        <v>12</v>
      </c>
      <c r="B13">
        <f>'[3]Boss怪-攻击'!$C$13</f>
        <v>1750</v>
      </c>
      <c r="C13">
        <f t="shared" si="0"/>
        <v>250</v>
      </c>
      <c r="D13">
        <f>'[3]Boss怪-攻击'!$D$13</f>
        <v>408</v>
      </c>
      <c r="E13">
        <f>'[3]Boss怪-攻击'!$E$13</f>
        <v>345</v>
      </c>
      <c r="F13">
        <f>ROUND('[3]Boss怪-攻击'!$F$13*1000,0)</f>
        <v>55</v>
      </c>
      <c r="G13">
        <f>ROUND('[3]Boss怪-攻击'!$H$13*100,0)</f>
        <v>100</v>
      </c>
      <c r="H13">
        <f>'[3]Boss怪-攻击'!$I$13</f>
        <v>119</v>
      </c>
      <c r="I13">
        <f>'[3]Boss怪-攻击'!$J$13</f>
        <v>82</v>
      </c>
      <c r="J13">
        <f>'[3]Boss怪-攻击'!$V$13</f>
        <v>0</v>
      </c>
      <c r="K13">
        <f>'[3]Boss怪-攻击'!$Y$13</f>
        <v>0</v>
      </c>
      <c r="L13">
        <f>'[3]Boss怪-攻击'!$Z$13</f>
        <v>0</v>
      </c>
    </row>
    <row r="14" spans="1:12" x14ac:dyDescent="0.15">
      <c r="A14">
        <v>13</v>
      </c>
      <c r="B14">
        <f>'[3]Boss怪-攻击'!$C$14</f>
        <v>2050</v>
      </c>
      <c r="C14">
        <f t="shared" si="0"/>
        <v>300</v>
      </c>
      <c r="D14">
        <f>'[3]Boss怪-攻击'!$D$14</f>
        <v>473</v>
      </c>
      <c r="E14">
        <f>'[3]Boss怪-攻击'!$E$14</f>
        <v>400</v>
      </c>
      <c r="F14">
        <f>ROUND('[3]Boss怪-攻击'!$F$14*1000,0)</f>
        <v>65</v>
      </c>
      <c r="G14">
        <f>ROUND('[3]Boss怪-攻击'!$H$14*100,0)</f>
        <v>100</v>
      </c>
      <c r="H14">
        <f>'[3]Boss怪-攻击'!$I$14</f>
        <v>137</v>
      </c>
      <c r="I14">
        <f>'[3]Boss怪-攻击'!$J$14</f>
        <v>95</v>
      </c>
      <c r="J14">
        <f>'[3]Boss怪-攻击'!$V$14</f>
        <v>0</v>
      </c>
      <c r="K14">
        <f>'[3]Boss怪-攻击'!$Y$14</f>
        <v>0</v>
      </c>
      <c r="L14">
        <f>'[3]Boss怪-攻击'!$Z$14</f>
        <v>0</v>
      </c>
    </row>
    <row r="15" spans="1:12" x14ac:dyDescent="0.15">
      <c r="A15">
        <v>14</v>
      </c>
      <c r="B15">
        <f>'[3]Boss怪-攻击'!$C$15</f>
        <v>2400</v>
      </c>
      <c r="C15">
        <f t="shared" si="0"/>
        <v>350</v>
      </c>
      <c r="D15">
        <f>'[3]Boss怪-攻击'!$D$15</f>
        <v>713</v>
      </c>
      <c r="E15">
        <f>'[3]Boss怪-攻击'!$E$15</f>
        <v>461</v>
      </c>
      <c r="F15">
        <f>ROUND('[3]Boss怪-攻击'!$F$15*1000,0)</f>
        <v>76</v>
      </c>
      <c r="G15">
        <f>ROUND('[3]Boss怪-攻击'!$H$15*100,0)</f>
        <v>100</v>
      </c>
      <c r="H15">
        <f>'[3]Boss怪-攻击'!$I$15</f>
        <v>157</v>
      </c>
      <c r="I15">
        <f>'[3]Boss怪-攻击'!$J$15</f>
        <v>143</v>
      </c>
      <c r="J15">
        <f>'[3]Boss怪-攻击'!$V$15</f>
        <v>0</v>
      </c>
      <c r="K15">
        <f>'[3]Boss怪-攻击'!$Y$15</f>
        <v>0</v>
      </c>
      <c r="L15">
        <f>'[3]Boss怪-攻击'!$Z$15</f>
        <v>0</v>
      </c>
    </row>
    <row r="16" spans="1:12" x14ac:dyDescent="0.15">
      <c r="A16">
        <v>15</v>
      </c>
      <c r="B16">
        <f>'[3]Boss怪-攻击'!$C$16</f>
        <v>2850</v>
      </c>
      <c r="C16">
        <f t="shared" si="0"/>
        <v>450</v>
      </c>
      <c r="D16">
        <f>'[3]Boss怪-攻击'!$D$16</f>
        <v>863</v>
      </c>
      <c r="E16">
        <f>'[3]Boss怪-攻击'!$E$16</f>
        <v>529</v>
      </c>
      <c r="F16">
        <f>ROUND('[3]Boss怪-攻击'!$F$16*1000,0)</f>
        <v>89</v>
      </c>
      <c r="G16">
        <f>ROUND('[3]Boss怪-攻击'!$H$16*100,0)</f>
        <v>100</v>
      </c>
      <c r="H16">
        <f>'[3]Boss怪-攻击'!$I$16</f>
        <v>179</v>
      </c>
      <c r="I16">
        <f>'[3]Boss怪-攻击'!$J$16</f>
        <v>173</v>
      </c>
      <c r="J16">
        <f>'[3]Boss怪-攻击'!$V$16</f>
        <v>0</v>
      </c>
      <c r="K16">
        <f>'[3]Boss怪-攻击'!$Y$16</f>
        <v>0</v>
      </c>
      <c r="L16">
        <f>'[3]Boss怪-攻击'!$Z$16</f>
        <v>0</v>
      </c>
    </row>
    <row r="17" spans="1:12" x14ac:dyDescent="0.15">
      <c r="A17">
        <v>16</v>
      </c>
      <c r="B17">
        <f>'[3]Boss怪-攻击'!$C$17</f>
        <v>3350</v>
      </c>
      <c r="C17">
        <f t="shared" si="0"/>
        <v>500</v>
      </c>
      <c r="D17">
        <f>'[3]Boss怪-攻击'!$D$17</f>
        <v>1251</v>
      </c>
      <c r="E17">
        <f>'[3]Boss怪-攻击'!$E$17</f>
        <v>605</v>
      </c>
      <c r="F17">
        <f>ROUND('[3]Boss怪-攻击'!$F$17*1000,0)</f>
        <v>100</v>
      </c>
      <c r="G17">
        <f>ROUND('[3]Boss怪-攻击'!$H$17*100,0)</f>
        <v>100</v>
      </c>
      <c r="H17">
        <f>'[3]Boss怪-攻击'!$I$17</f>
        <v>204</v>
      </c>
      <c r="I17">
        <f>'[3]Boss怪-攻击'!$J$17</f>
        <v>250</v>
      </c>
      <c r="J17">
        <f>'[3]Boss怪-攻击'!$V$17</f>
        <v>0</v>
      </c>
      <c r="K17">
        <f>'[3]Boss怪-攻击'!$Y$17</f>
        <v>0</v>
      </c>
      <c r="L17">
        <f>'[3]Boss怪-攻击'!$Z$17</f>
        <v>0</v>
      </c>
    </row>
    <row r="18" spans="1:12" x14ac:dyDescent="0.15">
      <c r="A18">
        <v>17</v>
      </c>
      <c r="B18">
        <f>'[3]Boss怪-攻击'!$C$18</f>
        <v>3900</v>
      </c>
      <c r="C18">
        <f t="shared" si="0"/>
        <v>550</v>
      </c>
      <c r="D18">
        <f>'[3]Boss怪-攻击'!$D$18</f>
        <v>1466</v>
      </c>
      <c r="E18">
        <f>'[3]Boss怪-攻击'!$E$18</f>
        <v>689</v>
      </c>
      <c r="F18">
        <f>ROUND('[3]Boss怪-攻击'!$F$18*1000,0)</f>
        <v>111</v>
      </c>
      <c r="G18">
        <f>ROUND('[3]Boss怪-攻击'!$H$18*100,0)</f>
        <v>100</v>
      </c>
      <c r="H18">
        <f>'[3]Boss怪-攻击'!$I$18</f>
        <v>232</v>
      </c>
      <c r="I18">
        <f>'[3]Boss怪-攻击'!$J$18</f>
        <v>293</v>
      </c>
      <c r="J18">
        <f>'[3]Boss怪-攻击'!$V$18</f>
        <v>0</v>
      </c>
      <c r="K18">
        <f>'[3]Boss怪-攻击'!$Y$18</f>
        <v>0</v>
      </c>
      <c r="L18">
        <f>'[3]Boss怪-攻击'!$Z$18</f>
        <v>0</v>
      </c>
    </row>
    <row r="19" spans="1:12" x14ac:dyDescent="0.15">
      <c r="A19">
        <v>18</v>
      </c>
      <c r="B19">
        <f>'[3]Boss怪-攻击'!$C$19</f>
        <v>4550</v>
      </c>
      <c r="C19">
        <f t="shared" si="0"/>
        <v>650</v>
      </c>
      <c r="D19">
        <f>'[3]Boss怪-攻击'!$D$19</f>
        <v>1729</v>
      </c>
      <c r="E19">
        <f>'[3]Boss怪-攻击'!$E$19</f>
        <v>782</v>
      </c>
      <c r="F19">
        <f>ROUND('[3]Boss怪-攻击'!$F$19*1000,0)</f>
        <v>125</v>
      </c>
      <c r="G19">
        <f>ROUND('[3]Boss怪-攻击'!$H$19*100,0)</f>
        <v>100</v>
      </c>
      <c r="H19">
        <f>'[3]Boss怪-攻击'!$I$19</f>
        <v>263</v>
      </c>
      <c r="I19">
        <f>'[3]Boss怪-攻击'!$J$19</f>
        <v>346</v>
      </c>
      <c r="J19">
        <f>'[3]Boss怪-攻击'!$V$19</f>
        <v>0</v>
      </c>
      <c r="K19">
        <f>'[3]Boss怪-攻击'!$Y$19</f>
        <v>0</v>
      </c>
      <c r="L19">
        <f>'[3]Boss怪-攻击'!$Z$19</f>
        <v>0</v>
      </c>
    </row>
    <row r="20" spans="1:12" x14ac:dyDescent="0.15">
      <c r="A20">
        <v>19</v>
      </c>
      <c r="B20">
        <f>'[3]Boss怪-攻击'!$C$20</f>
        <v>5500</v>
      </c>
      <c r="C20">
        <f t="shared" si="0"/>
        <v>950</v>
      </c>
      <c r="D20">
        <f>'[3]Boss怪-攻击'!$D$20</f>
        <v>2555</v>
      </c>
      <c r="E20">
        <f>'[3]Boss怪-攻击'!$E$20</f>
        <v>885</v>
      </c>
      <c r="F20">
        <f>ROUND('[3]Boss怪-攻击'!$F$20*1000,0)</f>
        <v>130</v>
      </c>
      <c r="G20">
        <f>ROUND('[3]Boss怪-攻击'!$H$20*100,0)</f>
        <v>100</v>
      </c>
      <c r="H20">
        <f>'[3]Boss怪-攻击'!$I$20</f>
        <v>298</v>
      </c>
      <c r="I20">
        <f>'[3]Boss怪-攻击'!$J$20</f>
        <v>511</v>
      </c>
      <c r="J20">
        <f>'[3]Boss怪-攻击'!$V$20</f>
        <v>0</v>
      </c>
      <c r="K20">
        <f>'[3]Boss怪-攻击'!$Y$20</f>
        <v>0</v>
      </c>
      <c r="L20">
        <f>'[3]Boss怪-攻击'!$Z$20</f>
        <v>0</v>
      </c>
    </row>
    <row r="21" spans="1:12" x14ac:dyDescent="0.15">
      <c r="A21">
        <v>20</v>
      </c>
      <c r="B21">
        <f>'[3]Boss怪-攻击'!$C$21</f>
        <v>6600</v>
      </c>
      <c r="C21">
        <f t="shared" si="0"/>
        <v>1100</v>
      </c>
      <c r="D21">
        <f>'[3]Boss怪-攻击'!$D$21</f>
        <v>3109</v>
      </c>
      <c r="E21">
        <f>'[3]Boss怪-攻击'!$E$21</f>
        <v>1100</v>
      </c>
      <c r="F21">
        <f>ROUND('[3]Boss怪-攻击'!$F$21*1000,0)</f>
        <v>180</v>
      </c>
      <c r="G21">
        <f>ROUND('[3]Boss怪-攻击'!$H$21*100,0)</f>
        <v>100</v>
      </c>
      <c r="H21">
        <f>'[3]Boss怪-攻击'!$I$21</f>
        <v>337</v>
      </c>
      <c r="I21">
        <f>'[3]Boss怪-攻击'!$J$21</f>
        <v>622</v>
      </c>
      <c r="J21">
        <f>'[3]Boss怪-攻击'!$V$21</f>
        <v>0</v>
      </c>
      <c r="K21">
        <f>'[3]Boss怪-攻击'!$Y$21</f>
        <v>0</v>
      </c>
      <c r="L21">
        <f>'[3]Boss怪-攻击'!$Z$21</f>
        <v>0</v>
      </c>
    </row>
    <row r="22" spans="1:12" x14ac:dyDescent="0.15">
      <c r="A22">
        <v>21</v>
      </c>
      <c r="B22">
        <f>'[3]Boss怪-攻击'!$C$22</f>
        <v>9450</v>
      </c>
      <c r="C22">
        <f t="shared" si="0"/>
        <v>2850</v>
      </c>
      <c r="D22">
        <f>'[3]Boss怪-攻击'!$D$22</f>
        <v>4298</v>
      </c>
      <c r="E22">
        <f>'[3]Boss怪-攻击'!$E$22</f>
        <v>1401</v>
      </c>
      <c r="F22">
        <f>ROUND('[3]Boss怪-攻击'!$F$22*1000,0)</f>
        <v>180</v>
      </c>
      <c r="G22">
        <f>ROUND('[3]Boss怪-攻击'!$H$22*100,0)</f>
        <v>100</v>
      </c>
      <c r="H22">
        <f>'[3]Boss怪-攻击'!$I$22</f>
        <v>396</v>
      </c>
      <c r="I22">
        <f>'[3]Boss怪-攻击'!$J$22</f>
        <v>860</v>
      </c>
      <c r="J22">
        <f>'[3]Boss怪-攻击'!$V$22</f>
        <v>0</v>
      </c>
      <c r="K22">
        <f>'[3]Boss怪-攻击'!$Y$22</f>
        <v>0</v>
      </c>
      <c r="L22">
        <f>'[3]Boss怪-攻击'!$Z$22</f>
        <v>0</v>
      </c>
    </row>
    <row r="23" spans="1:12" x14ac:dyDescent="0.15">
      <c r="A23">
        <v>22</v>
      </c>
      <c r="B23">
        <f>'[3]Boss怪-攻击'!$C$23</f>
        <v>12800</v>
      </c>
      <c r="C23">
        <f t="shared" si="0"/>
        <v>3350</v>
      </c>
      <c r="D23">
        <f>'[3]Boss怪-攻击'!$D$23</f>
        <v>6802</v>
      </c>
      <c r="E23">
        <f>'[3]Boss怪-攻击'!$E$23</f>
        <v>1822</v>
      </c>
      <c r="F23">
        <f>ROUND('[3]Boss怪-攻击'!$F$23*1000,0)</f>
        <v>180</v>
      </c>
      <c r="G23">
        <f>ROUND('[3]Boss怪-攻击'!$H$23*100,0)</f>
        <v>100</v>
      </c>
      <c r="H23">
        <f>'[3]Boss怪-攻击'!$I$23</f>
        <v>485</v>
      </c>
      <c r="I23">
        <f>'[3]Boss怪-攻击'!$J$23</f>
        <v>1360</v>
      </c>
      <c r="J23">
        <f>'[3]Boss怪-攻击'!$V$23</f>
        <v>0</v>
      </c>
      <c r="K23">
        <f>'[3]Boss怪-攻击'!$Y$23</f>
        <v>0</v>
      </c>
      <c r="L23">
        <f>'[3]Boss怪-攻击'!$Z$23</f>
        <v>0</v>
      </c>
    </row>
    <row r="24" spans="1:12" x14ac:dyDescent="0.15">
      <c r="A24">
        <v>23</v>
      </c>
      <c r="B24">
        <f>'[3]Boss怪-攻击'!$C$24</f>
        <v>17400</v>
      </c>
      <c r="C24">
        <f t="shared" si="0"/>
        <v>4600</v>
      </c>
      <c r="D24">
        <f>'[3]Boss怪-攻击'!$D$24</f>
        <v>9332</v>
      </c>
      <c r="E24">
        <f>'[3]Boss怪-攻击'!$E$24</f>
        <v>2411</v>
      </c>
      <c r="F24">
        <f>ROUND('[3]Boss怪-攻击'!$F$24*1000,0)</f>
        <v>200</v>
      </c>
      <c r="G24">
        <f>ROUND('[3]Boss怪-攻击'!$H$24*100,0)</f>
        <v>100</v>
      </c>
      <c r="H24">
        <f>'[3]Boss怪-攻击'!$I$24</f>
        <v>619</v>
      </c>
      <c r="I24">
        <f>'[3]Boss怪-攻击'!$J$24</f>
        <v>1866</v>
      </c>
      <c r="J24">
        <f>'[3]Boss怪-攻击'!$V$24</f>
        <v>0</v>
      </c>
      <c r="K24">
        <f>'[3]Boss怪-攻击'!$Y$24</f>
        <v>0</v>
      </c>
      <c r="L24">
        <f>'[3]Boss怪-攻击'!$Z$24</f>
        <v>0</v>
      </c>
    </row>
    <row r="25" spans="1:12" x14ac:dyDescent="0.15">
      <c r="A25">
        <v>24</v>
      </c>
      <c r="B25">
        <f>'[3]Boss怪-攻击'!$C$25</f>
        <v>23250</v>
      </c>
      <c r="C25">
        <f t="shared" si="0"/>
        <v>5850</v>
      </c>
      <c r="D25">
        <f>'[3]Boss怪-攻击'!$D$25</f>
        <v>12455</v>
      </c>
      <c r="E25">
        <f>'[3]Boss怪-攻击'!$E$25</f>
        <v>3236</v>
      </c>
      <c r="F25">
        <f>ROUND('[3]Boss怪-攻击'!$F$25*1000,0)</f>
        <v>200</v>
      </c>
      <c r="G25">
        <f>ROUND('[3]Boss怪-攻击'!$H$25*100,0)</f>
        <v>100</v>
      </c>
      <c r="H25">
        <f>'[3]Boss怪-攻击'!$I$25</f>
        <v>820</v>
      </c>
      <c r="I25">
        <f>'[3]Boss怪-攻击'!$J$25</f>
        <v>2491</v>
      </c>
      <c r="J25">
        <f>'[3]Boss怪-攻击'!$V$25</f>
        <v>0</v>
      </c>
      <c r="K25">
        <f>'[3]Boss怪-攻击'!$Y$25</f>
        <v>0</v>
      </c>
      <c r="L25">
        <f>'[3]Boss怪-攻击'!$Z$25</f>
        <v>0</v>
      </c>
    </row>
    <row r="26" spans="1:12" x14ac:dyDescent="0.15">
      <c r="A26">
        <v>25</v>
      </c>
      <c r="B26">
        <f>'[3]Boss怪-攻击'!$C$26</f>
        <v>30750</v>
      </c>
      <c r="C26">
        <f t="shared" si="0"/>
        <v>7500</v>
      </c>
      <c r="D26">
        <f>'[3]Boss怪-攻击'!$D$26</f>
        <v>16251</v>
      </c>
      <c r="E26">
        <f>'[3]Boss怪-攻击'!$E$26</f>
        <v>4391</v>
      </c>
      <c r="F26">
        <f>ROUND('[3]Boss怪-攻击'!$F$26*1000,0)</f>
        <v>200</v>
      </c>
      <c r="G26">
        <f>ROUND('[3]Boss怪-攻击'!$H$26*100,0)</f>
        <v>100</v>
      </c>
      <c r="H26">
        <f>'[3]Boss怪-攻击'!$I$26</f>
        <v>1122</v>
      </c>
      <c r="I26">
        <f>'[3]Boss怪-攻击'!$J$26</f>
        <v>3250</v>
      </c>
      <c r="J26">
        <f>'[3]Boss怪-攻击'!$V$26</f>
        <v>0</v>
      </c>
      <c r="K26">
        <f>'[3]Boss怪-攻击'!$Y$26</f>
        <v>0</v>
      </c>
      <c r="L26">
        <f>'[3]Boss怪-攻击'!$Z$26</f>
        <v>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-0.499984740745262"/>
  </sheetPr>
  <dimension ref="A1:L26"/>
  <sheetViews>
    <sheetView workbookViewId="0">
      <selection activeCell="J13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'[3]Boss怪-回复'!$C$2</f>
        <v>50</v>
      </c>
      <c r="C2">
        <f>B2-0</f>
        <v>50</v>
      </c>
      <c r="D2">
        <f>'[3]Boss怪-回复'!$D$2</f>
        <v>41</v>
      </c>
      <c r="E2">
        <f>'[3]Boss怪-回复'!$E$2</f>
        <v>7</v>
      </c>
      <c r="F2">
        <f>ROUND('[3]Boss怪-回复'!$F$2 *1000,0)</f>
        <v>100</v>
      </c>
      <c r="G2">
        <f>ROUND('[3]Boss怪-回复'!$H$2 *100,0)</f>
        <v>100</v>
      </c>
      <c r="H2">
        <f>'[3]Boss怪-回复'!$I$2</f>
        <v>6</v>
      </c>
      <c r="I2">
        <f>'[3]Boss怪-回复'!$J$2</f>
        <v>21</v>
      </c>
      <c r="J2">
        <f>'[3]Boss怪-回复'!$V$2</f>
        <v>0</v>
      </c>
      <c r="K2">
        <f>'[3]Boss怪-回复'!$Y$2</f>
        <v>0</v>
      </c>
      <c r="L2">
        <f>'[3]Boss怪-回复'!$Z$2</f>
        <v>0</v>
      </c>
    </row>
    <row r="3" spans="1:12" x14ac:dyDescent="0.15">
      <c r="A3">
        <v>2</v>
      </c>
      <c r="B3">
        <f>'[3]Boss怪-回复'!$C$3</f>
        <v>100</v>
      </c>
      <c r="C3">
        <f>B3-B2</f>
        <v>50</v>
      </c>
      <c r="D3">
        <f>'[3]Boss怪-回复'!$D$3</f>
        <v>45</v>
      </c>
      <c r="E3">
        <f>'[3]Boss怪-回复'!$E$3</f>
        <v>13</v>
      </c>
      <c r="F3">
        <f>ROUND('[3]Boss怪-回复'!$F$3 *1000,0)</f>
        <v>100</v>
      </c>
      <c r="G3">
        <f>ROUND('[3]Boss怪-回复'!$H$3 *100,0)</f>
        <v>100</v>
      </c>
      <c r="H3">
        <f>'[3]Boss怪-回复'!$I$3</f>
        <v>12</v>
      </c>
      <c r="I3">
        <f>'[3]Boss怪-回复'!$J$3</f>
        <v>23</v>
      </c>
      <c r="J3">
        <f>'[3]Boss怪-回复'!$V$3</f>
        <v>0</v>
      </c>
      <c r="K3">
        <f>'[3]Boss怪-回复'!$Y$3</f>
        <v>0</v>
      </c>
      <c r="L3">
        <f>'[3]Boss怪-回复'!$Z$3</f>
        <v>0</v>
      </c>
    </row>
    <row r="4" spans="1:12" x14ac:dyDescent="0.15">
      <c r="A4">
        <v>3</v>
      </c>
      <c r="B4">
        <f>'[3]Boss怪-回复'!$C$4</f>
        <v>150</v>
      </c>
      <c r="C4">
        <f t="shared" ref="C4:C26" si="0">B4-B3</f>
        <v>50</v>
      </c>
      <c r="D4">
        <f>'[3]Boss怪-回复'!$D$4</f>
        <v>48</v>
      </c>
      <c r="E4">
        <f>'[3]Boss怪-回复'!$E$4</f>
        <v>21</v>
      </c>
      <c r="F4">
        <f>ROUND('[3]Boss怪-回复'!$F$4 *1000,0)</f>
        <v>100</v>
      </c>
      <c r="G4">
        <f>ROUND('[3]Boss怪-回复'!$H$4 *100,0)</f>
        <v>100</v>
      </c>
      <c r="H4">
        <f>'[3]Boss怪-回复'!$I$4</f>
        <v>17</v>
      </c>
      <c r="I4">
        <f>'[3]Boss怪-回复'!$J$4</f>
        <v>24</v>
      </c>
      <c r="J4">
        <f>'[3]Boss怪-回复'!$V$4</f>
        <v>0</v>
      </c>
      <c r="K4">
        <f>'[3]Boss怪-回复'!$Y$4</f>
        <v>0</v>
      </c>
      <c r="L4">
        <f>'[3]Boss怪-回复'!$Z$4</f>
        <v>0</v>
      </c>
    </row>
    <row r="5" spans="1:12" x14ac:dyDescent="0.15">
      <c r="A5">
        <v>4</v>
      </c>
      <c r="B5">
        <f>'[3]Boss怪-回复'!$C$5</f>
        <v>250</v>
      </c>
      <c r="C5">
        <f t="shared" si="0"/>
        <v>100</v>
      </c>
      <c r="D5">
        <f>'[3]Boss怪-回复'!$D$5</f>
        <v>63</v>
      </c>
      <c r="E5">
        <f>'[3]Boss怪-回复'!$E$5</f>
        <v>30</v>
      </c>
      <c r="F5">
        <f>ROUND('[3]Boss怪-回复'!$F$5 *1000,0)</f>
        <v>100</v>
      </c>
      <c r="G5">
        <f>ROUND('[3]Boss怪-回复'!$H$5 *100,0)</f>
        <v>100</v>
      </c>
      <c r="H5">
        <f>'[3]Boss怪-回复'!$I$5</f>
        <v>27</v>
      </c>
      <c r="I5">
        <f>'[3]Boss怪-回复'!$J$5</f>
        <v>32</v>
      </c>
      <c r="J5">
        <f>'[3]Boss怪-回复'!$V$5</f>
        <v>0</v>
      </c>
      <c r="K5">
        <f>'[3]Boss怪-回复'!$Y$5</f>
        <v>0</v>
      </c>
      <c r="L5">
        <f>'[3]Boss怪-回复'!$Z$5</f>
        <v>0</v>
      </c>
    </row>
    <row r="6" spans="1:12" x14ac:dyDescent="0.15">
      <c r="A6">
        <v>5</v>
      </c>
      <c r="B6">
        <f>'[3]Boss怪-回复'!$C$6</f>
        <v>350</v>
      </c>
      <c r="C6">
        <f t="shared" si="0"/>
        <v>100</v>
      </c>
      <c r="D6">
        <f>'[3]Boss怪-回复'!$D$6</f>
        <v>75</v>
      </c>
      <c r="E6">
        <f>'[3]Boss怪-回复'!$E$6</f>
        <v>42</v>
      </c>
      <c r="F6">
        <f>ROUND('[3]Boss怪-回复'!$F$6 *1000,0)</f>
        <v>100</v>
      </c>
      <c r="G6">
        <f>ROUND('[3]Boss怪-回复'!$H$6 *100,0)</f>
        <v>100</v>
      </c>
      <c r="H6">
        <f>'[3]Boss怪-回复'!$I$6</f>
        <v>36</v>
      </c>
      <c r="I6">
        <f>'[3]Boss怪-回复'!$J$6</f>
        <v>38</v>
      </c>
      <c r="J6">
        <f>'[3]Boss怪-回复'!$V$6</f>
        <v>0</v>
      </c>
      <c r="K6">
        <f>'[3]Boss怪-回复'!$Y$6</f>
        <v>0</v>
      </c>
      <c r="L6">
        <f>'[3]Boss怪-回复'!$Z$6</f>
        <v>0</v>
      </c>
    </row>
    <row r="7" spans="1:12" x14ac:dyDescent="0.15">
      <c r="A7">
        <v>6</v>
      </c>
      <c r="B7">
        <f>'[3]Boss怪-回复'!$C$7</f>
        <v>500</v>
      </c>
      <c r="C7">
        <f t="shared" si="0"/>
        <v>150</v>
      </c>
      <c r="D7">
        <f>'[3]Boss怪-回复'!$D$7</f>
        <v>87</v>
      </c>
      <c r="E7">
        <f>'[3]Boss怪-回复'!$E$7</f>
        <v>68</v>
      </c>
      <c r="F7">
        <f>ROUND('[3]Boss怪-回复'!$F$7 *1000,0)</f>
        <v>100</v>
      </c>
      <c r="G7">
        <f>ROUND('[3]Boss怪-回复'!$H$7 *100,0)</f>
        <v>100</v>
      </c>
      <c r="H7">
        <f>'[3]Boss怪-回复'!$I$7</f>
        <v>46</v>
      </c>
      <c r="I7">
        <f>'[3]Boss怪-回复'!$J$7</f>
        <v>44</v>
      </c>
      <c r="J7">
        <f>'[3]Boss怪-回复'!$V$7</f>
        <v>0</v>
      </c>
      <c r="K7">
        <f>'[3]Boss怪-回复'!$Y$7</f>
        <v>0</v>
      </c>
      <c r="L7">
        <f>'[3]Boss怪-回复'!$Z$7</f>
        <v>0</v>
      </c>
    </row>
    <row r="8" spans="1:12" x14ac:dyDescent="0.15">
      <c r="A8">
        <v>7</v>
      </c>
      <c r="B8">
        <f>'[3]Boss怪-回复'!$C$8</f>
        <v>650</v>
      </c>
      <c r="C8">
        <f t="shared" si="0"/>
        <v>150</v>
      </c>
      <c r="D8">
        <f>'[3]Boss怪-回复'!$D$8</f>
        <v>111</v>
      </c>
      <c r="E8">
        <f>'[3]Boss怪-回复'!$E$8</f>
        <v>84</v>
      </c>
      <c r="F8">
        <f>ROUND('[3]Boss怪-回复'!$F$8 *1000,0)</f>
        <v>101</v>
      </c>
      <c r="G8">
        <f>ROUND('[3]Boss怪-回复'!$H$8 *100,0)</f>
        <v>100</v>
      </c>
      <c r="H8">
        <f>'[3]Boss怪-回复'!$I$8</f>
        <v>57</v>
      </c>
      <c r="I8">
        <f>'[3]Boss怪-回复'!$J$8</f>
        <v>56</v>
      </c>
      <c r="J8">
        <f>'[3]Boss怪-回复'!$V$8</f>
        <v>0</v>
      </c>
      <c r="K8">
        <f>'[3]Boss怪-回复'!$Y$8</f>
        <v>0</v>
      </c>
      <c r="L8">
        <f>'[3]Boss怪-回复'!$Z$8</f>
        <v>0</v>
      </c>
    </row>
    <row r="9" spans="1:12" x14ac:dyDescent="0.15">
      <c r="A9">
        <v>8</v>
      </c>
      <c r="B9">
        <f>'[3]Boss怪-回复'!$C$9</f>
        <v>850</v>
      </c>
      <c r="C9">
        <f t="shared" si="0"/>
        <v>200</v>
      </c>
      <c r="D9">
        <f>'[3]Boss怪-回复'!$D$9</f>
        <v>190</v>
      </c>
      <c r="E9">
        <f>'[3]Boss怪-回复'!$E$9</f>
        <v>110</v>
      </c>
      <c r="F9">
        <f>ROUND('[3]Boss怪-回复'!$F$9 *1000,0)</f>
        <v>101</v>
      </c>
      <c r="G9">
        <f>ROUND('[3]Boss怪-回复'!$H$9 *100,0)</f>
        <v>100</v>
      </c>
      <c r="H9">
        <f>'[3]Boss怪-回复'!$I$9</f>
        <v>69</v>
      </c>
      <c r="I9">
        <f>'[3]Boss怪-回复'!$J$9</f>
        <v>95</v>
      </c>
      <c r="J9">
        <f>'[3]Boss怪-回复'!$V$9</f>
        <v>0</v>
      </c>
      <c r="K9">
        <f>'[3]Boss怪-回复'!$Y$9</f>
        <v>0</v>
      </c>
      <c r="L9">
        <f>'[3]Boss怪-回复'!$Z$9</f>
        <v>0</v>
      </c>
    </row>
    <row r="10" spans="1:12" x14ac:dyDescent="0.15">
      <c r="A10">
        <v>9</v>
      </c>
      <c r="B10">
        <f>'[3]Boss怪-回复'!$C$10</f>
        <v>1050</v>
      </c>
      <c r="C10">
        <f t="shared" si="0"/>
        <v>200</v>
      </c>
      <c r="D10">
        <f>'[3]Boss怪-回复'!$D$10</f>
        <v>214</v>
      </c>
      <c r="E10">
        <f>'[3]Boss怪-回复'!$E$10</f>
        <v>147</v>
      </c>
      <c r="F10">
        <f>ROUND('[3]Boss怪-回复'!$F$10*1000,0)</f>
        <v>101</v>
      </c>
      <c r="G10">
        <f>ROUND('[3]Boss怪-回复'!$H$10*100,0)</f>
        <v>100</v>
      </c>
      <c r="H10">
        <f>'[3]Boss怪-回复'!$I$10</f>
        <v>82</v>
      </c>
      <c r="I10">
        <f>'[3]Boss怪-回复'!$J$10</f>
        <v>107</v>
      </c>
      <c r="J10">
        <f>'[3]Boss怪-回复'!$V$10</f>
        <v>0</v>
      </c>
      <c r="K10">
        <f>'[3]Boss怪-回复'!$Y$10</f>
        <v>0</v>
      </c>
      <c r="L10">
        <f>'[3]Boss怪-回复'!$Z$10</f>
        <v>0</v>
      </c>
    </row>
    <row r="11" spans="1:12" x14ac:dyDescent="0.15">
      <c r="A11">
        <v>10</v>
      </c>
      <c r="B11">
        <f>'[3]Boss怪-回复'!$C$11</f>
        <v>1250</v>
      </c>
      <c r="C11">
        <f t="shared" si="0"/>
        <v>200</v>
      </c>
      <c r="D11">
        <f>'[3]Boss怪-回复'!$D$11</f>
        <v>240</v>
      </c>
      <c r="E11">
        <f>'[3]Boss怪-回复'!$E$11</f>
        <v>182</v>
      </c>
      <c r="F11">
        <f>ROUND('[3]Boss怪-回复'!$F$11*1000,0)</f>
        <v>101</v>
      </c>
      <c r="G11">
        <f>ROUND('[3]Boss怪-回复'!$H$11*100,0)</f>
        <v>100</v>
      </c>
      <c r="H11">
        <f>'[3]Boss怪-回复'!$I$11</f>
        <v>96</v>
      </c>
      <c r="I11">
        <f>'[3]Boss怪-回复'!$J$11</f>
        <v>120</v>
      </c>
      <c r="J11">
        <f>'[3]Boss怪-回复'!$V$11</f>
        <v>0</v>
      </c>
      <c r="K11">
        <f>'[3]Boss怪-回复'!$Y$11</f>
        <v>0</v>
      </c>
      <c r="L11">
        <f>'[3]Boss怪-回复'!$Z$11</f>
        <v>0</v>
      </c>
    </row>
    <row r="12" spans="1:12" x14ac:dyDescent="0.15">
      <c r="A12">
        <v>11</v>
      </c>
      <c r="B12">
        <f>'[3]Boss怪-回复'!$C$12</f>
        <v>1500</v>
      </c>
      <c r="C12">
        <f t="shared" si="0"/>
        <v>250</v>
      </c>
      <c r="D12">
        <f>'[3]Boss怪-回复'!$D$12</f>
        <v>373</v>
      </c>
      <c r="E12">
        <f>'[3]Boss怪-回复'!$E$12</f>
        <v>214</v>
      </c>
      <c r="F12">
        <f>ROUND('[3]Boss怪-回复'!$F$12*1000,0)</f>
        <v>101</v>
      </c>
      <c r="G12">
        <f>ROUND('[3]Boss怪-回复'!$H$12*100,0)</f>
        <v>100</v>
      </c>
      <c r="H12">
        <f>'[3]Boss怪-回复'!$I$12</f>
        <v>112</v>
      </c>
      <c r="I12">
        <f>'[3]Boss怪-回复'!$J$12</f>
        <v>187</v>
      </c>
      <c r="J12">
        <f>'[3]Boss怪-回复'!$V$12</f>
        <v>0</v>
      </c>
      <c r="K12">
        <f>'[3]Boss怪-回复'!$Y$12</f>
        <v>0</v>
      </c>
      <c r="L12">
        <f>'[3]Boss怪-回复'!$Z$12</f>
        <v>0</v>
      </c>
    </row>
    <row r="13" spans="1:12" x14ac:dyDescent="0.15">
      <c r="A13">
        <v>12</v>
      </c>
      <c r="B13">
        <f>'[3]Boss怪-回复'!$C$13</f>
        <v>1750</v>
      </c>
      <c r="C13">
        <f t="shared" si="0"/>
        <v>250</v>
      </c>
      <c r="D13">
        <f>'[3]Boss怪-回复'!$D$13</f>
        <v>427</v>
      </c>
      <c r="E13">
        <f>'[3]Boss怪-回复'!$E$13</f>
        <v>250</v>
      </c>
      <c r="F13">
        <f>ROUND('[3]Boss怪-回复'!$F$13*1000,0)</f>
        <v>102</v>
      </c>
      <c r="G13">
        <f>ROUND('[3]Boss怪-回复'!$H$13*100,0)</f>
        <v>100</v>
      </c>
      <c r="H13">
        <f>'[3]Boss怪-回复'!$I$13</f>
        <v>130</v>
      </c>
      <c r="I13">
        <f>'[3]Boss怪-回复'!$J$13</f>
        <v>214</v>
      </c>
      <c r="J13">
        <f>'[3]Boss怪-回复'!$V$13</f>
        <v>0</v>
      </c>
      <c r="K13">
        <f>'[3]Boss怪-回复'!$Y$13</f>
        <v>0</v>
      </c>
      <c r="L13">
        <f>'[3]Boss怪-回复'!$Z$13</f>
        <v>0</v>
      </c>
    </row>
    <row r="14" spans="1:12" x14ac:dyDescent="0.15">
      <c r="A14">
        <v>13</v>
      </c>
      <c r="B14">
        <f>'[3]Boss怪-回复'!$C$14</f>
        <v>2050</v>
      </c>
      <c r="C14">
        <f t="shared" si="0"/>
        <v>300</v>
      </c>
      <c r="D14">
        <f>'[3]Boss怪-回复'!$D$14</f>
        <v>499</v>
      </c>
      <c r="E14">
        <f>'[3]Boss怪-回复'!$E$14</f>
        <v>290</v>
      </c>
      <c r="F14">
        <f>ROUND('[3]Boss怪-回复'!$F$14*1000,0)</f>
        <v>102</v>
      </c>
      <c r="G14">
        <f>ROUND('[3]Boss怪-回复'!$H$14*100,0)</f>
        <v>100</v>
      </c>
      <c r="H14">
        <f>'[3]Boss怪-回复'!$I$14</f>
        <v>150</v>
      </c>
      <c r="I14">
        <f>'[3]Boss怪-回复'!$J$14</f>
        <v>250</v>
      </c>
      <c r="J14">
        <f>'[3]Boss怪-回复'!$V$14</f>
        <v>0</v>
      </c>
      <c r="K14">
        <f>'[3]Boss怪-回复'!$Y$14</f>
        <v>0</v>
      </c>
      <c r="L14">
        <f>'[3]Boss怪-回复'!$Z$14</f>
        <v>0</v>
      </c>
    </row>
    <row r="15" spans="1:12" x14ac:dyDescent="0.15">
      <c r="A15">
        <v>14</v>
      </c>
      <c r="B15">
        <f>'[3]Boss怪-回复'!$C$15</f>
        <v>2400</v>
      </c>
      <c r="C15">
        <f t="shared" si="0"/>
        <v>350</v>
      </c>
      <c r="D15">
        <f>'[3]Boss怪-回复'!$D$15</f>
        <v>719</v>
      </c>
      <c r="E15">
        <f>'[3]Boss怪-回复'!$E$15</f>
        <v>334</v>
      </c>
      <c r="F15">
        <f>ROUND('[3]Boss怪-回复'!$F$15*1000,0)</f>
        <v>102</v>
      </c>
      <c r="G15">
        <f>ROUND('[3]Boss怪-回复'!$H$15*100,0)</f>
        <v>100</v>
      </c>
      <c r="H15">
        <f>'[3]Boss怪-回复'!$I$15</f>
        <v>172</v>
      </c>
      <c r="I15">
        <f>'[3]Boss怪-回复'!$J$15</f>
        <v>360</v>
      </c>
      <c r="J15">
        <f>'[3]Boss怪-回复'!$V$15</f>
        <v>0</v>
      </c>
      <c r="K15">
        <f>'[3]Boss怪-回复'!$Y$15</f>
        <v>0</v>
      </c>
      <c r="L15">
        <f>'[3]Boss怪-回复'!$Z$15</f>
        <v>0</v>
      </c>
    </row>
    <row r="16" spans="1:12" x14ac:dyDescent="0.15">
      <c r="A16">
        <v>15</v>
      </c>
      <c r="B16">
        <f>'[3]Boss怪-回复'!$C$16</f>
        <v>2850</v>
      </c>
      <c r="C16">
        <f t="shared" si="0"/>
        <v>450</v>
      </c>
      <c r="D16">
        <f>'[3]Boss怪-回复'!$D$16</f>
        <v>871</v>
      </c>
      <c r="E16">
        <f>'[3]Boss怪-回复'!$E$16</f>
        <v>383</v>
      </c>
      <c r="F16">
        <f>ROUND('[3]Boss怪-回复'!$F$16*1000,0)</f>
        <v>103</v>
      </c>
      <c r="G16">
        <f>ROUND('[3]Boss怪-回复'!$H$16*100,0)</f>
        <v>100</v>
      </c>
      <c r="H16">
        <f>'[3]Boss怪-回复'!$I$16</f>
        <v>197</v>
      </c>
      <c r="I16">
        <f>'[3]Boss怪-回复'!$J$16</f>
        <v>436</v>
      </c>
      <c r="J16">
        <f>'[3]Boss怪-回复'!$V$16</f>
        <v>0</v>
      </c>
      <c r="K16">
        <f>'[3]Boss怪-回复'!$Y$16</f>
        <v>0</v>
      </c>
      <c r="L16">
        <f>'[3]Boss怪-回复'!$Z$16</f>
        <v>0</v>
      </c>
    </row>
    <row r="17" spans="1:12" x14ac:dyDescent="0.15">
      <c r="A17">
        <v>16</v>
      </c>
      <c r="B17">
        <f>'[3]Boss怪-回复'!$C$17</f>
        <v>3350</v>
      </c>
      <c r="C17">
        <f t="shared" si="0"/>
        <v>500</v>
      </c>
      <c r="D17">
        <f>'[3]Boss怪-回复'!$D$17</f>
        <v>1221</v>
      </c>
      <c r="E17">
        <f>'[3]Boss怪-回复'!$E$17</f>
        <v>437</v>
      </c>
      <c r="F17">
        <f>ROUND('[3]Boss怪-回复'!$F$17*1000,0)</f>
        <v>103</v>
      </c>
      <c r="G17">
        <f>ROUND('[3]Boss怪-回复'!$H$17*100,0)</f>
        <v>100</v>
      </c>
      <c r="H17">
        <f>'[3]Boss怪-回复'!$I$17</f>
        <v>225</v>
      </c>
      <c r="I17">
        <f>'[3]Boss怪-回复'!$J$17</f>
        <v>611</v>
      </c>
      <c r="J17">
        <f>'[3]Boss怪-回复'!$V$17</f>
        <v>0</v>
      </c>
      <c r="K17">
        <f>'[3]Boss怪-回复'!$Y$17</f>
        <v>0</v>
      </c>
      <c r="L17">
        <f>'[3]Boss怪-回复'!$Z$17</f>
        <v>0</v>
      </c>
    </row>
    <row r="18" spans="1:12" x14ac:dyDescent="0.15">
      <c r="A18">
        <v>17</v>
      </c>
      <c r="B18">
        <f>'[3]Boss怪-回复'!$C$18</f>
        <v>3900</v>
      </c>
      <c r="C18">
        <f t="shared" si="0"/>
        <v>550</v>
      </c>
      <c r="D18">
        <f>'[3]Boss怪-回复'!$D$18</f>
        <v>1435</v>
      </c>
      <c r="E18">
        <f>'[3]Boss怪-回复'!$E$18</f>
        <v>497</v>
      </c>
      <c r="F18">
        <f>ROUND('[3]Boss怪-回复'!$F$18*1000,0)</f>
        <v>104</v>
      </c>
      <c r="G18">
        <f>ROUND('[3]Boss怪-回复'!$H$18*100,0)</f>
        <v>100</v>
      </c>
      <c r="H18">
        <f>'[3]Boss怪-回复'!$I$18</f>
        <v>256</v>
      </c>
      <c r="I18">
        <f>'[3]Boss怪-回复'!$J$18</f>
        <v>718</v>
      </c>
      <c r="J18">
        <f>'[3]Boss怪-回复'!$V$18</f>
        <v>0</v>
      </c>
      <c r="K18">
        <f>'[3]Boss怪-回复'!$Y$18</f>
        <v>0</v>
      </c>
      <c r="L18">
        <f>'[3]Boss怪-回复'!$Z$18</f>
        <v>0</v>
      </c>
    </row>
    <row r="19" spans="1:12" x14ac:dyDescent="0.15">
      <c r="A19">
        <v>18</v>
      </c>
      <c r="B19">
        <f>'[3]Boss怪-回复'!$C$19</f>
        <v>4550</v>
      </c>
      <c r="C19">
        <f t="shared" si="0"/>
        <v>650</v>
      </c>
      <c r="D19">
        <f>'[3]Boss怪-回复'!$D$19</f>
        <v>1695</v>
      </c>
      <c r="E19">
        <f>'[3]Boss怪-回复'!$E$19</f>
        <v>564</v>
      </c>
      <c r="F19">
        <f>ROUND('[3]Boss怪-回复'!$F$19*1000,0)</f>
        <v>105</v>
      </c>
      <c r="G19">
        <f>ROUND('[3]Boss怪-回复'!$H$19*100,0)</f>
        <v>100</v>
      </c>
      <c r="H19">
        <f>'[3]Boss怪-回复'!$I$19</f>
        <v>290</v>
      </c>
      <c r="I19">
        <f>'[3]Boss怪-回复'!$J$19</f>
        <v>848</v>
      </c>
      <c r="J19">
        <f>'[3]Boss怪-回复'!$V$19</f>
        <v>0</v>
      </c>
      <c r="K19">
        <f>'[3]Boss怪-回复'!$Y$19</f>
        <v>0</v>
      </c>
      <c r="L19">
        <f>'[3]Boss怪-回复'!$Z$19</f>
        <v>0</v>
      </c>
    </row>
    <row r="20" spans="1:12" x14ac:dyDescent="0.15">
      <c r="A20">
        <v>19</v>
      </c>
      <c r="B20">
        <f>'[3]Boss怪-回复'!$C$20</f>
        <v>5500</v>
      </c>
      <c r="C20">
        <f t="shared" si="0"/>
        <v>950</v>
      </c>
      <c r="D20">
        <f>'[3]Boss怪-回复'!$D$20</f>
        <v>2416</v>
      </c>
      <c r="E20">
        <f>'[3]Boss怪-回复'!$E$20</f>
        <v>638</v>
      </c>
      <c r="F20">
        <f>ROUND('[3]Boss怪-回复'!$F$20*1000,0)</f>
        <v>105</v>
      </c>
      <c r="G20">
        <f>ROUND('[3]Boss怪-回复'!$H$20*100,0)</f>
        <v>100</v>
      </c>
      <c r="H20">
        <f>'[3]Boss怪-回复'!$I$20</f>
        <v>328</v>
      </c>
      <c r="I20">
        <f>'[3]Boss怪-回复'!$J$20</f>
        <v>1208</v>
      </c>
      <c r="J20">
        <f>'[3]Boss怪-回复'!$V$20</f>
        <v>0</v>
      </c>
      <c r="K20">
        <f>'[3]Boss怪-回复'!$Y$20</f>
        <v>0</v>
      </c>
      <c r="L20">
        <f>'[3]Boss怪-回复'!$Z$20</f>
        <v>0</v>
      </c>
    </row>
    <row r="21" spans="1:12" x14ac:dyDescent="0.15">
      <c r="A21">
        <v>20</v>
      </c>
      <c r="B21">
        <f>'[3]Boss怪-回复'!$C$21</f>
        <v>6600</v>
      </c>
      <c r="C21">
        <f t="shared" si="0"/>
        <v>1100</v>
      </c>
      <c r="D21">
        <f>'[3]Boss怪-回复'!$D$21</f>
        <v>2981</v>
      </c>
      <c r="E21">
        <f>'[3]Boss怪-回复'!$E$21</f>
        <v>820</v>
      </c>
      <c r="F21">
        <f>ROUND('[3]Boss怪-回复'!$F$21*1000,0)</f>
        <v>107</v>
      </c>
      <c r="G21">
        <f>ROUND('[3]Boss怪-回复'!$H$21*100,0)</f>
        <v>100</v>
      </c>
      <c r="H21">
        <f>'[3]Boss怪-回复'!$I$21</f>
        <v>370</v>
      </c>
      <c r="I21">
        <f>'[3]Boss怪-回复'!$J$21</f>
        <v>1491</v>
      </c>
      <c r="J21">
        <f>'[3]Boss怪-回复'!$V$21</f>
        <v>0</v>
      </c>
      <c r="K21">
        <f>'[3]Boss怪-回复'!$Y$21</f>
        <v>0</v>
      </c>
      <c r="L21">
        <f>'[3]Boss怪-回复'!$Z$21</f>
        <v>0</v>
      </c>
    </row>
    <row r="22" spans="1:12" x14ac:dyDescent="0.15">
      <c r="A22">
        <v>21</v>
      </c>
      <c r="B22">
        <f>'[3]Boss怪-回复'!$C$22</f>
        <v>9450</v>
      </c>
      <c r="C22">
        <f t="shared" si="0"/>
        <v>2850</v>
      </c>
      <c r="D22">
        <f>'[3]Boss怪-回复'!$D$22</f>
        <v>4444</v>
      </c>
      <c r="E22">
        <f>'[3]Boss怪-回复'!$E$22</f>
        <v>764</v>
      </c>
      <c r="F22">
        <f>ROUND('[3]Boss怪-回复'!$F$22*1000,0)</f>
        <v>109</v>
      </c>
      <c r="G22">
        <f>ROUND('[3]Boss怪-回复'!$H$22*100,0)</f>
        <v>100</v>
      </c>
      <c r="H22">
        <f>'[3]Boss怪-回复'!$I$22</f>
        <v>433</v>
      </c>
      <c r="I22">
        <f>'[3]Boss怪-回复'!$J$22</f>
        <v>2222</v>
      </c>
      <c r="J22">
        <f>'[3]Boss怪-回复'!$V$22</f>
        <v>0</v>
      </c>
      <c r="K22">
        <f>'[3]Boss怪-回复'!$Y$22</f>
        <v>0</v>
      </c>
      <c r="L22">
        <f>'[3]Boss怪-回复'!$Z$22</f>
        <v>0</v>
      </c>
    </row>
    <row r="23" spans="1:12" x14ac:dyDescent="0.15">
      <c r="A23">
        <v>22</v>
      </c>
      <c r="B23">
        <f>'[3]Boss怪-回复'!$C$23</f>
        <v>12800</v>
      </c>
      <c r="C23">
        <f t="shared" si="0"/>
        <v>3350</v>
      </c>
      <c r="D23">
        <f>'[3]Boss怪-回复'!$D$23</f>
        <v>6729</v>
      </c>
      <c r="E23">
        <f>'[3]Boss怪-回复'!$E$23</f>
        <v>1032</v>
      </c>
      <c r="F23">
        <f>ROUND('[3]Boss怪-回复'!$F$23*1000,0)</f>
        <v>113</v>
      </c>
      <c r="G23">
        <f>ROUND('[3]Boss怪-回复'!$H$23*100,0)</f>
        <v>100</v>
      </c>
      <c r="H23">
        <f>'[3]Boss怪-回复'!$I$23</f>
        <v>528</v>
      </c>
      <c r="I23">
        <f>'[3]Boss怪-回复'!$J$23</f>
        <v>3365</v>
      </c>
      <c r="J23">
        <f>'[3]Boss怪-回复'!$V$23</f>
        <v>0</v>
      </c>
      <c r="K23">
        <f>'[3]Boss怪-回复'!$Y$23</f>
        <v>0</v>
      </c>
      <c r="L23">
        <f>'[3]Boss怪-回复'!$Z$23</f>
        <v>0</v>
      </c>
    </row>
    <row r="24" spans="1:12" x14ac:dyDescent="0.15">
      <c r="A24">
        <v>23</v>
      </c>
      <c r="B24">
        <f>'[3]Boss怪-回复'!$C$24</f>
        <v>17400</v>
      </c>
      <c r="C24">
        <f t="shared" si="0"/>
        <v>4600</v>
      </c>
      <c r="D24">
        <f>'[3]Boss怪-回复'!$D$24</f>
        <v>9188</v>
      </c>
      <c r="E24">
        <f>'[3]Boss怪-回复'!$E$24</f>
        <v>1400</v>
      </c>
      <c r="F24">
        <f>ROUND('[3]Boss怪-回复'!$F$24*1000,0)</f>
        <v>117</v>
      </c>
      <c r="G24">
        <f>ROUND('[3]Boss怪-回复'!$H$24*100,0)</f>
        <v>100</v>
      </c>
      <c r="H24">
        <f>'[3]Boss怪-回复'!$I$24</f>
        <v>671</v>
      </c>
      <c r="I24">
        <f>'[3]Boss怪-回复'!$J$24</f>
        <v>4594</v>
      </c>
      <c r="J24">
        <f>'[3]Boss怪-回复'!$V$24</f>
        <v>0</v>
      </c>
      <c r="K24">
        <f>'[3]Boss怪-回复'!$Y$24</f>
        <v>0</v>
      </c>
      <c r="L24">
        <f>'[3]Boss怪-回复'!$Z$24</f>
        <v>0</v>
      </c>
    </row>
    <row r="25" spans="1:12" x14ac:dyDescent="0.15">
      <c r="A25">
        <v>24</v>
      </c>
      <c r="B25">
        <f>'[3]Boss怪-回复'!$C$25</f>
        <v>23250</v>
      </c>
      <c r="C25">
        <f t="shared" si="0"/>
        <v>5850</v>
      </c>
      <c r="D25">
        <f>'[3]Boss怪-回复'!$D$25</f>
        <v>12280</v>
      </c>
      <c r="E25">
        <f>'[3]Boss怪-回复'!$E$25</f>
        <v>1868</v>
      </c>
      <c r="F25">
        <f>ROUND('[3]Boss怪-回复'!$F$25*1000,0)</f>
        <v>123</v>
      </c>
      <c r="G25">
        <f>ROUND('[3]Boss怪-回复'!$H$25*100,0)</f>
        <v>100</v>
      </c>
      <c r="H25">
        <f>'[3]Boss怪-回复'!$I$25</f>
        <v>886</v>
      </c>
      <c r="I25">
        <f>'[3]Boss怪-回复'!$J$25</f>
        <v>6140</v>
      </c>
      <c r="J25">
        <f>'[3]Boss怪-回复'!$V$25</f>
        <v>0</v>
      </c>
      <c r="K25">
        <f>'[3]Boss怪-回复'!$Y$25</f>
        <v>0</v>
      </c>
      <c r="L25">
        <f>'[3]Boss怪-回复'!$Z$25</f>
        <v>0</v>
      </c>
    </row>
    <row r="26" spans="1:12" x14ac:dyDescent="0.15">
      <c r="A26">
        <v>25</v>
      </c>
      <c r="B26">
        <f>'[3]Boss怪-回复'!$C$26</f>
        <v>30750</v>
      </c>
      <c r="C26">
        <f t="shared" si="0"/>
        <v>7500</v>
      </c>
      <c r="D26">
        <f>'[3]Boss怪-回复'!$D$26</f>
        <v>16197</v>
      </c>
      <c r="E26">
        <f>'[3]Boss怪-回复'!$E$26</f>
        <v>2468</v>
      </c>
      <c r="F26">
        <f>ROUND('[3]Boss怪-回复'!$F$26*1000,0)</f>
        <v>131</v>
      </c>
      <c r="G26">
        <f>ROUND('[3]Boss怪-回复'!$H$26*100,0)</f>
        <v>100</v>
      </c>
      <c r="H26">
        <f>'[3]Boss怪-回复'!$I$26</f>
        <v>1209</v>
      </c>
      <c r="I26">
        <f>'[3]Boss怪-回复'!$J$26</f>
        <v>8099</v>
      </c>
      <c r="J26">
        <f>'[3]Boss怪-回复'!$V$26</f>
        <v>0</v>
      </c>
      <c r="K26">
        <f>'[3]Boss怪-回复'!$Y$26</f>
        <v>0</v>
      </c>
      <c r="L26">
        <f>'[3]Boss怪-回复'!$Z$26</f>
        <v>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-0.499984740745262"/>
  </sheetPr>
  <dimension ref="A1:L26"/>
  <sheetViews>
    <sheetView topLeftCell="A13" workbookViewId="0">
      <selection activeCell="J13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'[3]Boss怪-敏捷'!$C$2</f>
        <v>50</v>
      </c>
      <c r="C2">
        <f>B2-0</f>
        <v>50</v>
      </c>
      <c r="D2">
        <f>'[3]Boss怪-敏捷'!$D$2</f>
        <v>45</v>
      </c>
      <c r="E2">
        <f>'[3]Boss怪-敏捷'!$E$2</f>
        <v>8</v>
      </c>
      <c r="F2">
        <f>ROUND('[3]Boss怪-敏捷'!$F$2 *1000,0)</f>
        <v>0</v>
      </c>
      <c r="G2">
        <f>ROUND('[3]Boss怪-敏捷'!$H$2 *100,0)</f>
        <v>100</v>
      </c>
      <c r="H2">
        <f>'[3]Boss怪-敏捷'!$I$2</f>
        <v>7</v>
      </c>
      <c r="I2">
        <f>'[3]Boss怪-敏捷'!$J$2</f>
        <v>14</v>
      </c>
      <c r="J2">
        <f>'[3]Boss怪-敏捷'!$V$2</f>
        <v>0</v>
      </c>
      <c r="K2">
        <f>'[3]Boss怪-敏捷'!$Y$2</f>
        <v>0</v>
      </c>
      <c r="L2">
        <f>'[3]Boss怪-敏捷'!$Z$2</f>
        <v>0</v>
      </c>
    </row>
    <row r="3" spans="1:12" x14ac:dyDescent="0.15">
      <c r="A3">
        <v>2</v>
      </c>
      <c r="B3">
        <f>'[3]Boss怪-敏捷'!$C$3</f>
        <v>100</v>
      </c>
      <c r="C3">
        <f>B3-B2</f>
        <v>50</v>
      </c>
      <c r="D3">
        <f>'[3]Boss怪-敏捷'!$D$3</f>
        <v>54</v>
      </c>
      <c r="E3">
        <f>'[3]Boss怪-敏捷'!$E$3</f>
        <v>13</v>
      </c>
      <c r="F3">
        <f>ROUND('[3]Boss怪-敏捷'!$F$3 *1000,0)</f>
        <v>0</v>
      </c>
      <c r="G3">
        <f>ROUND('[3]Boss怪-敏捷'!$H$3 *100,0)</f>
        <v>110</v>
      </c>
      <c r="H3">
        <f>'[3]Boss怪-敏捷'!$I$3</f>
        <v>11</v>
      </c>
      <c r="I3">
        <f>'[3]Boss怪-敏捷'!$J$3</f>
        <v>16</v>
      </c>
      <c r="J3">
        <f>'[3]Boss怪-敏捷'!$V$3</f>
        <v>0</v>
      </c>
      <c r="K3">
        <f>'[3]Boss怪-敏捷'!$Y$3</f>
        <v>0</v>
      </c>
      <c r="L3">
        <f>'[3]Boss怪-敏捷'!$Z$3</f>
        <v>0</v>
      </c>
    </row>
    <row r="4" spans="1:12" x14ac:dyDescent="0.15">
      <c r="A4">
        <v>3</v>
      </c>
      <c r="B4">
        <f>'[3]Boss怪-敏捷'!$C$4</f>
        <v>150</v>
      </c>
      <c r="C4">
        <f t="shared" ref="C4:C26" si="0">B4-B3</f>
        <v>50</v>
      </c>
      <c r="D4">
        <f>'[3]Boss怪-敏捷'!$D$4</f>
        <v>59</v>
      </c>
      <c r="E4">
        <f>'[3]Boss怪-敏捷'!$E$4</f>
        <v>20</v>
      </c>
      <c r="F4">
        <f>ROUND('[3]Boss怪-敏捷'!$F$4 *1000,0)</f>
        <v>3</v>
      </c>
      <c r="G4">
        <f>ROUND('[3]Boss怪-敏捷'!$H$4 *100,0)</f>
        <v>120</v>
      </c>
      <c r="H4">
        <f>'[3]Boss怪-敏捷'!$I$4</f>
        <v>15</v>
      </c>
      <c r="I4">
        <f>'[3]Boss怪-敏捷'!$J$4</f>
        <v>18</v>
      </c>
      <c r="J4">
        <f>'[3]Boss怪-敏捷'!$V$4</f>
        <v>0</v>
      </c>
      <c r="K4">
        <f>'[3]Boss怪-敏捷'!$Y$4</f>
        <v>0</v>
      </c>
      <c r="L4">
        <f>'[3]Boss怪-敏捷'!$Z$4</f>
        <v>0</v>
      </c>
    </row>
    <row r="5" spans="1:12" x14ac:dyDescent="0.15">
      <c r="A5">
        <v>4</v>
      </c>
      <c r="B5">
        <f>'[3]Boss怪-敏捷'!$C$5</f>
        <v>250</v>
      </c>
      <c r="C5">
        <f t="shared" si="0"/>
        <v>100</v>
      </c>
      <c r="D5">
        <f>'[3]Boss怪-敏捷'!$D$5</f>
        <v>82</v>
      </c>
      <c r="E5">
        <f>'[3]Boss怪-敏捷'!$E$5</f>
        <v>30</v>
      </c>
      <c r="F5">
        <f>ROUND('[3]Boss怪-敏捷'!$F$5 *1000,0)</f>
        <v>3</v>
      </c>
      <c r="G5">
        <f>ROUND('[3]Boss怪-敏捷'!$H$5 *100,0)</f>
        <v>120</v>
      </c>
      <c r="H5">
        <f>'[3]Boss怪-敏捷'!$I$5</f>
        <v>19</v>
      </c>
      <c r="I5">
        <f>'[3]Boss怪-敏捷'!$J$5</f>
        <v>25</v>
      </c>
      <c r="J5">
        <f>'[3]Boss怪-敏捷'!$V$5</f>
        <v>0</v>
      </c>
      <c r="K5">
        <f>'[3]Boss怪-敏捷'!$Y$5</f>
        <v>0</v>
      </c>
      <c r="L5">
        <f>'[3]Boss怪-敏捷'!$Z$5</f>
        <v>0</v>
      </c>
    </row>
    <row r="6" spans="1:12" x14ac:dyDescent="0.15">
      <c r="A6">
        <v>5</v>
      </c>
      <c r="B6">
        <f>'[3]Boss怪-敏捷'!$C$6</f>
        <v>350</v>
      </c>
      <c r="C6">
        <f t="shared" si="0"/>
        <v>100</v>
      </c>
      <c r="D6">
        <f>'[3]Boss怪-敏捷'!$D$6</f>
        <v>97</v>
      </c>
      <c r="E6">
        <f>'[3]Boss怪-敏捷'!$E$6</f>
        <v>43</v>
      </c>
      <c r="F6">
        <f>ROUND('[3]Boss怪-敏捷'!$F$6 *1000,0)</f>
        <v>5</v>
      </c>
      <c r="G6">
        <f>ROUND('[3]Boss怪-敏捷'!$H$6 *100,0)</f>
        <v>130</v>
      </c>
      <c r="H6">
        <f>'[3]Boss怪-敏捷'!$I$6</f>
        <v>24</v>
      </c>
      <c r="I6">
        <f>'[3]Boss怪-敏捷'!$J$6</f>
        <v>29</v>
      </c>
      <c r="J6">
        <f>'[3]Boss怪-敏捷'!$V$6</f>
        <v>0</v>
      </c>
      <c r="K6">
        <f>'[3]Boss怪-敏捷'!$Y$6</f>
        <v>0</v>
      </c>
      <c r="L6">
        <f>'[3]Boss怪-敏捷'!$Z$6</f>
        <v>0</v>
      </c>
    </row>
    <row r="7" spans="1:12" x14ac:dyDescent="0.15">
      <c r="A7">
        <v>6</v>
      </c>
      <c r="B7">
        <f>'[3]Boss怪-敏捷'!$C$7</f>
        <v>500</v>
      </c>
      <c r="C7">
        <f t="shared" si="0"/>
        <v>150</v>
      </c>
      <c r="D7">
        <f>'[3]Boss怪-敏捷'!$D$7</f>
        <v>127</v>
      </c>
      <c r="E7">
        <f>'[3]Boss怪-敏捷'!$E$7</f>
        <v>60</v>
      </c>
      <c r="F7">
        <f>ROUND('[3]Boss怪-敏捷'!$F$7 *1000,0)</f>
        <v>10</v>
      </c>
      <c r="G7">
        <f>ROUND('[3]Boss怪-敏捷'!$H$7 *100,0)</f>
        <v>130</v>
      </c>
      <c r="H7">
        <f>'[3]Boss怪-敏捷'!$I$7</f>
        <v>30</v>
      </c>
      <c r="I7">
        <f>'[3]Boss怪-敏捷'!$J$7</f>
        <v>38</v>
      </c>
      <c r="J7">
        <f>'[3]Boss怪-敏捷'!$V$7</f>
        <v>0</v>
      </c>
      <c r="K7">
        <f>'[3]Boss怪-敏捷'!$Y$7</f>
        <v>0</v>
      </c>
      <c r="L7">
        <f>'[3]Boss怪-敏捷'!$Z$7</f>
        <v>0</v>
      </c>
    </row>
    <row r="8" spans="1:12" x14ac:dyDescent="0.15">
      <c r="A8">
        <v>7</v>
      </c>
      <c r="B8">
        <f>'[3]Boss怪-敏捷'!$C$8</f>
        <v>650</v>
      </c>
      <c r="C8">
        <f t="shared" si="0"/>
        <v>150</v>
      </c>
      <c r="D8">
        <f>'[3]Boss怪-敏捷'!$D$8</f>
        <v>138</v>
      </c>
      <c r="E8">
        <f>'[3]Boss怪-敏捷'!$E$8</f>
        <v>85</v>
      </c>
      <c r="F8">
        <f>ROUND('[3]Boss怪-敏捷'!$F$8 *1000,0)</f>
        <v>15</v>
      </c>
      <c r="G8">
        <f>ROUND('[3]Boss怪-敏捷'!$H$8 *100,0)</f>
        <v>140</v>
      </c>
      <c r="H8">
        <f>'[3]Boss怪-敏捷'!$I$8</f>
        <v>37</v>
      </c>
      <c r="I8">
        <f>'[3]Boss怪-敏捷'!$J$8</f>
        <v>41</v>
      </c>
      <c r="J8">
        <f>'[3]Boss怪-敏捷'!$V$8</f>
        <v>0</v>
      </c>
      <c r="K8">
        <f>'[3]Boss怪-敏捷'!$Y$8</f>
        <v>0</v>
      </c>
      <c r="L8">
        <f>'[3]Boss怪-敏捷'!$Z$8</f>
        <v>0</v>
      </c>
    </row>
    <row r="9" spans="1:12" x14ac:dyDescent="0.15">
      <c r="A9">
        <v>8</v>
      </c>
      <c r="B9">
        <f>'[3]Boss怪-敏捷'!$C$9</f>
        <v>850</v>
      </c>
      <c r="C9">
        <f t="shared" si="0"/>
        <v>200</v>
      </c>
      <c r="D9">
        <f>'[3]Boss怪-敏捷'!$D$9</f>
        <v>229</v>
      </c>
      <c r="E9">
        <f>'[3]Boss怪-敏捷'!$E$9</f>
        <v>110</v>
      </c>
      <c r="F9">
        <f>ROUND('[3]Boss怪-敏捷'!$F$9 *1000,0)</f>
        <v>25</v>
      </c>
      <c r="G9">
        <f>ROUND('[3]Boss怪-敏捷'!$H$9 *100,0)</f>
        <v>140</v>
      </c>
      <c r="H9">
        <f>'[3]Boss怪-敏捷'!$I$9</f>
        <v>45</v>
      </c>
      <c r="I9">
        <f>'[3]Boss怪-敏捷'!$J$9</f>
        <v>69</v>
      </c>
      <c r="J9">
        <f>'[3]Boss怪-敏捷'!$V$9</f>
        <v>0</v>
      </c>
      <c r="K9">
        <f>'[3]Boss怪-敏捷'!$Y$9</f>
        <v>0</v>
      </c>
      <c r="L9">
        <f>'[3]Boss怪-敏捷'!$Z$9</f>
        <v>0</v>
      </c>
    </row>
    <row r="10" spans="1:12" x14ac:dyDescent="0.15">
      <c r="A10">
        <v>9</v>
      </c>
      <c r="B10">
        <f>'[3]Boss怪-敏捷'!$C$10</f>
        <v>1050</v>
      </c>
      <c r="C10">
        <f t="shared" si="0"/>
        <v>200</v>
      </c>
      <c r="D10">
        <f>'[3]Boss怪-敏捷'!$D$10</f>
        <v>244</v>
      </c>
      <c r="E10">
        <f>'[3]Boss怪-敏捷'!$E$10</f>
        <v>147</v>
      </c>
      <c r="F10">
        <f>ROUND('[3]Boss怪-敏捷'!$F$10*1000,0)</f>
        <v>29</v>
      </c>
      <c r="G10">
        <f>ROUND('[3]Boss怪-敏捷'!$H$10*100,0)</f>
        <v>150</v>
      </c>
      <c r="H10">
        <f>'[3]Boss怪-敏捷'!$I$10</f>
        <v>54</v>
      </c>
      <c r="I10">
        <f>'[3]Boss怪-敏捷'!$J$10</f>
        <v>73</v>
      </c>
      <c r="J10">
        <f>'[3]Boss怪-敏捷'!$V$10</f>
        <v>0</v>
      </c>
      <c r="K10">
        <f>'[3]Boss怪-敏捷'!$Y$10</f>
        <v>0</v>
      </c>
      <c r="L10">
        <f>'[3]Boss怪-敏捷'!$Z$10</f>
        <v>0</v>
      </c>
    </row>
    <row r="11" spans="1:12" x14ac:dyDescent="0.15">
      <c r="A11">
        <v>10</v>
      </c>
      <c r="B11">
        <f>'[3]Boss怪-敏捷'!$C$11</f>
        <v>1250</v>
      </c>
      <c r="C11">
        <f t="shared" si="0"/>
        <v>200</v>
      </c>
      <c r="D11">
        <f>'[3]Boss怪-敏捷'!$D$11</f>
        <v>281</v>
      </c>
      <c r="E11">
        <f>'[3]Boss怪-敏捷'!$E$11</f>
        <v>174</v>
      </c>
      <c r="F11">
        <f>ROUND('[3]Boss怪-敏捷'!$F$11*1000,0)</f>
        <v>37</v>
      </c>
      <c r="G11">
        <f>ROUND('[3]Boss怪-敏捷'!$H$11*100,0)</f>
        <v>150</v>
      </c>
      <c r="H11">
        <f>'[3]Boss怪-敏捷'!$I$11</f>
        <v>64</v>
      </c>
      <c r="I11">
        <f>'[3]Boss怪-敏捷'!$J$11</f>
        <v>84</v>
      </c>
      <c r="J11">
        <f>'[3]Boss怪-敏捷'!$V$11</f>
        <v>0</v>
      </c>
      <c r="K11">
        <f>'[3]Boss怪-敏捷'!$Y$11</f>
        <v>0</v>
      </c>
      <c r="L11">
        <f>'[3]Boss怪-敏捷'!$Z$11</f>
        <v>0</v>
      </c>
    </row>
    <row r="12" spans="1:12" x14ac:dyDescent="0.15">
      <c r="A12">
        <v>11</v>
      </c>
      <c r="B12">
        <f>'[3]Boss怪-敏捷'!$C$12</f>
        <v>1500</v>
      </c>
      <c r="C12">
        <f t="shared" si="0"/>
        <v>250</v>
      </c>
      <c r="D12">
        <f>'[3]Boss怪-敏捷'!$D$12</f>
        <v>416</v>
      </c>
      <c r="E12">
        <f>'[3]Boss怪-敏捷'!$E$12</f>
        <v>204</v>
      </c>
      <c r="F12">
        <f>ROUND('[3]Boss怪-敏捷'!$F$12*1000,0)</f>
        <v>46</v>
      </c>
      <c r="G12">
        <f>ROUND('[3]Boss怪-敏捷'!$H$12*100,0)</f>
        <v>160</v>
      </c>
      <c r="H12">
        <f>'[3]Boss怪-敏捷'!$I$12</f>
        <v>75</v>
      </c>
      <c r="I12">
        <f>'[3]Boss怪-敏捷'!$J$12</f>
        <v>125</v>
      </c>
      <c r="J12">
        <f>'[3]Boss怪-敏捷'!$V$12</f>
        <v>0</v>
      </c>
      <c r="K12">
        <f>'[3]Boss怪-敏捷'!$Y$12</f>
        <v>0</v>
      </c>
      <c r="L12">
        <f>'[3]Boss怪-敏捷'!$Z$12</f>
        <v>0</v>
      </c>
    </row>
    <row r="13" spans="1:12" x14ac:dyDescent="0.15">
      <c r="A13">
        <v>12</v>
      </c>
      <c r="B13">
        <f>'[3]Boss怪-敏捷'!$C$13</f>
        <v>1750</v>
      </c>
      <c r="C13">
        <f t="shared" si="0"/>
        <v>250</v>
      </c>
      <c r="D13">
        <f>'[3]Boss怪-敏捷'!$D$13</f>
        <v>475</v>
      </c>
      <c r="E13">
        <f>'[3]Boss怪-敏捷'!$E$13</f>
        <v>237</v>
      </c>
      <c r="F13">
        <f>ROUND('[3]Boss怪-敏捷'!$F$13*1000,0)</f>
        <v>55</v>
      </c>
      <c r="G13">
        <f>ROUND('[3]Boss怪-敏捷'!$H$13*100,0)</f>
        <v>160</v>
      </c>
      <c r="H13">
        <f>'[3]Boss怪-敏捷'!$I$13</f>
        <v>87</v>
      </c>
      <c r="I13">
        <f>'[3]Boss怪-敏捷'!$J$13</f>
        <v>143</v>
      </c>
      <c r="J13">
        <f>'[3]Boss怪-敏捷'!$V$13</f>
        <v>0</v>
      </c>
      <c r="K13">
        <f>'[3]Boss怪-敏捷'!$Y$13</f>
        <v>0</v>
      </c>
      <c r="L13">
        <f>'[3]Boss怪-敏捷'!$Z$13</f>
        <v>0</v>
      </c>
    </row>
    <row r="14" spans="1:12" x14ac:dyDescent="0.15">
      <c r="A14">
        <v>13</v>
      </c>
      <c r="B14">
        <f>'[3]Boss怪-敏捷'!$C$14</f>
        <v>2050</v>
      </c>
      <c r="C14">
        <f t="shared" si="0"/>
        <v>300</v>
      </c>
      <c r="D14">
        <f>'[3]Boss怪-敏捷'!$D$14</f>
        <v>533</v>
      </c>
      <c r="E14">
        <f>'[3]Boss怪-敏捷'!$E$14</f>
        <v>274</v>
      </c>
      <c r="F14">
        <f>ROUND('[3]Boss怪-敏捷'!$F$14*1000,0)</f>
        <v>65</v>
      </c>
      <c r="G14">
        <f>ROUND('[3]Boss怪-敏捷'!$H$14*100,0)</f>
        <v>170</v>
      </c>
      <c r="H14">
        <f>'[3]Boss怪-敏捷'!$I$14</f>
        <v>100</v>
      </c>
      <c r="I14">
        <f>'[3]Boss怪-敏捷'!$J$14</f>
        <v>160</v>
      </c>
      <c r="J14">
        <f>'[3]Boss怪-敏捷'!$V$14</f>
        <v>0</v>
      </c>
      <c r="K14">
        <f>'[3]Boss怪-敏捷'!$Y$14</f>
        <v>0</v>
      </c>
      <c r="L14">
        <f>'[3]Boss怪-敏捷'!$Z$14</f>
        <v>0</v>
      </c>
    </row>
    <row r="15" spans="1:12" x14ac:dyDescent="0.15">
      <c r="A15">
        <v>14</v>
      </c>
      <c r="B15">
        <f>'[3]Boss怪-敏捷'!$C$15</f>
        <v>2400</v>
      </c>
      <c r="C15">
        <f t="shared" si="0"/>
        <v>350</v>
      </c>
      <c r="D15">
        <f>'[3]Boss怪-敏捷'!$D$15</f>
        <v>774</v>
      </c>
      <c r="E15">
        <f>'[3]Boss怪-敏捷'!$E$15</f>
        <v>315</v>
      </c>
      <c r="F15">
        <f>ROUND('[3]Boss怪-敏捷'!$F$15*1000,0)</f>
        <v>76</v>
      </c>
      <c r="G15">
        <f>ROUND('[3]Boss怪-敏捷'!$H$15*100,0)</f>
        <v>170</v>
      </c>
      <c r="H15">
        <f>'[3]Boss怪-敏捷'!$I$15</f>
        <v>114</v>
      </c>
      <c r="I15">
        <f>'[3]Boss怪-敏捷'!$J$15</f>
        <v>232</v>
      </c>
      <c r="J15">
        <f>'[3]Boss怪-敏捷'!$V$15</f>
        <v>0</v>
      </c>
      <c r="K15">
        <f>'[3]Boss怪-敏捷'!$Y$15</f>
        <v>0</v>
      </c>
      <c r="L15">
        <f>'[3]Boss怪-敏捷'!$Z$15</f>
        <v>0</v>
      </c>
    </row>
    <row r="16" spans="1:12" x14ac:dyDescent="0.15">
      <c r="A16">
        <v>15</v>
      </c>
      <c r="B16">
        <f>'[3]Boss怪-敏捷'!$C$16</f>
        <v>2850</v>
      </c>
      <c r="C16">
        <f t="shared" si="0"/>
        <v>450</v>
      </c>
      <c r="D16">
        <f>'[3]Boss怪-敏捷'!$D$16</f>
        <v>905</v>
      </c>
      <c r="E16">
        <f>'[3]Boss怪-敏捷'!$E$16</f>
        <v>361</v>
      </c>
      <c r="F16">
        <f>ROUND('[3]Boss怪-敏捷'!$F$16*1000,0)</f>
        <v>89</v>
      </c>
      <c r="G16">
        <f>ROUND('[3]Boss怪-敏捷'!$H$16*100,0)</f>
        <v>180</v>
      </c>
      <c r="H16">
        <f>'[3]Boss怪-敏捷'!$I$16</f>
        <v>130</v>
      </c>
      <c r="I16">
        <f>'[3]Boss怪-敏捷'!$J$16</f>
        <v>272</v>
      </c>
      <c r="J16">
        <f>'[3]Boss怪-敏捷'!$V$16</f>
        <v>0</v>
      </c>
      <c r="K16">
        <f>'[3]Boss怪-敏捷'!$Y$16</f>
        <v>0</v>
      </c>
      <c r="L16">
        <f>'[3]Boss怪-敏捷'!$Z$16</f>
        <v>0</v>
      </c>
    </row>
    <row r="17" spans="1:12" x14ac:dyDescent="0.15">
      <c r="A17">
        <v>16</v>
      </c>
      <c r="B17">
        <f>'[3]Boss怪-敏捷'!$C$17</f>
        <v>3350</v>
      </c>
      <c r="C17">
        <f t="shared" si="0"/>
        <v>500</v>
      </c>
      <c r="D17">
        <f>'[3]Boss怪-敏捷'!$D$17</f>
        <v>1284</v>
      </c>
      <c r="E17">
        <f>'[3]Boss怪-敏捷'!$E$17</f>
        <v>412</v>
      </c>
      <c r="F17">
        <f>ROUND('[3]Boss怪-敏捷'!$F$17*1000,0)</f>
        <v>100</v>
      </c>
      <c r="G17">
        <f>ROUND('[3]Boss怪-敏捷'!$H$17*100,0)</f>
        <v>180</v>
      </c>
      <c r="H17">
        <f>'[3]Boss怪-敏捷'!$I$17</f>
        <v>148</v>
      </c>
      <c r="I17">
        <f>'[3]Boss怪-敏捷'!$J$17</f>
        <v>385</v>
      </c>
      <c r="J17">
        <f>'[3]Boss怪-敏捷'!$V$17</f>
        <v>0</v>
      </c>
      <c r="K17">
        <f>'[3]Boss怪-敏捷'!$Y$17</f>
        <v>0</v>
      </c>
      <c r="L17">
        <f>'[3]Boss怪-敏捷'!$Z$17</f>
        <v>0</v>
      </c>
    </row>
    <row r="18" spans="1:12" x14ac:dyDescent="0.15">
      <c r="A18">
        <v>17</v>
      </c>
      <c r="B18">
        <f>'[3]Boss怪-敏捷'!$C$18</f>
        <v>3900</v>
      </c>
      <c r="C18">
        <f t="shared" si="0"/>
        <v>550</v>
      </c>
      <c r="D18">
        <f>'[3]Boss怪-敏捷'!$D$18</f>
        <v>1467</v>
      </c>
      <c r="E18">
        <f>'[3]Boss怪-敏捷'!$E$18</f>
        <v>469</v>
      </c>
      <c r="F18">
        <f>ROUND('[3]Boss怪-敏捷'!$F$18*1000,0)</f>
        <v>111</v>
      </c>
      <c r="G18">
        <f>ROUND('[3]Boss怪-敏捷'!$H$18*100,0)</f>
        <v>190</v>
      </c>
      <c r="H18">
        <f>'[3]Boss怪-敏捷'!$I$18</f>
        <v>168</v>
      </c>
      <c r="I18">
        <f>'[3]Boss怪-敏捷'!$J$18</f>
        <v>440</v>
      </c>
      <c r="J18">
        <f>'[3]Boss怪-敏捷'!$V$18</f>
        <v>0</v>
      </c>
      <c r="K18">
        <f>'[3]Boss怪-敏捷'!$Y$18</f>
        <v>0</v>
      </c>
      <c r="L18">
        <f>'[3]Boss怪-敏捷'!$Z$18</f>
        <v>0</v>
      </c>
    </row>
    <row r="19" spans="1:12" x14ac:dyDescent="0.15">
      <c r="A19">
        <v>18</v>
      </c>
      <c r="B19">
        <f>'[3]Boss怪-敏捷'!$C$19</f>
        <v>4550</v>
      </c>
      <c r="C19">
        <f t="shared" si="0"/>
        <v>650</v>
      </c>
      <c r="D19">
        <f>'[3]Boss怪-敏捷'!$D$19</f>
        <v>1727</v>
      </c>
      <c r="E19">
        <f>'[3]Boss怪-敏捷'!$E$19</f>
        <v>532</v>
      </c>
      <c r="F19">
        <f>ROUND('[3]Boss怪-敏捷'!$F$19*1000,0)</f>
        <v>125</v>
      </c>
      <c r="G19">
        <f>ROUND('[3]Boss怪-敏捷'!$H$19*100,0)</f>
        <v>190</v>
      </c>
      <c r="H19">
        <f>'[3]Boss怪-敏捷'!$I$19</f>
        <v>190</v>
      </c>
      <c r="I19">
        <f>'[3]Boss怪-敏捷'!$J$19</f>
        <v>518</v>
      </c>
      <c r="J19">
        <f>'[3]Boss怪-敏捷'!$V$19</f>
        <v>0</v>
      </c>
      <c r="K19">
        <f>'[3]Boss怪-敏捷'!$Y$19</f>
        <v>0</v>
      </c>
      <c r="L19">
        <f>'[3]Boss怪-敏捷'!$Z$19</f>
        <v>0</v>
      </c>
    </row>
    <row r="20" spans="1:12" x14ac:dyDescent="0.15">
      <c r="A20">
        <v>19</v>
      </c>
      <c r="B20">
        <f>'[3]Boss怪-敏捷'!$C$20</f>
        <v>5500</v>
      </c>
      <c r="C20">
        <f t="shared" si="0"/>
        <v>950</v>
      </c>
      <c r="D20">
        <f>'[3]Boss怪-敏捷'!$D$20</f>
        <v>2469</v>
      </c>
      <c r="E20">
        <f>'[3]Boss怪-敏捷'!$E$20</f>
        <v>602</v>
      </c>
      <c r="F20">
        <f>ROUND('[3]Boss怪-敏捷'!$F$20*1000,0)</f>
        <v>130</v>
      </c>
      <c r="G20">
        <f>ROUND('[3]Boss怪-敏捷'!$H$20*100,0)</f>
        <v>200</v>
      </c>
      <c r="H20">
        <f>'[3]Boss怪-敏捷'!$I$20</f>
        <v>215</v>
      </c>
      <c r="I20">
        <f>'[3]Boss怪-敏捷'!$J$20</f>
        <v>741</v>
      </c>
      <c r="J20">
        <f>'[3]Boss怪-敏捷'!$V$20</f>
        <v>0</v>
      </c>
      <c r="K20">
        <f>'[3]Boss怪-敏捷'!$Y$20</f>
        <v>0</v>
      </c>
      <c r="L20">
        <f>'[3]Boss怪-敏捷'!$Z$20</f>
        <v>0</v>
      </c>
    </row>
    <row r="21" spans="1:12" x14ac:dyDescent="0.15">
      <c r="A21">
        <v>20</v>
      </c>
      <c r="B21">
        <f>'[3]Boss怪-敏捷'!$C$21</f>
        <v>6600</v>
      </c>
      <c r="C21">
        <f t="shared" si="0"/>
        <v>1100</v>
      </c>
      <c r="D21">
        <f>'[3]Boss怪-敏捷'!$D$21</f>
        <v>2918</v>
      </c>
      <c r="E21">
        <f>'[3]Boss怪-敏捷'!$E$21</f>
        <v>780</v>
      </c>
      <c r="F21">
        <f>ROUND('[3]Boss怪-敏捷'!$F$21*1000,0)</f>
        <v>180</v>
      </c>
      <c r="G21">
        <f>ROUND('[3]Boss怪-敏捷'!$H$21*100,0)</f>
        <v>200</v>
      </c>
      <c r="H21">
        <f>'[3]Boss怪-敏捷'!$I$21</f>
        <v>243</v>
      </c>
      <c r="I21">
        <f>'[3]Boss怪-敏捷'!$J$21</f>
        <v>875</v>
      </c>
      <c r="J21">
        <f>'[3]Boss怪-敏捷'!$V$21</f>
        <v>0</v>
      </c>
      <c r="K21">
        <f>'[3]Boss怪-敏捷'!$Y$21</f>
        <v>0</v>
      </c>
      <c r="L21">
        <f>'[3]Boss怪-敏捷'!$Z$21</f>
        <v>0</v>
      </c>
    </row>
    <row r="22" spans="1:12" x14ac:dyDescent="0.15">
      <c r="A22">
        <v>21</v>
      </c>
      <c r="B22">
        <f>'[3]Boss怪-敏捷'!$C$22</f>
        <v>9450</v>
      </c>
      <c r="C22">
        <f t="shared" si="0"/>
        <v>2850</v>
      </c>
      <c r="D22">
        <f>'[3]Boss怪-敏捷'!$D$22</f>
        <v>4663</v>
      </c>
      <c r="E22">
        <f>'[3]Boss怪-敏捷'!$E$22</f>
        <v>764</v>
      </c>
      <c r="F22">
        <f>ROUND('[3]Boss怪-敏捷'!$F$22*1000,0)</f>
        <v>109</v>
      </c>
      <c r="G22">
        <f>ROUND('[3]Boss怪-敏捷'!$H$22*100,0)</f>
        <v>200</v>
      </c>
      <c r="H22">
        <f>'[3]Boss怪-敏捷'!$I$22</f>
        <v>288</v>
      </c>
      <c r="I22">
        <f>'[3]Boss怪-敏捷'!$J$22</f>
        <v>1399</v>
      </c>
      <c r="J22">
        <f>'[3]Boss怪-敏捷'!$V$22</f>
        <v>0</v>
      </c>
      <c r="K22">
        <f>'[3]Boss怪-敏捷'!$Y$22</f>
        <v>0</v>
      </c>
      <c r="L22">
        <f>'[3]Boss怪-敏捷'!$Z$22</f>
        <v>0</v>
      </c>
    </row>
    <row r="23" spans="1:12" x14ac:dyDescent="0.15">
      <c r="A23">
        <v>22</v>
      </c>
      <c r="B23">
        <f>'[3]Boss怪-敏捷'!$C$23</f>
        <v>12800</v>
      </c>
      <c r="C23">
        <f t="shared" si="0"/>
        <v>3350</v>
      </c>
      <c r="D23">
        <f>'[3]Boss怪-敏捷'!$D$23</f>
        <v>7083</v>
      </c>
      <c r="E23">
        <f>'[3]Boss怪-敏捷'!$E$23</f>
        <v>1032</v>
      </c>
      <c r="F23">
        <f>ROUND('[3]Boss怪-敏捷'!$F$23*1000,0)</f>
        <v>113</v>
      </c>
      <c r="G23">
        <f>ROUND('[3]Boss怪-敏捷'!$H$23*100,0)</f>
        <v>200</v>
      </c>
      <c r="H23">
        <f>'[3]Boss怪-敏捷'!$I$23</f>
        <v>360</v>
      </c>
      <c r="I23">
        <f>'[3]Boss怪-敏捷'!$J$23</f>
        <v>2125</v>
      </c>
      <c r="J23">
        <f>'[3]Boss怪-敏捷'!$V$23</f>
        <v>0</v>
      </c>
      <c r="K23">
        <f>'[3]Boss怪-敏捷'!$Y$23</f>
        <v>0</v>
      </c>
      <c r="L23">
        <f>'[3]Boss怪-敏捷'!$Z$23</f>
        <v>0</v>
      </c>
    </row>
    <row r="24" spans="1:12" x14ac:dyDescent="0.15">
      <c r="A24">
        <v>23</v>
      </c>
      <c r="B24">
        <f>'[3]Boss怪-敏捷'!$C$24</f>
        <v>17400</v>
      </c>
      <c r="C24">
        <f t="shared" si="0"/>
        <v>4600</v>
      </c>
      <c r="D24">
        <f>'[3]Boss怪-敏捷'!$D$24</f>
        <v>9526</v>
      </c>
      <c r="E24">
        <f>'[3]Boss怪-敏捷'!$E$24</f>
        <v>1400</v>
      </c>
      <c r="F24">
        <f>ROUND('[3]Boss怪-敏捷'!$F$24*1000,0)</f>
        <v>117</v>
      </c>
      <c r="G24">
        <f>ROUND('[3]Boss怪-敏捷'!$H$24*100,0)</f>
        <v>210</v>
      </c>
      <c r="H24">
        <f>'[3]Boss怪-敏捷'!$I$24</f>
        <v>475</v>
      </c>
      <c r="I24">
        <f>'[3]Boss怪-敏捷'!$J$24</f>
        <v>2858</v>
      </c>
      <c r="J24">
        <f>'[3]Boss怪-敏捷'!$V$24</f>
        <v>0</v>
      </c>
      <c r="K24">
        <f>'[3]Boss怪-敏捷'!$Y$24</f>
        <v>0</v>
      </c>
      <c r="L24">
        <f>'[3]Boss怪-敏捷'!$Z$24</f>
        <v>0</v>
      </c>
    </row>
    <row r="25" spans="1:12" x14ac:dyDescent="0.15">
      <c r="A25">
        <v>24</v>
      </c>
      <c r="B25">
        <f>'[3]Boss怪-敏捷'!$C$25</f>
        <v>23250</v>
      </c>
      <c r="C25">
        <f t="shared" si="0"/>
        <v>5850</v>
      </c>
      <c r="D25">
        <f>'[3]Boss怪-敏捷'!$D$25</f>
        <v>12681</v>
      </c>
      <c r="E25">
        <f>'[3]Boss怪-敏捷'!$E$25</f>
        <v>1868</v>
      </c>
      <c r="F25">
        <f>ROUND('[3]Boss怪-敏捷'!$F$25*1000,0)</f>
        <v>123</v>
      </c>
      <c r="G25">
        <f>ROUND('[3]Boss怪-敏捷'!$H$25*100,0)</f>
        <v>210</v>
      </c>
      <c r="H25">
        <f>'[3]Boss怪-敏捷'!$I$25</f>
        <v>659</v>
      </c>
      <c r="I25">
        <f>'[3]Boss怪-敏捷'!$J$25</f>
        <v>3804</v>
      </c>
      <c r="J25">
        <f>'[3]Boss怪-敏捷'!$V$25</f>
        <v>0</v>
      </c>
      <c r="K25">
        <f>'[3]Boss怪-敏捷'!$Y$25</f>
        <v>0</v>
      </c>
      <c r="L25">
        <f>'[3]Boss怪-敏捷'!$Z$25</f>
        <v>0</v>
      </c>
    </row>
    <row r="26" spans="1:12" x14ac:dyDescent="0.15">
      <c r="A26">
        <v>25</v>
      </c>
      <c r="B26">
        <f>'[3]Boss怪-敏捷'!$C$26</f>
        <v>30750</v>
      </c>
      <c r="C26">
        <f t="shared" si="0"/>
        <v>7500</v>
      </c>
      <c r="D26">
        <f>'[3]Boss怪-敏捷'!$D$26</f>
        <v>16465</v>
      </c>
      <c r="E26">
        <f>'[3]Boss怪-敏捷'!$E$26</f>
        <v>2468</v>
      </c>
      <c r="F26">
        <f>ROUND('[3]Boss怪-敏捷'!$F$26*1000,0)</f>
        <v>131</v>
      </c>
      <c r="G26">
        <f>ROUND('[3]Boss怪-敏捷'!$H$26*100,0)</f>
        <v>220</v>
      </c>
      <c r="H26">
        <f>'[3]Boss怪-敏捷'!$I$26</f>
        <v>953</v>
      </c>
      <c r="I26">
        <f>'[3]Boss怪-敏捷'!$J$26</f>
        <v>4940</v>
      </c>
      <c r="J26">
        <f>'[3]Boss怪-敏捷'!$V$26</f>
        <v>0</v>
      </c>
      <c r="K26">
        <f>'[3]Boss怪-敏捷'!$Y$26</f>
        <v>0</v>
      </c>
      <c r="L26">
        <f>'[3]Boss怪-敏捷'!$Z$26</f>
        <v>0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-0.499984740745262"/>
  </sheetPr>
  <dimension ref="A1:L26"/>
  <sheetViews>
    <sheetView workbookViewId="0">
      <selection activeCell="G22" sqref="G22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'[3]Boss怪-防御'!$C$2</f>
        <v>50</v>
      </c>
      <c r="C2">
        <f>B2-0</f>
        <v>50</v>
      </c>
      <c r="D2">
        <f>'[3]Boss怪-防御'!$D$2</f>
        <v>47</v>
      </c>
      <c r="E2">
        <f>'[3]Boss怪-防御'!$E$2</f>
        <v>5</v>
      </c>
      <c r="F2">
        <f>ROUND('[3]Boss怪-防御'!$F$2 *1000,0)</f>
        <v>100</v>
      </c>
      <c r="G2">
        <f>ROUND('[3]Boss怪-防御'!$H$2 *100,0)</f>
        <v>100</v>
      </c>
      <c r="H2">
        <f>'[3]Boss怪-防御'!$I$2</f>
        <v>8</v>
      </c>
      <c r="I2">
        <f>'[3]Boss怪-防御'!$J$2</f>
        <v>14</v>
      </c>
      <c r="J2">
        <f>'[3]Boss怪-防御'!$V$2</f>
        <v>0</v>
      </c>
      <c r="K2">
        <f>'[3]Boss怪-防御'!$Y$2</f>
        <v>0</v>
      </c>
      <c r="L2">
        <f>'[3]Boss怪-防御'!$Z$2</f>
        <v>0</v>
      </c>
    </row>
    <row r="3" spans="1:12" x14ac:dyDescent="0.15">
      <c r="A3">
        <v>2</v>
      </c>
      <c r="B3">
        <f>'[3]Boss怪-防御'!$C$3</f>
        <v>100</v>
      </c>
      <c r="C3">
        <f>B3-B2</f>
        <v>50</v>
      </c>
      <c r="D3">
        <f>'[3]Boss怪-防御'!$D$3</f>
        <v>54</v>
      </c>
      <c r="E3">
        <f>'[3]Boss怪-防御'!$E$3</f>
        <v>10</v>
      </c>
      <c r="F3">
        <f>ROUND('[3]Boss怪-防御'!$F$3 *1000,0)</f>
        <v>100</v>
      </c>
      <c r="G3">
        <f>ROUND('[3]Boss怪-防御'!$H$3 *100,0)</f>
        <v>100</v>
      </c>
      <c r="H3">
        <f>'[3]Boss怪-防御'!$I$3</f>
        <v>13</v>
      </c>
      <c r="I3">
        <f>'[3]Boss怪-防御'!$J$3</f>
        <v>16</v>
      </c>
      <c r="J3">
        <f>'[3]Boss怪-防御'!$V$3</f>
        <v>0</v>
      </c>
      <c r="K3">
        <f>'[3]Boss怪-防御'!$Y$3</f>
        <v>0</v>
      </c>
      <c r="L3">
        <f>'[3]Boss怪-防御'!$Z$3</f>
        <v>0</v>
      </c>
    </row>
    <row r="4" spans="1:12" x14ac:dyDescent="0.15">
      <c r="A4">
        <v>3</v>
      </c>
      <c r="B4">
        <f>'[3]Boss怪-防御'!$C$4</f>
        <v>150</v>
      </c>
      <c r="C4">
        <f t="shared" ref="C4:C26" si="0">B4-B3</f>
        <v>50</v>
      </c>
      <c r="D4">
        <f>'[3]Boss怪-防御'!$D$4</f>
        <v>57</v>
      </c>
      <c r="E4">
        <f>'[3]Boss怪-防御'!$E$4</f>
        <v>17</v>
      </c>
      <c r="F4">
        <f>ROUND('[3]Boss怪-防御'!$F$4 *1000,0)</f>
        <v>100</v>
      </c>
      <c r="G4">
        <f>ROUND('[3]Boss怪-防御'!$H$4 *100,0)</f>
        <v>100</v>
      </c>
      <c r="H4">
        <f>'[3]Boss怪-防御'!$I$4</f>
        <v>20</v>
      </c>
      <c r="I4">
        <f>'[3]Boss怪-防御'!$J$4</f>
        <v>17</v>
      </c>
      <c r="J4">
        <f>'[3]Boss怪-防御'!$V$4</f>
        <v>0</v>
      </c>
      <c r="K4">
        <f>'[3]Boss怪-防御'!$Y$4</f>
        <v>0</v>
      </c>
      <c r="L4">
        <f>'[3]Boss怪-防御'!$Z$4</f>
        <v>0</v>
      </c>
    </row>
    <row r="5" spans="1:12" x14ac:dyDescent="0.15">
      <c r="A5">
        <v>4</v>
      </c>
      <c r="B5">
        <f>'[3]Boss怪-防御'!$C$5</f>
        <v>250</v>
      </c>
      <c r="C5">
        <f t="shared" si="0"/>
        <v>100</v>
      </c>
      <c r="D5">
        <f>'[3]Boss怪-防御'!$D$5</f>
        <v>65</v>
      </c>
      <c r="E5">
        <f>'[3]Boss怪-防御'!$E$5</f>
        <v>28</v>
      </c>
      <c r="F5">
        <f>ROUND('[3]Boss怪-防御'!$F$5 *1000,0)</f>
        <v>100</v>
      </c>
      <c r="G5">
        <f>ROUND('[3]Boss怪-防御'!$H$5 *100,0)</f>
        <v>100</v>
      </c>
      <c r="H5">
        <f>'[3]Boss怪-防御'!$I$5</f>
        <v>34</v>
      </c>
      <c r="I5">
        <f>'[3]Boss怪-防御'!$J$5</f>
        <v>20</v>
      </c>
      <c r="J5">
        <f>'[3]Boss怪-防御'!$V$5</f>
        <v>0</v>
      </c>
      <c r="K5">
        <f>'[3]Boss怪-防御'!$Y$5</f>
        <v>0</v>
      </c>
      <c r="L5">
        <f>'[3]Boss怪-防御'!$Z$5</f>
        <v>0</v>
      </c>
    </row>
    <row r="6" spans="1:12" x14ac:dyDescent="0.15">
      <c r="A6">
        <v>5</v>
      </c>
      <c r="B6">
        <f>'[3]Boss怪-防御'!$C$6</f>
        <v>350</v>
      </c>
      <c r="C6">
        <f t="shared" si="0"/>
        <v>100</v>
      </c>
      <c r="D6">
        <f>'[3]Boss怪-防御'!$D$6</f>
        <v>69</v>
      </c>
      <c r="E6">
        <f>'[3]Boss怪-防御'!$E$6</f>
        <v>40</v>
      </c>
      <c r="F6">
        <f>ROUND('[3]Boss怪-防御'!$F$6 *1000,0)</f>
        <v>100</v>
      </c>
      <c r="G6">
        <f>ROUND('[3]Boss怪-防御'!$H$6 *100,0)</f>
        <v>100</v>
      </c>
      <c r="H6">
        <f>'[3]Boss怪-防御'!$I$6</f>
        <v>51</v>
      </c>
      <c r="I6">
        <f>'[3]Boss怪-防御'!$J$6</f>
        <v>21</v>
      </c>
      <c r="J6">
        <f>'[3]Boss怪-防御'!$V$6</f>
        <v>0</v>
      </c>
      <c r="K6">
        <f>'[3]Boss怪-防御'!$Y$6</f>
        <v>0</v>
      </c>
      <c r="L6">
        <f>'[3]Boss怪-防御'!$Z$6</f>
        <v>0</v>
      </c>
    </row>
    <row r="7" spans="1:12" x14ac:dyDescent="0.15">
      <c r="A7">
        <v>6</v>
      </c>
      <c r="B7">
        <f>'[3]Boss怪-防御'!$C$7</f>
        <v>500</v>
      </c>
      <c r="C7">
        <f t="shared" si="0"/>
        <v>150</v>
      </c>
      <c r="D7">
        <f>'[3]Boss怪-防御'!$D$7</f>
        <v>89</v>
      </c>
      <c r="E7">
        <f>'[3]Boss怪-防御'!$E$7</f>
        <v>58</v>
      </c>
      <c r="F7">
        <f>ROUND('[3]Boss怪-防御'!$F$7 *1000,0)</f>
        <v>100</v>
      </c>
      <c r="G7">
        <f>ROUND('[3]Boss怪-防御'!$H$7 *100,0)</f>
        <v>100</v>
      </c>
      <c r="H7">
        <f>'[3]Boss怪-防御'!$I$7</f>
        <v>65</v>
      </c>
      <c r="I7">
        <f>'[3]Boss怪-防御'!$J$7</f>
        <v>27</v>
      </c>
      <c r="J7">
        <f>'[3]Boss怪-防御'!$V$7</f>
        <v>0</v>
      </c>
      <c r="K7">
        <f>'[3]Boss怪-防御'!$Y$7</f>
        <v>0</v>
      </c>
      <c r="L7">
        <f>'[3]Boss怪-防御'!$Z$7</f>
        <v>0</v>
      </c>
    </row>
    <row r="8" spans="1:12" x14ac:dyDescent="0.15">
      <c r="A8">
        <v>7</v>
      </c>
      <c r="B8">
        <f>'[3]Boss怪-防御'!$C$8</f>
        <v>650</v>
      </c>
      <c r="C8">
        <f t="shared" si="0"/>
        <v>150</v>
      </c>
      <c r="D8">
        <f>'[3]Boss怪-防御'!$D$8</f>
        <v>100</v>
      </c>
      <c r="E8">
        <f>'[3]Boss怪-防御'!$E$8</f>
        <v>80</v>
      </c>
      <c r="F8">
        <f>ROUND('[3]Boss怪-防御'!$F$8 *1000,0)</f>
        <v>101</v>
      </c>
      <c r="G8">
        <f>ROUND('[3]Boss怪-防御'!$H$8 *100,0)</f>
        <v>100</v>
      </c>
      <c r="H8">
        <f>'[3]Boss怪-防御'!$I$8</f>
        <v>81</v>
      </c>
      <c r="I8">
        <f>'[3]Boss怪-防御'!$J$8</f>
        <v>30</v>
      </c>
      <c r="J8">
        <f>'[3]Boss怪-防御'!$V$8</f>
        <v>0</v>
      </c>
      <c r="K8">
        <f>'[3]Boss怪-防御'!$Y$8</f>
        <v>0</v>
      </c>
      <c r="L8">
        <f>'[3]Boss怪-防御'!$Z$8</f>
        <v>0</v>
      </c>
    </row>
    <row r="9" spans="1:12" x14ac:dyDescent="0.15">
      <c r="A9">
        <v>8</v>
      </c>
      <c r="B9">
        <f>'[3]Boss怪-防御'!$C$9</f>
        <v>850</v>
      </c>
      <c r="C9">
        <f t="shared" si="0"/>
        <v>200</v>
      </c>
      <c r="D9">
        <f>'[3]Boss怪-防御'!$D$9</f>
        <v>169</v>
      </c>
      <c r="E9">
        <f>'[3]Boss怪-防御'!$E$9</f>
        <v>115</v>
      </c>
      <c r="F9">
        <f>ROUND('[3]Boss怪-防御'!$F$9 *1000,0)</f>
        <v>101</v>
      </c>
      <c r="G9">
        <f>ROUND('[3]Boss怪-防御'!$H$9 *100,0)</f>
        <v>100</v>
      </c>
      <c r="H9">
        <f>'[3]Boss怪-防御'!$I$9</f>
        <v>99</v>
      </c>
      <c r="I9">
        <f>'[3]Boss怪-防御'!$J$9</f>
        <v>51</v>
      </c>
      <c r="J9">
        <f>'[3]Boss怪-防御'!$V$9</f>
        <v>0</v>
      </c>
      <c r="K9">
        <f>'[3]Boss怪-防御'!$Y$9</f>
        <v>0</v>
      </c>
      <c r="L9">
        <f>'[3]Boss怪-防御'!$Z$9</f>
        <v>0</v>
      </c>
    </row>
    <row r="10" spans="1:12" x14ac:dyDescent="0.15">
      <c r="A10">
        <v>9</v>
      </c>
      <c r="B10">
        <f>'[3]Boss怪-防御'!$C$10</f>
        <v>1050</v>
      </c>
      <c r="C10">
        <f t="shared" si="0"/>
        <v>200</v>
      </c>
      <c r="D10">
        <f>'[3]Boss怪-防御'!$D$10</f>
        <v>175</v>
      </c>
      <c r="E10">
        <f>'[3]Boss怪-防御'!$E$10</f>
        <v>160</v>
      </c>
      <c r="F10">
        <f>ROUND('[3]Boss怪-防御'!$F$10*1000,0)</f>
        <v>101</v>
      </c>
      <c r="G10">
        <f>ROUND('[3]Boss怪-防御'!$H$10*100,0)</f>
        <v>100</v>
      </c>
      <c r="H10">
        <f>'[3]Boss怪-防御'!$I$10</f>
        <v>119</v>
      </c>
      <c r="I10">
        <f>'[3]Boss怪-防御'!$J$10</f>
        <v>53</v>
      </c>
      <c r="J10">
        <f>'[3]Boss怪-防御'!$V$10</f>
        <v>0</v>
      </c>
      <c r="K10">
        <f>'[3]Boss怪-防御'!$Y$10</f>
        <v>0</v>
      </c>
      <c r="L10">
        <f>'[3]Boss怪-防御'!$Z$10</f>
        <v>0</v>
      </c>
    </row>
    <row r="11" spans="1:12" x14ac:dyDescent="0.15">
      <c r="A11">
        <v>10</v>
      </c>
      <c r="B11">
        <f>'[3]Boss怪-防御'!$C$11</f>
        <v>1250</v>
      </c>
      <c r="C11">
        <f t="shared" si="0"/>
        <v>200</v>
      </c>
      <c r="D11">
        <f>'[3]Boss怪-防御'!$D$11</f>
        <v>185</v>
      </c>
      <c r="E11">
        <f>'[3]Boss怪-防御'!$E$11</f>
        <v>200</v>
      </c>
      <c r="F11">
        <f>ROUND('[3]Boss怪-防御'!$F$11*1000,0)</f>
        <v>101</v>
      </c>
      <c r="G11">
        <f>ROUND('[3]Boss怪-防御'!$H$11*100,0)</f>
        <v>100</v>
      </c>
      <c r="H11">
        <f>'[3]Boss怪-防御'!$I$11</f>
        <v>141</v>
      </c>
      <c r="I11">
        <f>'[3]Boss怪-防御'!$J$11</f>
        <v>56</v>
      </c>
      <c r="J11">
        <f>'[3]Boss怪-防御'!$V$11</f>
        <v>0</v>
      </c>
      <c r="K11">
        <f>'[3]Boss怪-防御'!$Y$11</f>
        <v>0</v>
      </c>
      <c r="L11">
        <f>'[3]Boss怪-防御'!$Z$11</f>
        <v>0</v>
      </c>
    </row>
    <row r="12" spans="1:12" x14ac:dyDescent="0.15">
      <c r="A12">
        <v>11</v>
      </c>
      <c r="B12">
        <f>'[3]Boss怪-防御'!$C$12</f>
        <v>1500</v>
      </c>
      <c r="C12">
        <f t="shared" si="0"/>
        <v>250</v>
      </c>
      <c r="D12">
        <f>'[3]Boss怪-防御'!$D$12</f>
        <v>320</v>
      </c>
      <c r="E12">
        <f>'[3]Boss怪-防御'!$E$12</f>
        <v>236</v>
      </c>
      <c r="F12">
        <f>ROUND('[3]Boss怪-防御'!$F$12*1000,0)</f>
        <v>101</v>
      </c>
      <c r="G12">
        <f>ROUND('[3]Boss怪-防御'!$H$12*100,0)</f>
        <v>100</v>
      </c>
      <c r="H12">
        <f>'[3]Boss怪-防御'!$I$12</f>
        <v>165</v>
      </c>
      <c r="I12">
        <f>'[3]Boss怪-防御'!$J$12</f>
        <v>96</v>
      </c>
      <c r="J12">
        <f>'[3]Boss怪-防御'!$V$12</f>
        <v>0</v>
      </c>
      <c r="K12">
        <f>'[3]Boss怪-防御'!$Y$12</f>
        <v>0</v>
      </c>
      <c r="L12">
        <f>'[3]Boss怪-防御'!$Z$12</f>
        <v>0</v>
      </c>
    </row>
    <row r="13" spans="1:12" x14ac:dyDescent="0.15">
      <c r="A13">
        <v>12</v>
      </c>
      <c r="B13">
        <f>'[3]Boss怪-防御'!$C$13</f>
        <v>1750</v>
      </c>
      <c r="C13">
        <f t="shared" si="0"/>
        <v>250</v>
      </c>
      <c r="D13">
        <f>'[3]Boss怪-防御'!$D$13</f>
        <v>364</v>
      </c>
      <c r="E13">
        <f>'[3]Boss怪-防御'!$E$13</f>
        <v>276</v>
      </c>
      <c r="F13">
        <f>ROUND('[3]Boss怪-防御'!$F$13*1000,0)</f>
        <v>102</v>
      </c>
      <c r="G13">
        <f>ROUND('[3]Boss怪-防御'!$H$13*100,0)</f>
        <v>100</v>
      </c>
      <c r="H13">
        <f>'[3]Boss怪-防御'!$I$13</f>
        <v>192</v>
      </c>
      <c r="I13">
        <f>'[3]Boss怪-防御'!$J$13</f>
        <v>109</v>
      </c>
      <c r="J13">
        <f>'[3]Boss怪-防御'!$V$13</f>
        <v>0</v>
      </c>
      <c r="K13">
        <f>'[3]Boss怪-防御'!$Y$13</f>
        <v>0</v>
      </c>
      <c r="L13">
        <f>'[3]Boss怪-防御'!$Z$13</f>
        <v>0</v>
      </c>
    </row>
    <row r="14" spans="1:12" x14ac:dyDescent="0.15">
      <c r="A14">
        <v>13</v>
      </c>
      <c r="B14">
        <f>'[3]Boss怪-防御'!$C$14</f>
        <v>2050</v>
      </c>
      <c r="C14">
        <f t="shared" si="0"/>
        <v>300</v>
      </c>
      <c r="D14">
        <f>'[3]Boss怪-防御'!$D$14</f>
        <v>425</v>
      </c>
      <c r="E14">
        <f>'[3]Boss怪-防御'!$E$14</f>
        <v>320</v>
      </c>
      <c r="F14">
        <f>ROUND('[3]Boss怪-防御'!$F$14*1000,0)</f>
        <v>102</v>
      </c>
      <c r="G14">
        <f>ROUND('[3]Boss怪-防御'!$H$14*100,0)</f>
        <v>100</v>
      </c>
      <c r="H14">
        <f>'[3]Boss怪-防御'!$I$14</f>
        <v>222</v>
      </c>
      <c r="I14">
        <f>'[3]Boss怪-防御'!$J$14</f>
        <v>128</v>
      </c>
      <c r="J14">
        <f>'[3]Boss怪-防御'!$V$14</f>
        <v>0</v>
      </c>
      <c r="K14">
        <f>'[3]Boss怪-防御'!$Y$14</f>
        <v>0</v>
      </c>
      <c r="L14">
        <f>'[3]Boss怪-防御'!$Z$14</f>
        <v>0</v>
      </c>
    </row>
    <row r="15" spans="1:12" x14ac:dyDescent="0.15">
      <c r="A15">
        <v>14</v>
      </c>
      <c r="B15">
        <f>'[3]Boss怪-防御'!$C$15</f>
        <v>2400</v>
      </c>
      <c r="C15">
        <f t="shared" si="0"/>
        <v>350</v>
      </c>
      <c r="D15">
        <f>'[3]Boss怪-防御'!$D$15</f>
        <v>654</v>
      </c>
      <c r="E15">
        <f>'[3]Boss怪-防御'!$E$15</f>
        <v>369</v>
      </c>
      <c r="F15">
        <f>ROUND('[3]Boss怪-防御'!$F$15*1000,0)</f>
        <v>102</v>
      </c>
      <c r="G15">
        <f>ROUND('[3]Boss怪-防御'!$H$15*100,0)</f>
        <v>100</v>
      </c>
      <c r="H15">
        <f>'[3]Boss怪-防御'!$I$15</f>
        <v>255</v>
      </c>
      <c r="I15">
        <f>'[3]Boss怪-防御'!$J$15</f>
        <v>196</v>
      </c>
      <c r="J15">
        <f>'[3]Boss怪-防御'!$V$15</f>
        <v>0</v>
      </c>
      <c r="K15">
        <f>'[3]Boss怪-防御'!$Y$15</f>
        <v>0</v>
      </c>
      <c r="L15">
        <f>'[3]Boss怪-防御'!$Z$15</f>
        <v>0</v>
      </c>
    </row>
    <row r="16" spans="1:12" x14ac:dyDescent="0.15">
      <c r="A16">
        <v>15</v>
      </c>
      <c r="B16">
        <f>'[3]Boss怪-防御'!$C$16</f>
        <v>2850</v>
      </c>
      <c r="C16">
        <f t="shared" si="0"/>
        <v>450</v>
      </c>
      <c r="D16">
        <f>'[3]Boss怪-防御'!$D$16</f>
        <v>801</v>
      </c>
      <c r="E16">
        <f>'[3]Boss怪-防御'!$E$16</f>
        <v>423</v>
      </c>
      <c r="F16">
        <f>ROUND('[3]Boss怪-防御'!$F$16*1000,0)</f>
        <v>103</v>
      </c>
      <c r="G16">
        <f>ROUND('[3]Boss怪-防御'!$H$16*100,0)</f>
        <v>100</v>
      </c>
      <c r="H16">
        <f>'[3]Boss怪-防御'!$I$16</f>
        <v>292</v>
      </c>
      <c r="I16">
        <f>'[3]Boss怪-防御'!$J$16</f>
        <v>240</v>
      </c>
      <c r="J16">
        <f>'[3]Boss怪-防御'!$V$16</f>
        <v>0</v>
      </c>
      <c r="K16">
        <f>'[3]Boss怪-防御'!$Y$16</f>
        <v>0</v>
      </c>
      <c r="L16">
        <f>'[3]Boss怪-防御'!$Z$16</f>
        <v>0</v>
      </c>
    </row>
    <row r="17" spans="1:12" x14ac:dyDescent="0.15">
      <c r="A17">
        <v>16</v>
      </c>
      <c r="B17">
        <f>'[3]Boss怪-防御'!$C$17</f>
        <v>3350</v>
      </c>
      <c r="C17">
        <f t="shared" si="0"/>
        <v>500</v>
      </c>
      <c r="D17">
        <f>'[3]Boss怪-防御'!$D$17</f>
        <v>1173</v>
      </c>
      <c r="E17">
        <f>'[3]Boss怪-防御'!$E$17</f>
        <v>483</v>
      </c>
      <c r="F17">
        <f>ROUND('[3]Boss怪-防御'!$F$17*1000,0)</f>
        <v>103</v>
      </c>
      <c r="G17">
        <f>ROUND('[3]Boss怪-防御'!$H$17*100,0)</f>
        <v>100</v>
      </c>
      <c r="H17">
        <f>'[3]Boss怪-防御'!$I$17</f>
        <v>333</v>
      </c>
      <c r="I17">
        <f>'[3]Boss怪-防御'!$J$17</f>
        <v>352</v>
      </c>
      <c r="J17">
        <f>'[3]Boss怪-防御'!$V$17</f>
        <v>0</v>
      </c>
      <c r="K17">
        <f>'[3]Boss怪-防御'!$Y$17</f>
        <v>0</v>
      </c>
      <c r="L17">
        <f>'[3]Boss怪-防御'!$Z$17</f>
        <v>0</v>
      </c>
    </row>
    <row r="18" spans="1:12" x14ac:dyDescent="0.15">
      <c r="A18">
        <v>17</v>
      </c>
      <c r="B18">
        <f>'[3]Boss怪-防御'!$C$18</f>
        <v>3900</v>
      </c>
      <c r="C18">
        <f t="shared" si="0"/>
        <v>550</v>
      </c>
      <c r="D18">
        <f>'[3]Boss怪-防御'!$D$18</f>
        <v>1384</v>
      </c>
      <c r="E18">
        <f>'[3]Boss怪-防御'!$E$18</f>
        <v>550</v>
      </c>
      <c r="F18">
        <f>ROUND('[3]Boss怪-防御'!$F$18*1000,0)</f>
        <v>104</v>
      </c>
      <c r="G18">
        <f>ROUND('[3]Boss怪-防御'!$H$18*100,0)</f>
        <v>100</v>
      </c>
      <c r="H18">
        <f>'[3]Boss怪-防御'!$I$18</f>
        <v>379</v>
      </c>
      <c r="I18">
        <f>'[3]Boss怪-防御'!$J$18</f>
        <v>415</v>
      </c>
      <c r="J18">
        <f>'[3]Boss怪-防御'!$V$18</f>
        <v>0</v>
      </c>
      <c r="K18">
        <f>'[3]Boss怪-防御'!$Y$18</f>
        <v>0</v>
      </c>
      <c r="L18">
        <f>'[3]Boss怪-防御'!$Z$18</f>
        <v>0</v>
      </c>
    </row>
    <row r="19" spans="1:12" x14ac:dyDescent="0.15">
      <c r="A19">
        <v>18</v>
      </c>
      <c r="B19">
        <f>'[3]Boss怪-防御'!$C$19</f>
        <v>4550</v>
      </c>
      <c r="C19">
        <f t="shared" si="0"/>
        <v>650</v>
      </c>
      <c r="D19">
        <f>'[3]Boss怪-防御'!$D$19</f>
        <v>1643</v>
      </c>
      <c r="E19">
        <f>'[3]Boss怪-防御'!$E$19</f>
        <v>625</v>
      </c>
      <c r="F19">
        <f>ROUND('[3]Boss怪-防御'!$F$19*1000,0)</f>
        <v>105</v>
      </c>
      <c r="G19">
        <f>ROUND('[3]Boss怪-防御'!$H$19*100,0)</f>
        <v>100</v>
      </c>
      <c r="H19">
        <f>'[3]Boss怪-防御'!$I$19</f>
        <v>430</v>
      </c>
      <c r="I19">
        <f>'[3]Boss怪-防御'!$J$19</f>
        <v>493</v>
      </c>
      <c r="J19">
        <f>'[3]Boss怪-防御'!$V$19</f>
        <v>0</v>
      </c>
      <c r="K19">
        <f>'[3]Boss怪-防御'!$Y$19</f>
        <v>0</v>
      </c>
      <c r="L19">
        <f>'[3]Boss怪-防御'!$Z$19</f>
        <v>0</v>
      </c>
    </row>
    <row r="20" spans="1:12" x14ac:dyDescent="0.15">
      <c r="A20">
        <v>19</v>
      </c>
      <c r="B20">
        <f>'[3]Boss怪-防御'!$C$20</f>
        <v>5500</v>
      </c>
      <c r="C20">
        <f t="shared" si="0"/>
        <v>950</v>
      </c>
      <c r="D20">
        <f>'[3]Boss怪-防御'!$D$20</f>
        <v>2423</v>
      </c>
      <c r="E20">
        <f>'[3]Boss怪-防御'!$E$20</f>
        <v>708</v>
      </c>
      <c r="F20">
        <f>ROUND('[3]Boss怪-防御'!$F$20*1000,0)</f>
        <v>105</v>
      </c>
      <c r="G20">
        <f>ROUND('[3]Boss怪-防御'!$H$20*100,0)</f>
        <v>100</v>
      </c>
      <c r="H20">
        <f>'[3]Boss怪-防御'!$I$20</f>
        <v>487</v>
      </c>
      <c r="I20">
        <f>'[3]Boss怪-防御'!$J$20</f>
        <v>727</v>
      </c>
      <c r="J20">
        <f>'[3]Boss怪-防御'!$V$20</f>
        <v>0</v>
      </c>
      <c r="K20">
        <f>'[3]Boss怪-防御'!$Y$20</f>
        <v>0</v>
      </c>
      <c r="L20">
        <f>'[3]Boss怪-防御'!$Z$20</f>
        <v>0</v>
      </c>
    </row>
    <row r="21" spans="1:12" x14ac:dyDescent="0.15">
      <c r="A21">
        <v>20</v>
      </c>
      <c r="B21">
        <f>'[3]Boss怪-防御'!$C$21</f>
        <v>6600</v>
      </c>
      <c r="C21">
        <f t="shared" si="0"/>
        <v>1100</v>
      </c>
      <c r="D21">
        <f>'[3]Boss怪-防御'!$D$21</f>
        <v>3042</v>
      </c>
      <c r="E21">
        <f>'[3]Boss怪-防御'!$E$21</f>
        <v>840</v>
      </c>
      <c r="F21">
        <f>ROUND('[3]Boss怪-防御'!$F$21*1000,0)</f>
        <v>107</v>
      </c>
      <c r="G21">
        <f>ROUND('[3]Boss怪-防御'!$H$21*100,0)</f>
        <v>100</v>
      </c>
      <c r="H21">
        <f>'[3]Boss怪-防御'!$I$21</f>
        <v>600</v>
      </c>
      <c r="I21">
        <f>'[3]Boss怪-防御'!$J$21</f>
        <v>913</v>
      </c>
      <c r="J21">
        <f>'[3]Boss怪-防御'!$V$21</f>
        <v>0</v>
      </c>
      <c r="K21">
        <f>'[3]Boss怪-防御'!$Y$21</f>
        <v>0</v>
      </c>
      <c r="L21">
        <f>'[3]Boss怪-防御'!$Z$21</f>
        <v>0</v>
      </c>
    </row>
    <row r="22" spans="1:12" x14ac:dyDescent="0.15">
      <c r="A22">
        <v>21</v>
      </c>
      <c r="B22">
        <f>'[3]Boss怪-防御'!$C$22</f>
        <v>9450</v>
      </c>
      <c r="C22">
        <f t="shared" si="0"/>
        <v>2850</v>
      </c>
      <c r="D22">
        <f>'[3]Boss怪-防御'!$D$22</f>
        <v>4602</v>
      </c>
      <c r="E22">
        <f>'[3]Boss怪-防御'!$E$22</f>
        <v>764</v>
      </c>
      <c r="F22">
        <f>ROUND('[3]Boss怪-防御'!$F$22*1000,0)</f>
        <v>109</v>
      </c>
      <c r="G22">
        <f>ROUND('[3]Boss怪-防御'!$H$22*100,0)</f>
        <v>100</v>
      </c>
      <c r="H22">
        <f>'[3]Boss怪-防御'!$I$22</f>
        <v>758</v>
      </c>
      <c r="I22">
        <f>'[3]Boss怪-防御'!$J$22</f>
        <v>1381</v>
      </c>
      <c r="J22">
        <f>'[3]Boss怪-防御'!$V$22</f>
        <v>0</v>
      </c>
      <c r="K22">
        <f>'[3]Boss怪-防御'!$Y$22</f>
        <v>0</v>
      </c>
      <c r="L22">
        <f>'[3]Boss怪-防御'!$Z$22</f>
        <v>0</v>
      </c>
    </row>
    <row r="23" spans="1:12" x14ac:dyDescent="0.15">
      <c r="A23">
        <v>22</v>
      </c>
      <c r="B23">
        <f>'[3]Boss怪-防御'!$C$23</f>
        <v>12800</v>
      </c>
      <c r="C23">
        <f t="shared" si="0"/>
        <v>3350</v>
      </c>
      <c r="D23">
        <f>'[3]Boss怪-防御'!$D$23</f>
        <v>7023</v>
      </c>
      <c r="E23">
        <f>'[3]Boss怪-防御'!$E$23</f>
        <v>1032</v>
      </c>
      <c r="F23">
        <f>ROUND('[3]Boss怪-防御'!$F$23*1000,0)</f>
        <v>113</v>
      </c>
      <c r="G23">
        <f>ROUND('[3]Boss怪-防御'!$H$23*100,0)</f>
        <v>100</v>
      </c>
      <c r="H23">
        <f>'[3]Boss怪-防御'!$I$23</f>
        <v>979</v>
      </c>
      <c r="I23">
        <f>'[3]Boss怪-防御'!$J$23</f>
        <v>2107</v>
      </c>
      <c r="J23">
        <f>'[3]Boss怪-防御'!$V$23</f>
        <v>0</v>
      </c>
      <c r="K23">
        <f>'[3]Boss怪-防御'!$Y$23</f>
        <v>0</v>
      </c>
      <c r="L23">
        <f>'[3]Boss怪-防御'!$Z$23</f>
        <v>0</v>
      </c>
    </row>
    <row r="24" spans="1:12" x14ac:dyDescent="0.15">
      <c r="A24">
        <v>23</v>
      </c>
      <c r="B24">
        <f>'[3]Boss怪-防御'!$C$24</f>
        <v>17400</v>
      </c>
      <c r="C24">
        <f t="shared" si="0"/>
        <v>4600</v>
      </c>
      <c r="D24">
        <f>'[3]Boss怪-防御'!$D$24</f>
        <v>9589</v>
      </c>
      <c r="E24">
        <f>'[3]Boss怪-防御'!$E$24</f>
        <v>1400</v>
      </c>
      <c r="F24">
        <f>ROUND('[3]Boss怪-防御'!$F$24*1000,0)</f>
        <v>117</v>
      </c>
      <c r="G24">
        <f>ROUND('[3]Boss怪-防御'!$H$24*100,0)</f>
        <v>100</v>
      </c>
      <c r="H24">
        <f>'[3]Boss怪-防御'!$I$24</f>
        <v>1288</v>
      </c>
      <c r="I24">
        <f>'[3]Boss怪-防御'!$J$24</f>
        <v>2877</v>
      </c>
      <c r="J24">
        <f>'[3]Boss怪-防御'!$V$24</f>
        <v>0</v>
      </c>
      <c r="K24">
        <f>'[3]Boss怪-防御'!$Y$24</f>
        <v>0</v>
      </c>
      <c r="L24">
        <f>'[3]Boss怪-防御'!$Z$24</f>
        <v>0</v>
      </c>
    </row>
    <row r="25" spans="1:12" x14ac:dyDescent="0.15">
      <c r="A25">
        <v>24</v>
      </c>
      <c r="B25">
        <f>'[3]Boss怪-防御'!$C$25</f>
        <v>23250</v>
      </c>
      <c r="C25">
        <f t="shared" si="0"/>
        <v>5850</v>
      </c>
      <c r="D25">
        <f>'[3]Boss怪-防御'!$D$25</f>
        <v>12802</v>
      </c>
      <c r="E25">
        <f>'[3]Boss怪-防御'!$E$25</f>
        <v>1868</v>
      </c>
      <c r="F25">
        <f>ROUND('[3]Boss怪-防御'!$F$25*1000,0)</f>
        <v>123</v>
      </c>
      <c r="G25">
        <f>ROUND('[3]Boss怪-防御'!$H$25*100,0)</f>
        <v>100</v>
      </c>
      <c r="H25">
        <f>'[3]Boss怪-防御'!$I$25</f>
        <v>1721</v>
      </c>
      <c r="I25">
        <f>'[3]Boss怪-防御'!$J$25</f>
        <v>3841</v>
      </c>
      <c r="J25">
        <f>'[3]Boss怪-防御'!$V$25</f>
        <v>0</v>
      </c>
      <c r="K25">
        <f>'[3]Boss怪-防御'!$Y$25</f>
        <v>0</v>
      </c>
      <c r="L25">
        <f>'[3]Boss怪-防御'!$Z$25</f>
        <v>0</v>
      </c>
    </row>
    <row r="26" spans="1:12" x14ac:dyDescent="0.15">
      <c r="A26">
        <v>25</v>
      </c>
      <c r="B26">
        <f>'[3]Boss怪-防御'!$C$26</f>
        <v>30750</v>
      </c>
      <c r="C26">
        <f t="shared" si="0"/>
        <v>7500</v>
      </c>
      <c r="D26">
        <f>'[3]Boss怪-防御'!$D$26</f>
        <v>16863</v>
      </c>
      <c r="E26">
        <f>'[3]Boss怪-防御'!$E$26</f>
        <v>2468</v>
      </c>
      <c r="F26">
        <f>ROUND('[3]Boss怪-防御'!$F$26*1000,0)</f>
        <v>131</v>
      </c>
      <c r="G26">
        <f>ROUND('[3]Boss怪-防御'!$H$26*100,0)</f>
        <v>100</v>
      </c>
      <c r="H26">
        <f>'[3]Boss怪-防御'!$I$26</f>
        <v>2327</v>
      </c>
      <c r="I26">
        <f>'[3]Boss怪-防御'!$J$26</f>
        <v>5059</v>
      </c>
      <c r="J26">
        <f>'[3]Boss怪-防御'!$V$26</f>
        <v>0</v>
      </c>
      <c r="K26">
        <f>'[3]Boss怪-防御'!$Y$26</f>
        <v>0</v>
      </c>
      <c r="L26">
        <f>'[3]Boss怪-防御'!$Z$26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MonsterCard</vt:lpstr>
      <vt:lpstr>Map</vt:lpstr>
      <vt:lpstr>CardConf</vt:lpstr>
      <vt:lpstr>C_TangSangzang</vt:lpstr>
      <vt:lpstr>C_SunWukong</vt:lpstr>
      <vt:lpstr>C_ZhuBajie</vt:lpstr>
      <vt:lpstr>C_ShaHeshang</vt:lpstr>
      <vt:lpstr>C_BaiLongma</vt:lpstr>
      <vt:lpstr>C_LiuBoxin</vt:lpstr>
      <vt:lpstr>C_WukongLiuyi</vt:lpstr>
      <vt:lpstr>C_GuiChengxiang</vt:lpstr>
      <vt:lpstr>C_LingXuzi</vt:lpstr>
      <vt:lpstr>C_HeiXiongjing</vt:lpstr>
      <vt:lpstr>C_HuXianfeng</vt:lpstr>
      <vt:lpstr>C_HuangFengguai</vt:lpstr>
      <vt:lpstr>C_PutongAttack</vt:lpstr>
      <vt:lpstr>C_PutongRecover</vt:lpstr>
      <vt:lpstr>C_PutongAgile</vt:lpstr>
      <vt:lpstr>C_PutongDefense</vt:lpstr>
      <vt:lpstr>C_JingyingAttack</vt:lpstr>
      <vt:lpstr>C_JingyingRecover</vt:lpstr>
      <vt:lpstr>C_JingyingAgile</vt:lpstr>
      <vt:lpstr>C_JingyingDefense</vt:lpstr>
      <vt:lpstr>C_BossAttack</vt:lpstr>
      <vt:lpstr>C_BossRecover</vt:lpstr>
      <vt:lpstr>C_BossAgile</vt:lpstr>
      <vt:lpstr>C_BossDefense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2013-08-27T05:48:06Z</dcterms:modified>
</cp:coreProperties>
</file>