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315" windowWidth="14805" windowHeight="7800" firstSheet="26" activeTab="26"/>
  </bookViews>
  <sheets>
    <sheet name="玩家卡牌配置表" sheetId="29" r:id="rId1"/>
    <sheet name="monster_card" sheetId="30" r:id="rId2"/>
    <sheet name="map" sheetId="3" r:id="rId3"/>
    <sheet name="C_TangSangzang" sheetId="1" r:id="rId4"/>
    <sheet name="C_SunWukong" sheetId="5" r:id="rId5"/>
    <sheet name="C_ZhuBajie" sheetId="6" r:id="rId6"/>
    <sheet name="C_ShaHeshang" sheetId="7" r:id="rId7"/>
    <sheet name="C_BaiLongma" sheetId="8" r:id="rId8"/>
    <sheet name="C_LiuBoxin" sheetId="9" r:id="rId9"/>
    <sheet name="C_WukongLiuyi" sheetId="10" r:id="rId10"/>
    <sheet name="C_GuiChengxiang" sheetId="11" r:id="rId11"/>
    <sheet name="C_LingXuzi" sheetId="12" r:id="rId12"/>
    <sheet name="C_HeiXiongjing" sheetId="13" r:id="rId13"/>
    <sheet name="C_HuXianfeng" sheetId="14" r:id="rId14"/>
    <sheet name="C_HuangFengguai" sheetId="15" r:id="rId15"/>
    <sheet name="C_PutongAttack" sheetId="16" r:id="rId16"/>
    <sheet name="C_PutongRecover" sheetId="17" r:id="rId17"/>
    <sheet name="C_PutongAgile" sheetId="18" r:id="rId18"/>
    <sheet name="C_PutongDefense" sheetId="19" r:id="rId19"/>
    <sheet name="C_JingyingAttack" sheetId="20" r:id="rId20"/>
    <sheet name="C_JingyingRecover" sheetId="21" r:id="rId21"/>
    <sheet name="C_JingyingAgile" sheetId="28" r:id="rId22"/>
    <sheet name="C_JingyingDefense" sheetId="27" r:id="rId23"/>
    <sheet name="C_BossAttack" sheetId="26" r:id="rId24"/>
    <sheet name="C_BossRecover" sheetId="25" r:id="rId25"/>
    <sheet name="C_BossAgile" sheetId="24" r:id="rId26"/>
    <sheet name="C_BossDefense" sheetId="23" r:id="rId27"/>
  </sheets>
  <externalReferences>
    <externalReference r:id="rId28"/>
  </externalReferences>
  <calcPr calcId="144525"/>
</workbook>
</file>

<file path=xl/calcChain.xml><?xml version="1.0" encoding="utf-8"?>
<calcChain xmlns="http://schemas.openxmlformats.org/spreadsheetml/2006/main">
  <c r="I26" i="23" l="1"/>
  <c r="H26" i="23"/>
  <c r="G26" i="23"/>
  <c r="F26" i="23"/>
  <c r="E26" i="23"/>
  <c r="D26" i="23"/>
  <c r="B26" i="23"/>
  <c r="I25" i="23"/>
  <c r="H25" i="23"/>
  <c r="G25" i="23"/>
  <c r="F25" i="23"/>
  <c r="E25" i="23"/>
  <c r="D25" i="23"/>
  <c r="B25" i="23"/>
  <c r="I24" i="23"/>
  <c r="H24" i="23"/>
  <c r="G24" i="23"/>
  <c r="F24" i="23"/>
  <c r="E24" i="23"/>
  <c r="D24" i="23"/>
  <c r="B24" i="23"/>
  <c r="I23" i="23"/>
  <c r="H23" i="23"/>
  <c r="G23" i="23"/>
  <c r="F23" i="23"/>
  <c r="E23" i="23"/>
  <c r="D23" i="23"/>
  <c r="B23" i="23"/>
  <c r="I22" i="23"/>
  <c r="H22" i="23"/>
  <c r="G22" i="23"/>
  <c r="F22" i="23"/>
  <c r="E22" i="23"/>
  <c r="D22" i="23"/>
  <c r="B22" i="23"/>
  <c r="I21" i="23"/>
  <c r="H21" i="23"/>
  <c r="G21" i="23"/>
  <c r="F21" i="23"/>
  <c r="E21" i="23"/>
  <c r="D21" i="23"/>
  <c r="B21" i="23"/>
  <c r="I20" i="23"/>
  <c r="H20" i="23"/>
  <c r="G20" i="23"/>
  <c r="F20" i="23"/>
  <c r="E20" i="23"/>
  <c r="D20" i="23"/>
  <c r="B20" i="23"/>
  <c r="I19" i="23"/>
  <c r="H19" i="23"/>
  <c r="G19" i="23"/>
  <c r="F19" i="23"/>
  <c r="E19" i="23"/>
  <c r="D19" i="23"/>
  <c r="B19" i="23"/>
  <c r="I18" i="23"/>
  <c r="H18" i="23"/>
  <c r="G18" i="23"/>
  <c r="F18" i="23"/>
  <c r="E18" i="23"/>
  <c r="D18" i="23"/>
  <c r="B18" i="23"/>
  <c r="I17" i="23"/>
  <c r="H17" i="23"/>
  <c r="G17" i="23"/>
  <c r="F17" i="23"/>
  <c r="E17" i="23"/>
  <c r="D17" i="23"/>
  <c r="B17" i="23"/>
  <c r="I16" i="23"/>
  <c r="H16" i="23"/>
  <c r="G16" i="23"/>
  <c r="F16" i="23"/>
  <c r="E16" i="23"/>
  <c r="D16" i="23"/>
  <c r="B16" i="23"/>
  <c r="I15" i="23"/>
  <c r="H15" i="23"/>
  <c r="G15" i="23"/>
  <c r="F15" i="23"/>
  <c r="E15" i="23"/>
  <c r="D15" i="23"/>
  <c r="B15" i="23"/>
  <c r="I14" i="23"/>
  <c r="H14" i="23"/>
  <c r="G14" i="23"/>
  <c r="F14" i="23"/>
  <c r="E14" i="23"/>
  <c r="D14" i="23"/>
  <c r="B14" i="23"/>
  <c r="I13" i="23"/>
  <c r="H13" i="23"/>
  <c r="G13" i="23"/>
  <c r="F13" i="23"/>
  <c r="E13" i="23"/>
  <c r="D13" i="23"/>
  <c r="B13" i="23"/>
  <c r="I12" i="23"/>
  <c r="H12" i="23"/>
  <c r="G12" i="23"/>
  <c r="F12" i="23"/>
  <c r="E12" i="23"/>
  <c r="D12" i="23"/>
  <c r="B12" i="23"/>
  <c r="I11" i="23"/>
  <c r="H11" i="23"/>
  <c r="G11" i="23"/>
  <c r="F11" i="23"/>
  <c r="E11" i="23"/>
  <c r="D11" i="23"/>
  <c r="B11" i="23"/>
  <c r="I10" i="23"/>
  <c r="H10" i="23"/>
  <c r="G10" i="23"/>
  <c r="F10" i="23"/>
  <c r="E10" i="23"/>
  <c r="D10" i="23"/>
  <c r="B10" i="23"/>
  <c r="I9" i="23"/>
  <c r="H9" i="23"/>
  <c r="G9" i="23"/>
  <c r="F9" i="23"/>
  <c r="E9" i="23"/>
  <c r="D9" i="23"/>
  <c r="B9" i="23"/>
  <c r="I8" i="23"/>
  <c r="H8" i="23"/>
  <c r="G8" i="23"/>
  <c r="F8" i="23"/>
  <c r="E8" i="23"/>
  <c r="D8" i="23"/>
  <c r="B8" i="23"/>
  <c r="I7" i="23"/>
  <c r="H7" i="23"/>
  <c r="G7" i="23"/>
  <c r="F7" i="23"/>
  <c r="E7" i="23"/>
  <c r="D7" i="23"/>
  <c r="B7" i="23"/>
  <c r="I6" i="23"/>
  <c r="H6" i="23"/>
  <c r="G6" i="23"/>
  <c r="F6" i="23"/>
  <c r="E6" i="23"/>
  <c r="D6" i="23"/>
  <c r="B6" i="23"/>
  <c r="I5" i="23"/>
  <c r="H5" i="23"/>
  <c r="G5" i="23"/>
  <c r="F5" i="23"/>
  <c r="E5" i="23"/>
  <c r="D5" i="23"/>
  <c r="B5" i="23"/>
  <c r="I4" i="23"/>
  <c r="H4" i="23"/>
  <c r="G4" i="23"/>
  <c r="F4" i="23"/>
  <c r="E4" i="23"/>
  <c r="D4" i="23"/>
  <c r="B4" i="23"/>
  <c r="I3" i="23"/>
  <c r="H3" i="23"/>
  <c r="G3" i="23"/>
  <c r="F3" i="23"/>
  <c r="E3" i="23"/>
  <c r="D3" i="23"/>
  <c r="B3" i="23"/>
  <c r="I2" i="23"/>
  <c r="H2" i="23"/>
  <c r="G2" i="23"/>
  <c r="F2" i="23"/>
  <c r="E2" i="23"/>
  <c r="D2" i="23"/>
  <c r="B2" i="23"/>
  <c r="I26" i="24"/>
  <c r="H26" i="24"/>
  <c r="G26" i="24"/>
  <c r="F26" i="24"/>
  <c r="E26" i="24"/>
  <c r="D26" i="24"/>
  <c r="B26" i="24"/>
  <c r="I25" i="24"/>
  <c r="H25" i="24"/>
  <c r="G25" i="24"/>
  <c r="F25" i="24"/>
  <c r="E25" i="24"/>
  <c r="D25" i="24"/>
  <c r="B25" i="24"/>
  <c r="I24" i="24"/>
  <c r="H24" i="24"/>
  <c r="G24" i="24"/>
  <c r="F24" i="24"/>
  <c r="E24" i="24"/>
  <c r="D24" i="24"/>
  <c r="B24" i="24"/>
  <c r="I23" i="24"/>
  <c r="H23" i="24"/>
  <c r="G23" i="24"/>
  <c r="F23" i="24"/>
  <c r="E23" i="24"/>
  <c r="D23" i="24"/>
  <c r="B23" i="24"/>
  <c r="I22" i="24"/>
  <c r="H22" i="24"/>
  <c r="G22" i="24"/>
  <c r="F22" i="24"/>
  <c r="E22" i="24"/>
  <c r="D22" i="24"/>
  <c r="B22" i="24"/>
  <c r="I21" i="24"/>
  <c r="H21" i="24"/>
  <c r="G21" i="24"/>
  <c r="F21" i="24"/>
  <c r="E21" i="24"/>
  <c r="D21" i="24"/>
  <c r="B21" i="24"/>
  <c r="I20" i="24"/>
  <c r="H20" i="24"/>
  <c r="G20" i="24"/>
  <c r="F20" i="24"/>
  <c r="E20" i="24"/>
  <c r="D20" i="24"/>
  <c r="B20" i="24"/>
  <c r="I19" i="24"/>
  <c r="H19" i="24"/>
  <c r="G19" i="24"/>
  <c r="F19" i="24"/>
  <c r="E19" i="24"/>
  <c r="D19" i="24"/>
  <c r="B19" i="24"/>
  <c r="I18" i="24"/>
  <c r="H18" i="24"/>
  <c r="G18" i="24"/>
  <c r="F18" i="24"/>
  <c r="E18" i="24"/>
  <c r="D18" i="24"/>
  <c r="B18" i="24"/>
  <c r="I17" i="24"/>
  <c r="H17" i="24"/>
  <c r="G17" i="24"/>
  <c r="F17" i="24"/>
  <c r="E17" i="24"/>
  <c r="D17" i="24"/>
  <c r="B17" i="24"/>
  <c r="I16" i="24"/>
  <c r="H16" i="24"/>
  <c r="G16" i="24"/>
  <c r="F16" i="24"/>
  <c r="E16" i="24"/>
  <c r="D16" i="24"/>
  <c r="B16" i="24"/>
  <c r="I15" i="24"/>
  <c r="H15" i="24"/>
  <c r="G15" i="24"/>
  <c r="F15" i="24"/>
  <c r="E15" i="24"/>
  <c r="D15" i="24"/>
  <c r="B15" i="24"/>
  <c r="I14" i="24"/>
  <c r="H14" i="24"/>
  <c r="G14" i="24"/>
  <c r="F14" i="24"/>
  <c r="E14" i="24"/>
  <c r="D14" i="24"/>
  <c r="B14" i="24"/>
  <c r="I13" i="24"/>
  <c r="H13" i="24"/>
  <c r="G13" i="24"/>
  <c r="F13" i="24"/>
  <c r="E13" i="24"/>
  <c r="D13" i="24"/>
  <c r="B13" i="24"/>
  <c r="I12" i="24"/>
  <c r="H12" i="24"/>
  <c r="G12" i="24"/>
  <c r="F12" i="24"/>
  <c r="E12" i="24"/>
  <c r="D12" i="24"/>
  <c r="B12" i="24"/>
  <c r="I11" i="24"/>
  <c r="H11" i="24"/>
  <c r="G11" i="24"/>
  <c r="F11" i="24"/>
  <c r="E11" i="24"/>
  <c r="D11" i="24"/>
  <c r="B11" i="24"/>
  <c r="I10" i="24"/>
  <c r="H10" i="24"/>
  <c r="G10" i="24"/>
  <c r="F10" i="24"/>
  <c r="E10" i="24"/>
  <c r="D10" i="24"/>
  <c r="B10" i="24"/>
  <c r="I9" i="24"/>
  <c r="H9" i="24"/>
  <c r="G9" i="24"/>
  <c r="F9" i="24"/>
  <c r="E9" i="24"/>
  <c r="D9" i="24"/>
  <c r="B9" i="24"/>
  <c r="I8" i="24"/>
  <c r="H8" i="24"/>
  <c r="G8" i="24"/>
  <c r="F8" i="24"/>
  <c r="E8" i="24"/>
  <c r="D8" i="24"/>
  <c r="B8" i="24"/>
  <c r="I7" i="24"/>
  <c r="H7" i="24"/>
  <c r="G7" i="24"/>
  <c r="F7" i="24"/>
  <c r="E7" i="24"/>
  <c r="D7" i="24"/>
  <c r="B7" i="24"/>
  <c r="I6" i="24"/>
  <c r="H6" i="24"/>
  <c r="G6" i="24"/>
  <c r="F6" i="24"/>
  <c r="E6" i="24"/>
  <c r="D6" i="24"/>
  <c r="B6" i="24"/>
  <c r="I5" i="24"/>
  <c r="H5" i="24"/>
  <c r="G5" i="24"/>
  <c r="F5" i="24"/>
  <c r="E5" i="24"/>
  <c r="D5" i="24"/>
  <c r="B5" i="24"/>
  <c r="I4" i="24"/>
  <c r="H4" i="24"/>
  <c r="G4" i="24"/>
  <c r="F4" i="24"/>
  <c r="E4" i="24"/>
  <c r="D4" i="24"/>
  <c r="B4" i="24"/>
  <c r="I3" i="24"/>
  <c r="H3" i="24"/>
  <c r="G3" i="24"/>
  <c r="F3" i="24"/>
  <c r="E3" i="24"/>
  <c r="D3" i="24"/>
  <c r="B3" i="24"/>
  <c r="I2" i="24"/>
  <c r="H2" i="24"/>
  <c r="G2" i="24"/>
  <c r="F2" i="24"/>
  <c r="E2" i="24"/>
  <c r="D2" i="24"/>
  <c r="B2" i="24"/>
  <c r="I26" i="25"/>
  <c r="H26" i="25"/>
  <c r="G26" i="25"/>
  <c r="F26" i="25"/>
  <c r="E26" i="25"/>
  <c r="D26" i="25"/>
  <c r="B26" i="25"/>
  <c r="I25" i="25"/>
  <c r="H25" i="25"/>
  <c r="G25" i="25"/>
  <c r="F25" i="25"/>
  <c r="E25" i="25"/>
  <c r="D25" i="25"/>
  <c r="B25" i="25"/>
  <c r="I24" i="25"/>
  <c r="H24" i="25"/>
  <c r="G24" i="25"/>
  <c r="F24" i="25"/>
  <c r="E24" i="25"/>
  <c r="D24" i="25"/>
  <c r="B24" i="25"/>
  <c r="I23" i="25"/>
  <c r="H23" i="25"/>
  <c r="G23" i="25"/>
  <c r="F23" i="25"/>
  <c r="E23" i="25"/>
  <c r="D23" i="25"/>
  <c r="B23" i="25"/>
  <c r="I22" i="25"/>
  <c r="H22" i="25"/>
  <c r="G22" i="25"/>
  <c r="F22" i="25"/>
  <c r="E22" i="25"/>
  <c r="D22" i="25"/>
  <c r="B22" i="25"/>
  <c r="I21" i="25"/>
  <c r="H21" i="25"/>
  <c r="G21" i="25"/>
  <c r="F21" i="25"/>
  <c r="E21" i="25"/>
  <c r="D21" i="25"/>
  <c r="B21" i="25"/>
  <c r="I20" i="25"/>
  <c r="H20" i="25"/>
  <c r="G20" i="25"/>
  <c r="F20" i="25"/>
  <c r="E20" i="25"/>
  <c r="D20" i="25"/>
  <c r="B20" i="25"/>
  <c r="I19" i="25"/>
  <c r="H19" i="25"/>
  <c r="G19" i="25"/>
  <c r="F19" i="25"/>
  <c r="E19" i="25"/>
  <c r="D19" i="25"/>
  <c r="B19" i="25"/>
  <c r="I18" i="25"/>
  <c r="H18" i="25"/>
  <c r="G18" i="25"/>
  <c r="F18" i="25"/>
  <c r="E18" i="25"/>
  <c r="D18" i="25"/>
  <c r="B18" i="25"/>
  <c r="I17" i="25"/>
  <c r="H17" i="25"/>
  <c r="G17" i="25"/>
  <c r="F17" i="25"/>
  <c r="E17" i="25"/>
  <c r="D17" i="25"/>
  <c r="B17" i="25"/>
  <c r="I16" i="25"/>
  <c r="H16" i="25"/>
  <c r="G16" i="25"/>
  <c r="F16" i="25"/>
  <c r="E16" i="25"/>
  <c r="D16" i="25"/>
  <c r="B16" i="25"/>
  <c r="I15" i="25"/>
  <c r="H15" i="25"/>
  <c r="G15" i="25"/>
  <c r="F15" i="25"/>
  <c r="E15" i="25"/>
  <c r="D15" i="25"/>
  <c r="B15" i="25"/>
  <c r="I14" i="25"/>
  <c r="H14" i="25"/>
  <c r="G14" i="25"/>
  <c r="F14" i="25"/>
  <c r="E14" i="25"/>
  <c r="D14" i="25"/>
  <c r="B14" i="25"/>
  <c r="I13" i="25"/>
  <c r="H13" i="25"/>
  <c r="G13" i="25"/>
  <c r="F13" i="25"/>
  <c r="E13" i="25"/>
  <c r="D13" i="25"/>
  <c r="B13" i="25"/>
  <c r="I12" i="25"/>
  <c r="H12" i="25"/>
  <c r="G12" i="25"/>
  <c r="F12" i="25"/>
  <c r="E12" i="25"/>
  <c r="D12" i="25"/>
  <c r="B12" i="25"/>
  <c r="I11" i="25"/>
  <c r="H11" i="25"/>
  <c r="G11" i="25"/>
  <c r="F11" i="25"/>
  <c r="E11" i="25"/>
  <c r="D11" i="25"/>
  <c r="B11" i="25"/>
  <c r="I10" i="25"/>
  <c r="H10" i="25"/>
  <c r="G10" i="25"/>
  <c r="F10" i="25"/>
  <c r="E10" i="25"/>
  <c r="D10" i="25"/>
  <c r="B10" i="25"/>
  <c r="I9" i="25"/>
  <c r="H9" i="25"/>
  <c r="G9" i="25"/>
  <c r="F9" i="25"/>
  <c r="E9" i="25"/>
  <c r="D9" i="25"/>
  <c r="B9" i="25"/>
  <c r="I8" i="25"/>
  <c r="H8" i="25"/>
  <c r="G8" i="25"/>
  <c r="F8" i="25"/>
  <c r="E8" i="25"/>
  <c r="D8" i="25"/>
  <c r="B8" i="25"/>
  <c r="I7" i="25"/>
  <c r="H7" i="25"/>
  <c r="G7" i="25"/>
  <c r="F7" i="25"/>
  <c r="E7" i="25"/>
  <c r="D7" i="25"/>
  <c r="B7" i="25"/>
  <c r="I6" i="25"/>
  <c r="H6" i="25"/>
  <c r="G6" i="25"/>
  <c r="F6" i="25"/>
  <c r="E6" i="25"/>
  <c r="D6" i="25"/>
  <c r="B6" i="25"/>
  <c r="I5" i="25"/>
  <c r="H5" i="25"/>
  <c r="G5" i="25"/>
  <c r="F5" i="25"/>
  <c r="E5" i="25"/>
  <c r="D5" i="25"/>
  <c r="B5" i="25"/>
  <c r="I4" i="25"/>
  <c r="H4" i="25"/>
  <c r="G4" i="25"/>
  <c r="F4" i="25"/>
  <c r="E4" i="25"/>
  <c r="D4" i="25"/>
  <c r="B4" i="25"/>
  <c r="I3" i="25"/>
  <c r="H3" i="25"/>
  <c r="G3" i="25"/>
  <c r="F3" i="25"/>
  <c r="E3" i="25"/>
  <c r="D3" i="25"/>
  <c r="B3" i="25"/>
  <c r="I2" i="25"/>
  <c r="H2" i="25"/>
  <c r="G2" i="25"/>
  <c r="F2" i="25"/>
  <c r="E2" i="25"/>
  <c r="D2" i="25"/>
  <c r="B2" i="25"/>
  <c r="I26" i="26"/>
  <c r="H26" i="26"/>
  <c r="G26" i="26"/>
  <c r="F26" i="26"/>
  <c r="E26" i="26"/>
  <c r="D26" i="26"/>
  <c r="B26" i="26"/>
  <c r="I25" i="26"/>
  <c r="H25" i="26"/>
  <c r="G25" i="26"/>
  <c r="F25" i="26"/>
  <c r="E25" i="26"/>
  <c r="D25" i="26"/>
  <c r="B25" i="26"/>
  <c r="I24" i="26"/>
  <c r="H24" i="26"/>
  <c r="G24" i="26"/>
  <c r="F24" i="26"/>
  <c r="E24" i="26"/>
  <c r="D24" i="26"/>
  <c r="B24" i="26"/>
  <c r="I23" i="26"/>
  <c r="H23" i="26"/>
  <c r="G23" i="26"/>
  <c r="F23" i="26"/>
  <c r="E23" i="26"/>
  <c r="D23" i="26"/>
  <c r="B23" i="26"/>
  <c r="I22" i="26"/>
  <c r="H22" i="26"/>
  <c r="G22" i="26"/>
  <c r="F22" i="26"/>
  <c r="E22" i="26"/>
  <c r="D22" i="26"/>
  <c r="B22" i="26"/>
  <c r="I21" i="26"/>
  <c r="H21" i="26"/>
  <c r="G21" i="26"/>
  <c r="F21" i="26"/>
  <c r="E21" i="26"/>
  <c r="D21" i="26"/>
  <c r="B21" i="26"/>
  <c r="I20" i="26"/>
  <c r="H20" i="26"/>
  <c r="G20" i="26"/>
  <c r="F20" i="26"/>
  <c r="E20" i="26"/>
  <c r="D20" i="26"/>
  <c r="B20" i="26"/>
  <c r="I19" i="26"/>
  <c r="H19" i="26"/>
  <c r="G19" i="26"/>
  <c r="F19" i="26"/>
  <c r="E19" i="26"/>
  <c r="D19" i="26"/>
  <c r="B19" i="26"/>
  <c r="I18" i="26"/>
  <c r="H18" i="26"/>
  <c r="G18" i="26"/>
  <c r="F18" i="26"/>
  <c r="E18" i="26"/>
  <c r="D18" i="26"/>
  <c r="B18" i="26"/>
  <c r="I17" i="26"/>
  <c r="H17" i="26"/>
  <c r="G17" i="26"/>
  <c r="F17" i="26"/>
  <c r="E17" i="26"/>
  <c r="D17" i="26"/>
  <c r="B17" i="26"/>
  <c r="I16" i="26"/>
  <c r="H16" i="26"/>
  <c r="G16" i="26"/>
  <c r="F16" i="26"/>
  <c r="E16" i="26"/>
  <c r="D16" i="26"/>
  <c r="B16" i="26"/>
  <c r="I15" i="26"/>
  <c r="H15" i="26"/>
  <c r="G15" i="26"/>
  <c r="F15" i="26"/>
  <c r="E15" i="26"/>
  <c r="D15" i="26"/>
  <c r="B15" i="26"/>
  <c r="I14" i="26"/>
  <c r="H14" i="26"/>
  <c r="G14" i="26"/>
  <c r="F14" i="26"/>
  <c r="E14" i="26"/>
  <c r="D14" i="26"/>
  <c r="B14" i="26"/>
  <c r="I13" i="26"/>
  <c r="H13" i="26"/>
  <c r="G13" i="26"/>
  <c r="F13" i="26"/>
  <c r="E13" i="26"/>
  <c r="D13" i="26"/>
  <c r="B13" i="26"/>
  <c r="I12" i="26"/>
  <c r="H12" i="26"/>
  <c r="G12" i="26"/>
  <c r="F12" i="26"/>
  <c r="E12" i="26"/>
  <c r="D12" i="26"/>
  <c r="B12" i="26"/>
  <c r="I11" i="26"/>
  <c r="H11" i="26"/>
  <c r="G11" i="26"/>
  <c r="F11" i="26"/>
  <c r="E11" i="26"/>
  <c r="D11" i="26"/>
  <c r="B11" i="26"/>
  <c r="I10" i="26"/>
  <c r="H10" i="26"/>
  <c r="G10" i="26"/>
  <c r="F10" i="26"/>
  <c r="E10" i="26"/>
  <c r="D10" i="26"/>
  <c r="B10" i="26"/>
  <c r="I9" i="26"/>
  <c r="H9" i="26"/>
  <c r="G9" i="26"/>
  <c r="F9" i="26"/>
  <c r="E9" i="26"/>
  <c r="D9" i="26"/>
  <c r="B9" i="26"/>
  <c r="I8" i="26"/>
  <c r="H8" i="26"/>
  <c r="G8" i="26"/>
  <c r="F8" i="26"/>
  <c r="E8" i="26"/>
  <c r="D8" i="26"/>
  <c r="B8" i="26"/>
  <c r="I7" i="26"/>
  <c r="H7" i="26"/>
  <c r="G7" i="26"/>
  <c r="F7" i="26"/>
  <c r="E7" i="26"/>
  <c r="D7" i="26"/>
  <c r="B7" i="26"/>
  <c r="I6" i="26"/>
  <c r="H6" i="26"/>
  <c r="G6" i="26"/>
  <c r="F6" i="26"/>
  <c r="E6" i="26"/>
  <c r="D6" i="26"/>
  <c r="B6" i="26"/>
  <c r="I5" i="26"/>
  <c r="H5" i="26"/>
  <c r="G5" i="26"/>
  <c r="F5" i="26"/>
  <c r="E5" i="26"/>
  <c r="D5" i="26"/>
  <c r="B5" i="26"/>
  <c r="I4" i="26"/>
  <c r="H4" i="26"/>
  <c r="G4" i="26"/>
  <c r="F4" i="26"/>
  <c r="E4" i="26"/>
  <c r="D4" i="26"/>
  <c r="B4" i="26"/>
  <c r="I3" i="26"/>
  <c r="H3" i="26"/>
  <c r="G3" i="26"/>
  <c r="F3" i="26"/>
  <c r="E3" i="26"/>
  <c r="D3" i="26"/>
  <c r="B3" i="26"/>
  <c r="I2" i="26"/>
  <c r="H2" i="26"/>
  <c r="G2" i="26"/>
  <c r="F2" i="26"/>
  <c r="E2" i="26"/>
  <c r="D2" i="26"/>
  <c r="B2" i="26"/>
  <c r="I26" i="27"/>
  <c r="H26" i="27"/>
  <c r="G26" i="27"/>
  <c r="F26" i="27"/>
  <c r="E26" i="27"/>
  <c r="D26" i="27"/>
  <c r="B26" i="27"/>
  <c r="I25" i="27"/>
  <c r="H25" i="27"/>
  <c r="G25" i="27"/>
  <c r="F25" i="27"/>
  <c r="E25" i="27"/>
  <c r="D25" i="27"/>
  <c r="B25" i="27"/>
  <c r="I24" i="27"/>
  <c r="H24" i="27"/>
  <c r="G24" i="27"/>
  <c r="F24" i="27"/>
  <c r="E24" i="27"/>
  <c r="D24" i="27"/>
  <c r="B24" i="27"/>
  <c r="I23" i="27"/>
  <c r="H23" i="27"/>
  <c r="G23" i="27"/>
  <c r="F23" i="27"/>
  <c r="E23" i="27"/>
  <c r="D23" i="27"/>
  <c r="B23" i="27"/>
  <c r="I22" i="27"/>
  <c r="H22" i="27"/>
  <c r="G22" i="27"/>
  <c r="F22" i="27"/>
  <c r="E22" i="27"/>
  <c r="D22" i="27"/>
  <c r="B22" i="27"/>
  <c r="I21" i="27"/>
  <c r="H21" i="27"/>
  <c r="G21" i="27"/>
  <c r="F21" i="27"/>
  <c r="E21" i="27"/>
  <c r="D21" i="27"/>
  <c r="B21" i="27"/>
  <c r="I20" i="27"/>
  <c r="H20" i="27"/>
  <c r="G20" i="27"/>
  <c r="F20" i="27"/>
  <c r="E20" i="27"/>
  <c r="D20" i="27"/>
  <c r="B20" i="27"/>
  <c r="I19" i="27"/>
  <c r="H19" i="27"/>
  <c r="G19" i="27"/>
  <c r="F19" i="27"/>
  <c r="E19" i="27"/>
  <c r="D19" i="27"/>
  <c r="B19" i="27"/>
  <c r="I18" i="27"/>
  <c r="H18" i="27"/>
  <c r="G18" i="27"/>
  <c r="F18" i="27"/>
  <c r="E18" i="27"/>
  <c r="D18" i="27"/>
  <c r="B18" i="27"/>
  <c r="I17" i="27"/>
  <c r="H17" i="27"/>
  <c r="G17" i="27"/>
  <c r="F17" i="27"/>
  <c r="E17" i="27"/>
  <c r="D17" i="27"/>
  <c r="B17" i="27"/>
  <c r="I16" i="27"/>
  <c r="H16" i="27"/>
  <c r="G16" i="27"/>
  <c r="F16" i="27"/>
  <c r="E16" i="27"/>
  <c r="D16" i="27"/>
  <c r="B16" i="27"/>
  <c r="I15" i="27"/>
  <c r="H15" i="27"/>
  <c r="G15" i="27"/>
  <c r="F15" i="27"/>
  <c r="E15" i="27"/>
  <c r="D15" i="27"/>
  <c r="B15" i="27"/>
  <c r="I14" i="27"/>
  <c r="H14" i="27"/>
  <c r="G14" i="27"/>
  <c r="F14" i="27"/>
  <c r="E14" i="27"/>
  <c r="D14" i="27"/>
  <c r="B14" i="27"/>
  <c r="I13" i="27"/>
  <c r="H13" i="27"/>
  <c r="G13" i="27"/>
  <c r="F13" i="27"/>
  <c r="E13" i="27"/>
  <c r="D13" i="27"/>
  <c r="B13" i="27"/>
  <c r="I12" i="27"/>
  <c r="H12" i="27"/>
  <c r="G12" i="27"/>
  <c r="F12" i="27"/>
  <c r="E12" i="27"/>
  <c r="D12" i="27"/>
  <c r="B12" i="27"/>
  <c r="I11" i="27"/>
  <c r="H11" i="27"/>
  <c r="G11" i="27"/>
  <c r="F11" i="27"/>
  <c r="E11" i="27"/>
  <c r="D11" i="27"/>
  <c r="B11" i="27"/>
  <c r="I10" i="27"/>
  <c r="H10" i="27"/>
  <c r="G10" i="27"/>
  <c r="F10" i="27"/>
  <c r="E10" i="27"/>
  <c r="D10" i="27"/>
  <c r="B10" i="27"/>
  <c r="I9" i="27"/>
  <c r="H9" i="27"/>
  <c r="G9" i="27"/>
  <c r="F9" i="27"/>
  <c r="E9" i="27"/>
  <c r="D9" i="27"/>
  <c r="B9" i="27"/>
  <c r="I8" i="27"/>
  <c r="H8" i="27"/>
  <c r="G8" i="27"/>
  <c r="F8" i="27"/>
  <c r="E8" i="27"/>
  <c r="D8" i="27"/>
  <c r="B8" i="27"/>
  <c r="I7" i="27"/>
  <c r="H7" i="27"/>
  <c r="G7" i="27"/>
  <c r="F7" i="27"/>
  <c r="E7" i="27"/>
  <c r="D7" i="27"/>
  <c r="B7" i="27"/>
  <c r="I6" i="27"/>
  <c r="H6" i="27"/>
  <c r="G6" i="27"/>
  <c r="F6" i="27"/>
  <c r="E6" i="27"/>
  <c r="D6" i="27"/>
  <c r="B6" i="27"/>
  <c r="I5" i="27"/>
  <c r="H5" i="27"/>
  <c r="G5" i="27"/>
  <c r="F5" i="27"/>
  <c r="E5" i="27"/>
  <c r="D5" i="27"/>
  <c r="B5" i="27"/>
  <c r="I4" i="27"/>
  <c r="H4" i="27"/>
  <c r="G4" i="27"/>
  <c r="F4" i="27"/>
  <c r="E4" i="27"/>
  <c r="D4" i="27"/>
  <c r="B4" i="27"/>
  <c r="I3" i="27"/>
  <c r="H3" i="27"/>
  <c r="G3" i="27"/>
  <c r="F3" i="27"/>
  <c r="E3" i="27"/>
  <c r="D3" i="27"/>
  <c r="B3" i="27"/>
  <c r="I2" i="27"/>
  <c r="H2" i="27"/>
  <c r="G2" i="27"/>
  <c r="F2" i="27"/>
  <c r="E2" i="27"/>
  <c r="D2" i="27"/>
  <c r="B2" i="27"/>
  <c r="I26" i="28"/>
  <c r="H26" i="28"/>
  <c r="G26" i="28"/>
  <c r="F26" i="28"/>
  <c r="E26" i="28"/>
  <c r="D26" i="28"/>
  <c r="B26" i="28"/>
  <c r="I25" i="28"/>
  <c r="H25" i="28"/>
  <c r="G25" i="28"/>
  <c r="F25" i="28"/>
  <c r="E25" i="28"/>
  <c r="D25" i="28"/>
  <c r="B25" i="28"/>
  <c r="I24" i="28"/>
  <c r="H24" i="28"/>
  <c r="G24" i="28"/>
  <c r="F24" i="28"/>
  <c r="E24" i="28"/>
  <c r="D24" i="28"/>
  <c r="B24" i="28"/>
  <c r="I23" i="28"/>
  <c r="H23" i="28"/>
  <c r="G23" i="28"/>
  <c r="F23" i="28"/>
  <c r="E23" i="28"/>
  <c r="D23" i="28"/>
  <c r="B23" i="28"/>
  <c r="I22" i="28"/>
  <c r="H22" i="28"/>
  <c r="G22" i="28"/>
  <c r="F22" i="28"/>
  <c r="E22" i="28"/>
  <c r="D22" i="28"/>
  <c r="B22" i="28"/>
  <c r="I21" i="28"/>
  <c r="H21" i="28"/>
  <c r="G21" i="28"/>
  <c r="F21" i="28"/>
  <c r="E21" i="28"/>
  <c r="D21" i="28"/>
  <c r="B21" i="28"/>
  <c r="I20" i="28"/>
  <c r="H20" i="28"/>
  <c r="G20" i="28"/>
  <c r="F20" i="28"/>
  <c r="E20" i="28"/>
  <c r="D20" i="28"/>
  <c r="B20" i="28"/>
  <c r="I19" i="28"/>
  <c r="H19" i="28"/>
  <c r="G19" i="28"/>
  <c r="F19" i="28"/>
  <c r="E19" i="28"/>
  <c r="D19" i="28"/>
  <c r="B19" i="28"/>
  <c r="I18" i="28"/>
  <c r="H18" i="28"/>
  <c r="G18" i="28"/>
  <c r="F18" i="28"/>
  <c r="E18" i="28"/>
  <c r="D18" i="28"/>
  <c r="B18" i="28"/>
  <c r="I17" i="28"/>
  <c r="H17" i="28"/>
  <c r="G17" i="28"/>
  <c r="F17" i="28"/>
  <c r="E17" i="28"/>
  <c r="D17" i="28"/>
  <c r="B17" i="28"/>
  <c r="I16" i="28"/>
  <c r="H16" i="28"/>
  <c r="G16" i="28"/>
  <c r="F16" i="28"/>
  <c r="E16" i="28"/>
  <c r="D16" i="28"/>
  <c r="B16" i="28"/>
  <c r="I15" i="28"/>
  <c r="H15" i="28"/>
  <c r="G15" i="28"/>
  <c r="F15" i="28"/>
  <c r="E15" i="28"/>
  <c r="D15" i="28"/>
  <c r="B15" i="28"/>
  <c r="I14" i="28"/>
  <c r="H14" i="28"/>
  <c r="G14" i="28"/>
  <c r="F14" i="28"/>
  <c r="E14" i="28"/>
  <c r="D14" i="28"/>
  <c r="B14" i="28"/>
  <c r="I13" i="28"/>
  <c r="H13" i="28"/>
  <c r="G13" i="28"/>
  <c r="F13" i="28"/>
  <c r="E13" i="28"/>
  <c r="D13" i="28"/>
  <c r="B13" i="28"/>
  <c r="I12" i="28"/>
  <c r="H12" i="28"/>
  <c r="G12" i="28"/>
  <c r="F12" i="28"/>
  <c r="E12" i="28"/>
  <c r="D12" i="28"/>
  <c r="B12" i="28"/>
  <c r="I11" i="28"/>
  <c r="H11" i="28"/>
  <c r="G11" i="28"/>
  <c r="F11" i="28"/>
  <c r="E11" i="28"/>
  <c r="D11" i="28"/>
  <c r="B11" i="28"/>
  <c r="I10" i="28"/>
  <c r="H10" i="28"/>
  <c r="G10" i="28"/>
  <c r="F10" i="28"/>
  <c r="E10" i="28"/>
  <c r="D10" i="28"/>
  <c r="B10" i="28"/>
  <c r="I9" i="28"/>
  <c r="H9" i="28"/>
  <c r="G9" i="28"/>
  <c r="F9" i="28"/>
  <c r="E9" i="28"/>
  <c r="D9" i="28"/>
  <c r="B9" i="28"/>
  <c r="I8" i="28"/>
  <c r="H8" i="28"/>
  <c r="G8" i="28"/>
  <c r="F8" i="28"/>
  <c r="E8" i="28"/>
  <c r="D8" i="28"/>
  <c r="B8" i="28"/>
  <c r="I7" i="28"/>
  <c r="H7" i="28"/>
  <c r="G7" i="28"/>
  <c r="F7" i="28"/>
  <c r="E7" i="28"/>
  <c r="D7" i="28"/>
  <c r="B7" i="28"/>
  <c r="I6" i="28"/>
  <c r="H6" i="28"/>
  <c r="G6" i="28"/>
  <c r="F6" i="28"/>
  <c r="E6" i="28"/>
  <c r="D6" i="28"/>
  <c r="B6" i="28"/>
  <c r="I5" i="28"/>
  <c r="H5" i="28"/>
  <c r="G5" i="28"/>
  <c r="F5" i="28"/>
  <c r="E5" i="28"/>
  <c r="D5" i="28"/>
  <c r="B5" i="28"/>
  <c r="I4" i="28"/>
  <c r="H4" i="28"/>
  <c r="G4" i="28"/>
  <c r="F4" i="28"/>
  <c r="E4" i="28"/>
  <c r="D4" i="28"/>
  <c r="B4" i="28"/>
  <c r="I3" i="28"/>
  <c r="H3" i="28"/>
  <c r="G3" i="28"/>
  <c r="F3" i="28"/>
  <c r="E3" i="28"/>
  <c r="D3" i="28"/>
  <c r="B3" i="28"/>
  <c r="I2" i="28"/>
  <c r="H2" i="28"/>
  <c r="G2" i="28"/>
  <c r="F2" i="28"/>
  <c r="E2" i="28"/>
  <c r="D2" i="28"/>
  <c r="B2" i="28"/>
  <c r="I26" i="21"/>
  <c r="H26" i="21"/>
  <c r="G26" i="21"/>
  <c r="F26" i="21"/>
  <c r="E26" i="21"/>
  <c r="D26" i="21"/>
  <c r="B26" i="21"/>
  <c r="I25" i="21"/>
  <c r="H25" i="21"/>
  <c r="G25" i="21"/>
  <c r="F25" i="21"/>
  <c r="E25" i="21"/>
  <c r="D25" i="21"/>
  <c r="B25" i="21"/>
  <c r="I24" i="21"/>
  <c r="H24" i="21"/>
  <c r="G24" i="21"/>
  <c r="F24" i="21"/>
  <c r="E24" i="21"/>
  <c r="D24" i="21"/>
  <c r="B24" i="21"/>
  <c r="I23" i="21"/>
  <c r="H23" i="21"/>
  <c r="G23" i="21"/>
  <c r="F23" i="21"/>
  <c r="E23" i="21"/>
  <c r="D23" i="21"/>
  <c r="B23" i="21"/>
  <c r="I22" i="21"/>
  <c r="H22" i="21"/>
  <c r="G22" i="21"/>
  <c r="F22" i="21"/>
  <c r="E22" i="21"/>
  <c r="D22" i="21"/>
  <c r="B22" i="21"/>
  <c r="I21" i="21"/>
  <c r="H21" i="21"/>
  <c r="G21" i="21"/>
  <c r="F21" i="21"/>
  <c r="E21" i="21"/>
  <c r="D21" i="21"/>
  <c r="B21" i="21"/>
  <c r="I20" i="21"/>
  <c r="H20" i="21"/>
  <c r="G20" i="21"/>
  <c r="F20" i="21"/>
  <c r="E20" i="21"/>
  <c r="D20" i="21"/>
  <c r="B20" i="21"/>
  <c r="I19" i="21"/>
  <c r="H19" i="21"/>
  <c r="G19" i="21"/>
  <c r="F19" i="21"/>
  <c r="E19" i="21"/>
  <c r="D19" i="21"/>
  <c r="B19" i="21"/>
  <c r="I18" i="21"/>
  <c r="H18" i="21"/>
  <c r="G18" i="21"/>
  <c r="F18" i="21"/>
  <c r="E18" i="21"/>
  <c r="D18" i="21"/>
  <c r="B18" i="21"/>
  <c r="I17" i="21"/>
  <c r="H17" i="21"/>
  <c r="G17" i="21"/>
  <c r="F17" i="21"/>
  <c r="E17" i="21"/>
  <c r="D17" i="21"/>
  <c r="B17" i="21"/>
  <c r="I16" i="21"/>
  <c r="H16" i="21"/>
  <c r="G16" i="21"/>
  <c r="F16" i="21"/>
  <c r="E16" i="21"/>
  <c r="D16" i="21"/>
  <c r="B16" i="21"/>
  <c r="I15" i="21"/>
  <c r="H15" i="21"/>
  <c r="G15" i="21"/>
  <c r="F15" i="21"/>
  <c r="E15" i="21"/>
  <c r="D15" i="21"/>
  <c r="B15" i="21"/>
  <c r="I14" i="21"/>
  <c r="H14" i="21"/>
  <c r="G14" i="21"/>
  <c r="F14" i="21"/>
  <c r="E14" i="21"/>
  <c r="D14" i="21"/>
  <c r="B14" i="21"/>
  <c r="I13" i="21"/>
  <c r="H13" i="21"/>
  <c r="G13" i="21"/>
  <c r="F13" i="21"/>
  <c r="E13" i="21"/>
  <c r="D13" i="21"/>
  <c r="B13" i="21"/>
  <c r="I12" i="21"/>
  <c r="H12" i="21"/>
  <c r="G12" i="21"/>
  <c r="F12" i="21"/>
  <c r="E12" i="21"/>
  <c r="D12" i="21"/>
  <c r="B12" i="21"/>
  <c r="I11" i="21"/>
  <c r="H11" i="21"/>
  <c r="G11" i="21"/>
  <c r="F11" i="21"/>
  <c r="E11" i="21"/>
  <c r="D11" i="21"/>
  <c r="B11" i="21"/>
  <c r="I10" i="21"/>
  <c r="H10" i="21"/>
  <c r="G10" i="21"/>
  <c r="F10" i="21"/>
  <c r="E10" i="21"/>
  <c r="D10" i="21"/>
  <c r="B10" i="21"/>
  <c r="I9" i="21"/>
  <c r="H9" i="21"/>
  <c r="G9" i="21"/>
  <c r="F9" i="21"/>
  <c r="E9" i="21"/>
  <c r="D9" i="21"/>
  <c r="B9" i="21"/>
  <c r="I8" i="21"/>
  <c r="H8" i="21"/>
  <c r="G8" i="21"/>
  <c r="F8" i="21"/>
  <c r="E8" i="21"/>
  <c r="D8" i="21"/>
  <c r="B8" i="21"/>
  <c r="I7" i="21"/>
  <c r="H7" i="21"/>
  <c r="G7" i="21"/>
  <c r="F7" i="21"/>
  <c r="E7" i="21"/>
  <c r="D7" i="21"/>
  <c r="B7" i="21"/>
  <c r="I6" i="21"/>
  <c r="H6" i="21"/>
  <c r="G6" i="21"/>
  <c r="F6" i="21"/>
  <c r="E6" i="21"/>
  <c r="D6" i="21"/>
  <c r="B6" i="21"/>
  <c r="I5" i="21"/>
  <c r="H5" i="21"/>
  <c r="G5" i="21"/>
  <c r="F5" i="21"/>
  <c r="E5" i="21"/>
  <c r="D5" i="21"/>
  <c r="B5" i="21"/>
  <c r="I4" i="21"/>
  <c r="H4" i="21"/>
  <c r="G4" i="21"/>
  <c r="F4" i="21"/>
  <c r="E4" i="21"/>
  <c r="D4" i="21"/>
  <c r="B4" i="21"/>
  <c r="I3" i="21"/>
  <c r="H3" i="21"/>
  <c r="G3" i="21"/>
  <c r="F3" i="21"/>
  <c r="E3" i="21"/>
  <c r="D3" i="21"/>
  <c r="B3" i="21"/>
  <c r="I2" i="21"/>
  <c r="H2" i="21"/>
  <c r="G2" i="21"/>
  <c r="F2" i="21"/>
  <c r="E2" i="21"/>
  <c r="D2" i="21"/>
  <c r="B2" i="21"/>
  <c r="I26" i="20"/>
  <c r="H26" i="20"/>
  <c r="G26" i="20"/>
  <c r="F26" i="20"/>
  <c r="E26" i="20"/>
  <c r="D26" i="20"/>
  <c r="B26" i="20"/>
  <c r="I25" i="20"/>
  <c r="H25" i="20"/>
  <c r="G25" i="20"/>
  <c r="F25" i="20"/>
  <c r="E25" i="20"/>
  <c r="D25" i="20"/>
  <c r="B25" i="20"/>
  <c r="I24" i="20"/>
  <c r="H24" i="20"/>
  <c r="G24" i="20"/>
  <c r="F24" i="20"/>
  <c r="E24" i="20"/>
  <c r="D24" i="20"/>
  <c r="B24" i="20"/>
  <c r="I23" i="20"/>
  <c r="H23" i="20"/>
  <c r="G23" i="20"/>
  <c r="F23" i="20"/>
  <c r="E23" i="20"/>
  <c r="D23" i="20"/>
  <c r="B23" i="20"/>
  <c r="I22" i="20"/>
  <c r="H22" i="20"/>
  <c r="G22" i="20"/>
  <c r="F22" i="20"/>
  <c r="E22" i="20"/>
  <c r="D22" i="20"/>
  <c r="B22" i="20"/>
  <c r="I21" i="20"/>
  <c r="H21" i="20"/>
  <c r="G21" i="20"/>
  <c r="F21" i="20"/>
  <c r="E21" i="20"/>
  <c r="D21" i="20"/>
  <c r="B21" i="20"/>
  <c r="I20" i="20"/>
  <c r="H20" i="20"/>
  <c r="G20" i="20"/>
  <c r="F20" i="20"/>
  <c r="E20" i="20"/>
  <c r="D20" i="20"/>
  <c r="B20" i="20"/>
  <c r="I19" i="20"/>
  <c r="H19" i="20"/>
  <c r="G19" i="20"/>
  <c r="F19" i="20"/>
  <c r="E19" i="20"/>
  <c r="D19" i="20"/>
  <c r="B19" i="20"/>
  <c r="I18" i="20"/>
  <c r="H18" i="20"/>
  <c r="G18" i="20"/>
  <c r="F18" i="20"/>
  <c r="E18" i="20"/>
  <c r="D18" i="20"/>
  <c r="B18" i="20"/>
  <c r="I17" i="20"/>
  <c r="H17" i="20"/>
  <c r="G17" i="20"/>
  <c r="F17" i="20"/>
  <c r="E17" i="20"/>
  <c r="D17" i="20"/>
  <c r="B17" i="20"/>
  <c r="I16" i="20"/>
  <c r="H16" i="20"/>
  <c r="G16" i="20"/>
  <c r="F16" i="20"/>
  <c r="E16" i="20"/>
  <c r="D16" i="20"/>
  <c r="B16" i="20"/>
  <c r="I15" i="20"/>
  <c r="H15" i="20"/>
  <c r="G15" i="20"/>
  <c r="F15" i="20"/>
  <c r="E15" i="20"/>
  <c r="D15" i="20"/>
  <c r="B15" i="20"/>
  <c r="I14" i="20"/>
  <c r="H14" i="20"/>
  <c r="G14" i="20"/>
  <c r="F14" i="20"/>
  <c r="E14" i="20"/>
  <c r="D14" i="20"/>
  <c r="B14" i="20"/>
  <c r="I13" i="20"/>
  <c r="H13" i="20"/>
  <c r="G13" i="20"/>
  <c r="F13" i="20"/>
  <c r="E13" i="20"/>
  <c r="D13" i="20"/>
  <c r="B13" i="20"/>
  <c r="I12" i="20"/>
  <c r="H12" i="20"/>
  <c r="G12" i="20"/>
  <c r="F12" i="20"/>
  <c r="E12" i="20"/>
  <c r="D12" i="20"/>
  <c r="B12" i="20"/>
  <c r="I11" i="20"/>
  <c r="H11" i="20"/>
  <c r="G11" i="20"/>
  <c r="F11" i="20"/>
  <c r="E11" i="20"/>
  <c r="D11" i="20"/>
  <c r="B11" i="20"/>
  <c r="I10" i="20"/>
  <c r="H10" i="20"/>
  <c r="G10" i="20"/>
  <c r="F10" i="20"/>
  <c r="E10" i="20"/>
  <c r="D10" i="20"/>
  <c r="B10" i="20"/>
  <c r="I9" i="20"/>
  <c r="H9" i="20"/>
  <c r="G9" i="20"/>
  <c r="F9" i="20"/>
  <c r="E9" i="20"/>
  <c r="D9" i="20"/>
  <c r="B9" i="20"/>
  <c r="I8" i="20"/>
  <c r="H8" i="20"/>
  <c r="G8" i="20"/>
  <c r="F8" i="20"/>
  <c r="E8" i="20"/>
  <c r="D8" i="20"/>
  <c r="B8" i="20"/>
  <c r="I7" i="20"/>
  <c r="H7" i="20"/>
  <c r="G7" i="20"/>
  <c r="F7" i="20"/>
  <c r="E7" i="20"/>
  <c r="D7" i="20"/>
  <c r="B7" i="20"/>
  <c r="I6" i="20"/>
  <c r="H6" i="20"/>
  <c r="G6" i="20"/>
  <c r="F6" i="20"/>
  <c r="E6" i="20"/>
  <c r="D6" i="20"/>
  <c r="B6" i="20"/>
  <c r="I5" i="20"/>
  <c r="H5" i="20"/>
  <c r="G5" i="20"/>
  <c r="F5" i="20"/>
  <c r="E5" i="20"/>
  <c r="D5" i="20"/>
  <c r="B5" i="20"/>
  <c r="I4" i="20"/>
  <c r="H4" i="20"/>
  <c r="G4" i="20"/>
  <c r="F4" i="20"/>
  <c r="E4" i="20"/>
  <c r="D4" i="20"/>
  <c r="B4" i="20"/>
  <c r="I3" i="20"/>
  <c r="H3" i="20"/>
  <c r="G3" i="20"/>
  <c r="F3" i="20"/>
  <c r="E3" i="20"/>
  <c r="D3" i="20"/>
  <c r="B3" i="20"/>
  <c r="I2" i="20"/>
  <c r="H2" i="20"/>
  <c r="G2" i="20"/>
  <c r="F2" i="20"/>
  <c r="E2" i="20"/>
  <c r="D2" i="20"/>
  <c r="B2" i="20"/>
  <c r="I26" i="19"/>
  <c r="H26" i="19"/>
  <c r="G26" i="19"/>
  <c r="F26" i="19"/>
  <c r="E26" i="19"/>
  <c r="D26" i="19"/>
  <c r="B26" i="19"/>
  <c r="I25" i="19"/>
  <c r="H25" i="19"/>
  <c r="G25" i="19"/>
  <c r="F25" i="19"/>
  <c r="E25" i="19"/>
  <c r="D25" i="19"/>
  <c r="B25" i="19"/>
  <c r="I24" i="19"/>
  <c r="H24" i="19"/>
  <c r="G24" i="19"/>
  <c r="F24" i="19"/>
  <c r="E24" i="19"/>
  <c r="D24" i="19"/>
  <c r="B24" i="19"/>
  <c r="I23" i="19"/>
  <c r="H23" i="19"/>
  <c r="G23" i="19"/>
  <c r="F23" i="19"/>
  <c r="E23" i="19"/>
  <c r="D23" i="19"/>
  <c r="B23" i="19"/>
  <c r="I22" i="19"/>
  <c r="H22" i="19"/>
  <c r="G22" i="19"/>
  <c r="F22" i="19"/>
  <c r="E22" i="19"/>
  <c r="D22" i="19"/>
  <c r="B22" i="19"/>
  <c r="I21" i="19"/>
  <c r="H21" i="19"/>
  <c r="G21" i="19"/>
  <c r="F21" i="19"/>
  <c r="E21" i="19"/>
  <c r="D21" i="19"/>
  <c r="B21" i="19"/>
  <c r="I20" i="19"/>
  <c r="H20" i="19"/>
  <c r="G20" i="19"/>
  <c r="F20" i="19"/>
  <c r="E20" i="19"/>
  <c r="D20" i="19"/>
  <c r="B20" i="19"/>
  <c r="I19" i="19"/>
  <c r="H19" i="19"/>
  <c r="G19" i="19"/>
  <c r="F19" i="19"/>
  <c r="E19" i="19"/>
  <c r="D19" i="19"/>
  <c r="B19" i="19"/>
  <c r="I18" i="19"/>
  <c r="H18" i="19"/>
  <c r="G18" i="19"/>
  <c r="F18" i="19"/>
  <c r="E18" i="19"/>
  <c r="D18" i="19"/>
  <c r="B18" i="19"/>
  <c r="I17" i="19"/>
  <c r="H17" i="19"/>
  <c r="G17" i="19"/>
  <c r="F17" i="19"/>
  <c r="E17" i="19"/>
  <c r="D17" i="19"/>
  <c r="B17" i="19"/>
  <c r="I16" i="19"/>
  <c r="H16" i="19"/>
  <c r="G16" i="19"/>
  <c r="F16" i="19"/>
  <c r="E16" i="19"/>
  <c r="D16" i="19"/>
  <c r="B16" i="19"/>
  <c r="I15" i="19"/>
  <c r="H15" i="19"/>
  <c r="G15" i="19"/>
  <c r="F15" i="19"/>
  <c r="E15" i="19"/>
  <c r="D15" i="19"/>
  <c r="B15" i="19"/>
  <c r="I14" i="19"/>
  <c r="H14" i="19"/>
  <c r="G14" i="19"/>
  <c r="F14" i="19"/>
  <c r="E14" i="19"/>
  <c r="D14" i="19"/>
  <c r="B14" i="19"/>
  <c r="I13" i="19"/>
  <c r="H13" i="19"/>
  <c r="G13" i="19"/>
  <c r="F13" i="19"/>
  <c r="E13" i="19"/>
  <c r="D13" i="19"/>
  <c r="B13" i="19"/>
  <c r="I12" i="19"/>
  <c r="H12" i="19"/>
  <c r="G12" i="19"/>
  <c r="F12" i="19"/>
  <c r="E12" i="19"/>
  <c r="D12" i="19"/>
  <c r="B12" i="19"/>
  <c r="I11" i="19"/>
  <c r="H11" i="19"/>
  <c r="G11" i="19"/>
  <c r="F11" i="19"/>
  <c r="E11" i="19"/>
  <c r="D11" i="19"/>
  <c r="B11" i="19"/>
  <c r="I10" i="19"/>
  <c r="H10" i="19"/>
  <c r="G10" i="19"/>
  <c r="F10" i="19"/>
  <c r="E10" i="19"/>
  <c r="D10" i="19"/>
  <c r="B10" i="19"/>
  <c r="I9" i="19"/>
  <c r="H9" i="19"/>
  <c r="G9" i="19"/>
  <c r="F9" i="19"/>
  <c r="E9" i="19"/>
  <c r="D9" i="19"/>
  <c r="B9" i="19"/>
  <c r="I8" i="19"/>
  <c r="H8" i="19"/>
  <c r="G8" i="19"/>
  <c r="F8" i="19"/>
  <c r="E8" i="19"/>
  <c r="D8" i="19"/>
  <c r="B8" i="19"/>
  <c r="I7" i="19"/>
  <c r="H7" i="19"/>
  <c r="G7" i="19"/>
  <c r="F7" i="19"/>
  <c r="E7" i="19"/>
  <c r="D7" i="19"/>
  <c r="B7" i="19"/>
  <c r="I6" i="19"/>
  <c r="H6" i="19"/>
  <c r="G6" i="19"/>
  <c r="F6" i="19"/>
  <c r="E6" i="19"/>
  <c r="D6" i="19"/>
  <c r="B6" i="19"/>
  <c r="I5" i="19"/>
  <c r="H5" i="19"/>
  <c r="G5" i="19"/>
  <c r="F5" i="19"/>
  <c r="E5" i="19"/>
  <c r="D5" i="19"/>
  <c r="B5" i="19"/>
  <c r="I4" i="19"/>
  <c r="H4" i="19"/>
  <c r="G4" i="19"/>
  <c r="F4" i="19"/>
  <c r="E4" i="19"/>
  <c r="D4" i="19"/>
  <c r="B4" i="19"/>
  <c r="I3" i="19"/>
  <c r="H3" i="19"/>
  <c r="G3" i="19"/>
  <c r="F3" i="19"/>
  <c r="E3" i="19"/>
  <c r="D3" i="19"/>
  <c r="B3" i="19"/>
  <c r="I2" i="19"/>
  <c r="H2" i="19"/>
  <c r="G2" i="19"/>
  <c r="F2" i="19"/>
  <c r="E2" i="19"/>
  <c r="D2" i="19"/>
  <c r="B2" i="19"/>
  <c r="I26" i="18"/>
  <c r="H26" i="18"/>
  <c r="G26" i="18"/>
  <c r="F26" i="18"/>
  <c r="E26" i="18"/>
  <c r="D26" i="18"/>
  <c r="B26" i="18"/>
  <c r="I25" i="18"/>
  <c r="H25" i="18"/>
  <c r="G25" i="18"/>
  <c r="F25" i="18"/>
  <c r="E25" i="18"/>
  <c r="D25" i="18"/>
  <c r="B25" i="18"/>
  <c r="I24" i="18"/>
  <c r="H24" i="18"/>
  <c r="G24" i="18"/>
  <c r="F24" i="18"/>
  <c r="E24" i="18"/>
  <c r="D24" i="18"/>
  <c r="B24" i="18"/>
  <c r="I23" i="18"/>
  <c r="H23" i="18"/>
  <c r="G23" i="18"/>
  <c r="F23" i="18"/>
  <c r="E23" i="18"/>
  <c r="D23" i="18"/>
  <c r="B23" i="18"/>
  <c r="I22" i="18"/>
  <c r="H22" i="18"/>
  <c r="G22" i="18"/>
  <c r="F22" i="18"/>
  <c r="E22" i="18"/>
  <c r="D22" i="18"/>
  <c r="B22" i="18"/>
  <c r="I21" i="18"/>
  <c r="H21" i="18"/>
  <c r="G21" i="18"/>
  <c r="F21" i="18"/>
  <c r="E21" i="18"/>
  <c r="D21" i="18"/>
  <c r="B21" i="18"/>
  <c r="I20" i="18"/>
  <c r="H20" i="18"/>
  <c r="G20" i="18"/>
  <c r="F20" i="18"/>
  <c r="E20" i="18"/>
  <c r="D20" i="18"/>
  <c r="B20" i="18"/>
  <c r="I19" i="18"/>
  <c r="H19" i="18"/>
  <c r="G19" i="18"/>
  <c r="F19" i="18"/>
  <c r="E19" i="18"/>
  <c r="D19" i="18"/>
  <c r="B19" i="18"/>
  <c r="I18" i="18"/>
  <c r="H18" i="18"/>
  <c r="G18" i="18"/>
  <c r="F18" i="18"/>
  <c r="E18" i="18"/>
  <c r="D18" i="18"/>
  <c r="B18" i="18"/>
  <c r="I17" i="18"/>
  <c r="H17" i="18"/>
  <c r="G17" i="18"/>
  <c r="F17" i="18"/>
  <c r="E17" i="18"/>
  <c r="D17" i="18"/>
  <c r="B17" i="18"/>
  <c r="I16" i="18"/>
  <c r="H16" i="18"/>
  <c r="G16" i="18"/>
  <c r="F16" i="18"/>
  <c r="E16" i="18"/>
  <c r="D16" i="18"/>
  <c r="B16" i="18"/>
  <c r="I15" i="18"/>
  <c r="H15" i="18"/>
  <c r="G15" i="18"/>
  <c r="F15" i="18"/>
  <c r="E15" i="18"/>
  <c r="D15" i="18"/>
  <c r="B15" i="18"/>
  <c r="I14" i="18"/>
  <c r="H14" i="18"/>
  <c r="G14" i="18"/>
  <c r="F14" i="18"/>
  <c r="E14" i="18"/>
  <c r="D14" i="18"/>
  <c r="B14" i="18"/>
  <c r="I13" i="18"/>
  <c r="H13" i="18"/>
  <c r="G13" i="18"/>
  <c r="F13" i="18"/>
  <c r="E13" i="18"/>
  <c r="D13" i="18"/>
  <c r="B13" i="18"/>
  <c r="I12" i="18"/>
  <c r="H12" i="18"/>
  <c r="G12" i="18"/>
  <c r="F12" i="18"/>
  <c r="E12" i="18"/>
  <c r="D12" i="18"/>
  <c r="B12" i="18"/>
  <c r="I11" i="18"/>
  <c r="H11" i="18"/>
  <c r="G11" i="18"/>
  <c r="F11" i="18"/>
  <c r="E11" i="18"/>
  <c r="D11" i="18"/>
  <c r="B11" i="18"/>
  <c r="I10" i="18"/>
  <c r="H10" i="18"/>
  <c r="G10" i="18"/>
  <c r="F10" i="18"/>
  <c r="E10" i="18"/>
  <c r="D10" i="18"/>
  <c r="B10" i="18"/>
  <c r="I9" i="18"/>
  <c r="H9" i="18"/>
  <c r="G9" i="18"/>
  <c r="F9" i="18"/>
  <c r="E9" i="18"/>
  <c r="D9" i="18"/>
  <c r="B9" i="18"/>
  <c r="I8" i="18"/>
  <c r="H8" i="18"/>
  <c r="G8" i="18"/>
  <c r="F8" i="18"/>
  <c r="E8" i="18"/>
  <c r="D8" i="18"/>
  <c r="B8" i="18"/>
  <c r="I7" i="18"/>
  <c r="H7" i="18"/>
  <c r="G7" i="18"/>
  <c r="F7" i="18"/>
  <c r="E7" i="18"/>
  <c r="D7" i="18"/>
  <c r="B7" i="18"/>
  <c r="I6" i="18"/>
  <c r="H6" i="18"/>
  <c r="G6" i="18"/>
  <c r="F6" i="18"/>
  <c r="E6" i="18"/>
  <c r="D6" i="18"/>
  <c r="B6" i="18"/>
  <c r="I5" i="18"/>
  <c r="H5" i="18"/>
  <c r="G5" i="18"/>
  <c r="F5" i="18"/>
  <c r="E5" i="18"/>
  <c r="D5" i="18"/>
  <c r="B5" i="18"/>
  <c r="I4" i="18"/>
  <c r="H4" i="18"/>
  <c r="G4" i="18"/>
  <c r="F4" i="18"/>
  <c r="E4" i="18"/>
  <c r="D4" i="18"/>
  <c r="B4" i="18"/>
  <c r="I3" i="18"/>
  <c r="H3" i="18"/>
  <c r="G3" i="18"/>
  <c r="F3" i="18"/>
  <c r="E3" i="18"/>
  <c r="D3" i="18"/>
  <c r="B3" i="18"/>
  <c r="I2" i="18"/>
  <c r="H2" i="18"/>
  <c r="G2" i="18"/>
  <c r="F2" i="18"/>
  <c r="E2" i="18"/>
  <c r="D2" i="18"/>
  <c r="B2" i="18"/>
  <c r="I26" i="17"/>
  <c r="H26" i="17"/>
  <c r="G26" i="17"/>
  <c r="F26" i="17"/>
  <c r="E26" i="17"/>
  <c r="D26" i="17"/>
  <c r="B26" i="17"/>
  <c r="I25" i="17"/>
  <c r="H25" i="17"/>
  <c r="G25" i="17"/>
  <c r="F25" i="17"/>
  <c r="E25" i="17"/>
  <c r="D25" i="17"/>
  <c r="B25" i="17"/>
  <c r="I24" i="17"/>
  <c r="H24" i="17"/>
  <c r="G24" i="17"/>
  <c r="F24" i="17"/>
  <c r="E24" i="17"/>
  <c r="D24" i="17"/>
  <c r="B24" i="17"/>
  <c r="I23" i="17"/>
  <c r="H23" i="17"/>
  <c r="G23" i="17"/>
  <c r="F23" i="17"/>
  <c r="E23" i="17"/>
  <c r="D23" i="17"/>
  <c r="B23" i="17"/>
  <c r="I22" i="17"/>
  <c r="H22" i="17"/>
  <c r="G22" i="17"/>
  <c r="F22" i="17"/>
  <c r="E22" i="17"/>
  <c r="D22" i="17"/>
  <c r="B22" i="17"/>
  <c r="I21" i="17"/>
  <c r="H21" i="17"/>
  <c r="G21" i="17"/>
  <c r="F21" i="17"/>
  <c r="E21" i="17"/>
  <c r="D21" i="17"/>
  <c r="B21" i="17"/>
  <c r="I20" i="17"/>
  <c r="H20" i="17"/>
  <c r="G20" i="17"/>
  <c r="F20" i="17"/>
  <c r="E20" i="17"/>
  <c r="D20" i="17"/>
  <c r="B20" i="17"/>
  <c r="I19" i="17"/>
  <c r="H19" i="17"/>
  <c r="G19" i="17"/>
  <c r="F19" i="17"/>
  <c r="E19" i="17"/>
  <c r="D19" i="17"/>
  <c r="B19" i="17"/>
  <c r="I18" i="17"/>
  <c r="H18" i="17"/>
  <c r="G18" i="17"/>
  <c r="F18" i="17"/>
  <c r="E18" i="17"/>
  <c r="D18" i="17"/>
  <c r="B18" i="17"/>
  <c r="I17" i="17"/>
  <c r="H17" i="17"/>
  <c r="G17" i="17"/>
  <c r="F17" i="17"/>
  <c r="E17" i="17"/>
  <c r="D17" i="17"/>
  <c r="B17" i="17"/>
  <c r="I16" i="17"/>
  <c r="H16" i="17"/>
  <c r="G16" i="17"/>
  <c r="F16" i="17"/>
  <c r="E16" i="17"/>
  <c r="D16" i="17"/>
  <c r="B16" i="17"/>
  <c r="I15" i="17"/>
  <c r="H15" i="17"/>
  <c r="G15" i="17"/>
  <c r="F15" i="17"/>
  <c r="E15" i="17"/>
  <c r="D15" i="17"/>
  <c r="B15" i="17"/>
  <c r="I14" i="17"/>
  <c r="H14" i="17"/>
  <c r="G14" i="17"/>
  <c r="F14" i="17"/>
  <c r="E14" i="17"/>
  <c r="D14" i="17"/>
  <c r="B14" i="17"/>
  <c r="I13" i="17"/>
  <c r="H13" i="17"/>
  <c r="G13" i="17"/>
  <c r="F13" i="17"/>
  <c r="E13" i="17"/>
  <c r="D13" i="17"/>
  <c r="B13" i="17"/>
  <c r="I12" i="17"/>
  <c r="H12" i="17"/>
  <c r="G12" i="17"/>
  <c r="F12" i="17"/>
  <c r="E12" i="17"/>
  <c r="D12" i="17"/>
  <c r="B12" i="17"/>
  <c r="I11" i="17"/>
  <c r="H11" i="17"/>
  <c r="G11" i="17"/>
  <c r="F11" i="17"/>
  <c r="E11" i="17"/>
  <c r="D11" i="17"/>
  <c r="B11" i="17"/>
  <c r="I10" i="17"/>
  <c r="H10" i="17"/>
  <c r="G10" i="17"/>
  <c r="F10" i="17"/>
  <c r="E10" i="17"/>
  <c r="D10" i="17"/>
  <c r="B10" i="17"/>
  <c r="I9" i="17"/>
  <c r="H9" i="17"/>
  <c r="G9" i="17"/>
  <c r="F9" i="17"/>
  <c r="E9" i="17"/>
  <c r="D9" i="17"/>
  <c r="B9" i="17"/>
  <c r="I8" i="17"/>
  <c r="H8" i="17"/>
  <c r="G8" i="17"/>
  <c r="F8" i="17"/>
  <c r="E8" i="17"/>
  <c r="D8" i="17"/>
  <c r="B8" i="17"/>
  <c r="I7" i="17"/>
  <c r="H7" i="17"/>
  <c r="G7" i="17"/>
  <c r="F7" i="17"/>
  <c r="E7" i="17"/>
  <c r="D7" i="17"/>
  <c r="B7" i="17"/>
  <c r="I6" i="17"/>
  <c r="H6" i="17"/>
  <c r="G6" i="17"/>
  <c r="F6" i="17"/>
  <c r="E6" i="17"/>
  <c r="D6" i="17"/>
  <c r="B6" i="17"/>
  <c r="I5" i="17"/>
  <c r="H5" i="17"/>
  <c r="G5" i="17"/>
  <c r="F5" i="17"/>
  <c r="E5" i="17"/>
  <c r="D5" i="17"/>
  <c r="B5" i="17"/>
  <c r="I4" i="17"/>
  <c r="H4" i="17"/>
  <c r="G4" i="17"/>
  <c r="F4" i="17"/>
  <c r="E4" i="17"/>
  <c r="D4" i="17"/>
  <c r="B4" i="17"/>
  <c r="I3" i="17"/>
  <c r="H3" i="17"/>
  <c r="G3" i="17"/>
  <c r="F3" i="17"/>
  <c r="E3" i="17"/>
  <c r="D3" i="17"/>
  <c r="B3" i="17"/>
  <c r="I2" i="17"/>
  <c r="H2" i="17"/>
  <c r="G2" i="17"/>
  <c r="F2" i="17"/>
  <c r="E2" i="17"/>
  <c r="D2" i="17"/>
  <c r="B2" i="17"/>
  <c r="H13" i="16"/>
  <c r="I26" i="16"/>
  <c r="H26" i="16"/>
  <c r="G26" i="16"/>
  <c r="F26" i="16"/>
  <c r="E26" i="16"/>
  <c r="D26" i="16"/>
  <c r="B26" i="16"/>
  <c r="I25" i="16"/>
  <c r="H25" i="16"/>
  <c r="G25" i="16"/>
  <c r="F25" i="16"/>
  <c r="E25" i="16"/>
  <c r="D25" i="16"/>
  <c r="B25" i="16"/>
  <c r="I24" i="16"/>
  <c r="H24" i="16"/>
  <c r="G24" i="16"/>
  <c r="F24" i="16"/>
  <c r="E24" i="16"/>
  <c r="D24" i="16"/>
  <c r="B24" i="16"/>
  <c r="I23" i="16"/>
  <c r="H23" i="16"/>
  <c r="G23" i="16"/>
  <c r="F23" i="16"/>
  <c r="E23" i="16"/>
  <c r="D23" i="16"/>
  <c r="B23" i="16"/>
  <c r="I22" i="16"/>
  <c r="H22" i="16"/>
  <c r="G22" i="16"/>
  <c r="F22" i="16"/>
  <c r="E22" i="16"/>
  <c r="D22" i="16"/>
  <c r="B22" i="16"/>
  <c r="I21" i="16"/>
  <c r="H21" i="16"/>
  <c r="G21" i="16"/>
  <c r="F21" i="16"/>
  <c r="E21" i="16"/>
  <c r="D21" i="16"/>
  <c r="B21" i="16"/>
  <c r="I20" i="16"/>
  <c r="H20" i="16"/>
  <c r="G20" i="16"/>
  <c r="F20" i="16"/>
  <c r="E20" i="16"/>
  <c r="D20" i="16"/>
  <c r="B20" i="16"/>
  <c r="I19" i="16"/>
  <c r="H19" i="16"/>
  <c r="G19" i="16"/>
  <c r="F19" i="16"/>
  <c r="E19" i="16"/>
  <c r="D19" i="16"/>
  <c r="B19" i="16"/>
  <c r="I18" i="16"/>
  <c r="H18" i="16"/>
  <c r="G18" i="16"/>
  <c r="F18" i="16"/>
  <c r="E18" i="16"/>
  <c r="D18" i="16"/>
  <c r="B18" i="16"/>
  <c r="I17" i="16"/>
  <c r="H17" i="16"/>
  <c r="G17" i="16"/>
  <c r="F17" i="16"/>
  <c r="E17" i="16"/>
  <c r="D17" i="16"/>
  <c r="B17" i="16"/>
  <c r="I16" i="16"/>
  <c r="H16" i="16"/>
  <c r="G16" i="16"/>
  <c r="F16" i="16"/>
  <c r="E16" i="16"/>
  <c r="D16" i="16"/>
  <c r="B16" i="16"/>
  <c r="I15" i="16"/>
  <c r="H15" i="16"/>
  <c r="G15" i="16"/>
  <c r="F15" i="16"/>
  <c r="E15" i="16"/>
  <c r="D15" i="16"/>
  <c r="B15" i="16"/>
  <c r="I14" i="16"/>
  <c r="H14" i="16"/>
  <c r="G14" i="16"/>
  <c r="F14" i="16"/>
  <c r="E14" i="16"/>
  <c r="D14" i="16"/>
  <c r="B14" i="16"/>
  <c r="I13" i="16"/>
  <c r="G13" i="16"/>
  <c r="F13" i="16"/>
  <c r="E13" i="16"/>
  <c r="D13" i="16"/>
  <c r="B13" i="16"/>
  <c r="I12" i="16"/>
  <c r="H12" i="16"/>
  <c r="G12" i="16"/>
  <c r="F12" i="16"/>
  <c r="E12" i="16"/>
  <c r="D12" i="16"/>
  <c r="B12" i="16"/>
  <c r="I11" i="16"/>
  <c r="H11" i="16"/>
  <c r="G11" i="16"/>
  <c r="F11" i="16"/>
  <c r="E11" i="16"/>
  <c r="D11" i="16"/>
  <c r="B11" i="16"/>
  <c r="I10" i="16"/>
  <c r="H10" i="16"/>
  <c r="G10" i="16"/>
  <c r="F10" i="16"/>
  <c r="E10" i="16"/>
  <c r="D10" i="16"/>
  <c r="B10" i="16"/>
  <c r="I9" i="16"/>
  <c r="H9" i="16"/>
  <c r="G9" i="16"/>
  <c r="F9" i="16"/>
  <c r="E9" i="16"/>
  <c r="D9" i="16"/>
  <c r="B9" i="16"/>
  <c r="I8" i="16"/>
  <c r="H8" i="16"/>
  <c r="G8" i="16"/>
  <c r="F8" i="16"/>
  <c r="E8" i="16"/>
  <c r="D8" i="16"/>
  <c r="B8" i="16"/>
  <c r="I7" i="16"/>
  <c r="H7" i="16"/>
  <c r="G7" i="16"/>
  <c r="F7" i="16"/>
  <c r="E7" i="16"/>
  <c r="D7" i="16"/>
  <c r="B7" i="16"/>
  <c r="I6" i="16"/>
  <c r="H6" i="16"/>
  <c r="G6" i="16"/>
  <c r="F6" i="16"/>
  <c r="E6" i="16"/>
  <c r="D6" i="16"/>
  <c r="B6" i="16"/>
  <c r="I5" i="16"/>
  <c r="H5" i="16"/>
  <c r="G5" i="16"/>
  <c r="F5" i="16"/>
  <c r="E5" i="16"/>
  <c r="D5" i="16"/>
  <c r="B5" i="16"/>
  <c r="I4" i="16"/>
  <c r="H4" i="16"/>
  <c r="G4" i="16"/>
  <c r="F4" i="16"/>
  <c r="E4" i="16"/>
  <c r="D4" i="16"/>
  <c r="B4" i="16"/>
  <c r="I3" i="16"/>
  <c r="H3" i="16"/>
  <c r="G3" i="16"/>
  <c r="F3" i="16"/>
  <c r="E3" i="16"/>
  <c r="D3" i="16"/>
  <c r="B3" i="16"/>
  <c r="I2" i="16"/>
  <c r="H2" i="16"/>
  <c r="G2" i="16"/>
  <c r="F2" i="16"/>
  <c r="E2" i="16"/>
  <c r="D2" i="16"/>
  <c r="B2" i="16"/>
  <c r="I26" i="15"/>
  <c r="H26" i="15"/>
  <c r="G26" i="15"/>
  <c r="F26" i="15"/>
  <c r="E26" i="15"/>
  <c r="D26" i="15"/>
  <c r="B26" i="15"/>
  <c r="I25" i="15"/>
  <c r="H25" i="15"/>
  <c r="G25" i="15"/>
  <c r="F25" i="15"/>
  <c r="E25" i="15"/>
  <c r="D25" i="15"/>
  <c r="B25" i="15"/>
  <c r="I24" i="15"/>
  <c r="H24" i="15"/>
  <c r="G24" i="15"/>
  <c r="F24" i="15"/>
  <c r="E24" i="15"/>
  <c r="D24" i="15"/>
  <c r="B24" i="15"/>
  <c r="I23" i="15"/>
  <c r="H23" i="15"/>
  <c r="G23" i="15"/>
  <c r="F23" i="15"/>
  <c r="E23" i="15"/>
  <c r="D23" i="15"/>
  <c r="B23" i="15"/>
  <c r="I22" i="15"/>
  <c r="H22" i="15"/>
  <c r="G22" i="15"/>
  <c r="F22" i="15"/>
  <c r="E22" i="15"/>
  <c r="D22" i="15"/>
  <c r="B22" i="15"/>
  <c r="I21" i="15"/>
  <c r="H21" i="15"/>
  <c r="G21" i="15"/>
  <c r="F21" i="15"/>
  <c r="E21" i="15"/>
  <c r="D21" i="15"/>
  <c r="B21" i="15"/>
  <c r="I20" i="15"/>
  <c r="H20" i="15"/>
  <c r="G20" i="15"/>
  <c r="F20" i="15"/>
  <c r="E20" i="15"/>
  <c r="D20" i="15"/>
  <c r="B20" i="15"/>
  <c r="I19" i="15"/>
  <c r="H19" i="15"/>
  <c r="G19" i="15"/>
  <c r="F19" i="15"/>
  <c r="E19" i="15"/>
  <c r="D19" i="15"/>
  <c r="B19" i="15"/>
  <c r="I18" i="15"/>
  <c r="H18" i="15"/>
  <c r="G18" i="15"/>
  <c r="F18" i="15"/>
  <c r="E18" i="15"/>
  <c r="D18" i="15"/>
  <c r="B18" i="15"/>
  <c r="I17" i="15"/>
  <c r="H17" i="15"/>
  <c r="G17" i="15"/>
  <c r="F17" i="15"/>
  <c r="E17" i="15"/>
  <c r="D17" i="15"/>
  <c r="B17" i="15"/>
  <c r="I16" i="15"/>
  <c r="H16" i="15"/>
  <c r="G16" i="15"/>
  <c r="F16" i="15"/>
  <c r="E16" i="15"/>
  <c r="D16" i="15"/>
  <c r="B16" i="15"/>
  <c r="I15" i="15"/>
  <c r="H15" i="15"/>
  <c r="G15" i="15"/>
  <c r="F15" i="15"/>
  <c r="E15" i="15"/>
  <c r="D15" i="15"/>
  <c r="B15" i="15"/>
  <c r="I14" i="15"/>
  <c r="H14" i="15"/>
  <c r="G14" i="15"/>
  <c r="F14" i="15"/>
  <c r="E14" i="15"/>
  <c r="D14" i="15"/>
  <c r="B14" i="15"/>
  <c r="I13" i="15"/>
  <c r="H13" i="15"/>
  <c r="G13" i="15"/>
  <c r="F13" i="15"/>
  <c r="E13" i="15"/>
  <c r="D13" i="15"/>
  <c r="B13" i="15"/>
  <c r="I12" i="15"/>
  <c r="H12" i="15"/>
  <c r="G12" i="15"/>
  <c r="F12" i="15"/>
  <c r="E12" i="15"/>
  <c r="D12" i="15"/>
  <c r="B12" i="15"/>
  <c r="I11" i="15"/>
  <c r="H11" i="15"/>
  <c r="G11" i="15"/>
  <c r="F11" i="15"/>
  <c r="E11" i="15"/>
  <c r="D11" i="15"/>
  <c r="B11" i="15"/>
  <c r="I10" i="15"/>
  <c r="H10" i="15"/>
  <c r="G10" i="15"/>
  <c r="F10" i="15"/>
  <c r="E10" i="15"/>
  <c r="D10" i="15"/>
  <c r="B10" i="15"/>
  <c r="I9" i="15"/>
  <c r="H9" i="15"/>
  <c r="G9" i="15"/>
  <c r="F9" i="15"/>
  <c r="E9" i="15"/>
  <c r="D9" i="15"/>
  <c r="B9" i="15"/>
  <c r="I8" i="15"/>
  <c r="H8" i="15"/>
  <c r="G8" i="15"/>
  <c r="F8" i="15"/>
  <c r="E8" i="15"/>
  <c r="D8" i="15"/>
  <c r="B8" i="15"/>
  <c r="I7" i="15"/>
  <c r="H7" i="15"/>
  <c r="G7" i="15"/>
  <c r="F7" i="15"/>
  <c r="E7" i="15"/>
  <c r="D7" i="15"/>
  <c r="B7" i="15"/>
  <c r="I6" i="15"/>
  <c r="H6" i="15"/>
  <c r="G6" i="15"/>
  <c r="F6" i="15"/>
  <c r="E6" i="15"/>
  <c r="D6" i="15"/>
  <c r="B6" i="15"/>
  <c r="I5" i="15"/>
  <c r="H5" i="15"/>
  <c r="G5" i="15"/>
  <c r="F5" i="15"/>
  <c r="E5" i="15"/>
  <c r="D5" i="15"/>
  <c r="B5" i="15"/>
  <c r="I4" i="15"/>
  <c r="H4" i="15"/>
  <c r="G4" i="15"/>
  <c r="F4" i="15"/>
  <c r="E4" i="15"/>
  <c r="D4" i="15"/>
  <c r="B4" i="15"/>
  <c r="I3" i="15"/>
  <c r="H3" i="15"/>
  <c r="G3" i="15"/>
  <c r="F3" i="15"/>
  <c r="E3" i="15"/>
  <c r="D3" i="15"/>
  <c r="B3" i="15"/>
  <c r="I2" i="15"/>
  <c r="H2" i="15"/>
  <c r="G2" i="15"/>
  <c r="F2" i="15"/>
  <c r="E2" i="15"/>
  <c r="D2" i="15"/>
  <c r="B2" i="15"/>
  <c r="I26" i="14"/>
  <c r="H26" i="14"/>
  <c r="G26" i="14"/>
  <c r="F26" i="14"/>
  <c r="E26" i="14"/>
  <c r="D26" i="14"/>
  <c r="B26" i="14"/>
  <c r="I25" i="14"/>
  <c r="H25" i="14"/>
  <c r="G25" i="14"/>
  <c r="F25" i="14"/>
  <c r="E25" i="14"/>
  <c r="D25" i="14"/>
  <c r="B25" i="14"/>
  <c r="I24" i="14"/>
  <c r="H24" i="14"/>
  <c r="G24" i="14"/>
  <c r="F24" i="14"/>
  <c r="E24" i="14"/>
  <c r="D24" i="14"/>
  <c r="B24" i="14"/>
  <c r="I23" i="14"/>
  <c r="H23" i="14"/>
  <c r="G23" i="14"/>
  <c r="F23" i="14"/>
  <c r="E23" i="14"/>
  <c r="D23" i="14"/>
  <c r="B23" i="14"/>
  <c r="I22" i="14"/>
  <c r="H22" i="14"/>
  <c r="G22" i="14"/>
  <c r="F22" i="14"/>
  <c r="E22" i="14"/>
  <c r="D22" i="14"/>
  <c r="B22" i="14"/>
  <c r="I21" i="14"/>
  <c r="H21" i="14"/>
  <c r="G21" i="14"/>
  <c r="F21" i="14"/>
  <c r="E21" i="14"/>
  <c r="D21" i="14"/>
  <c r="B21" i="14"/>
  <c r="I20" i="14"/>
  <c r="H20" i="14"/>
  <c r="G20" i="14"/>
  <c r="F20" i="14"/>
  <c r="E20" i="14"/>
  <c r="D20" i="14"/>
  <c r="B20" i="14"/>
  <c r="I19" i="14"/>
  <c r="H19" i="14"/>
  <c r="G19" i="14"/>
  <c r="F19" i="14"/>
  <c r="E19" i="14"/>
  <c r="D19" i="14"/>
  <c r="B19" i="14"/>
  <c r="I18" i="14"/>
  <c r="H18" i="14"/>
  <c r="G18" i="14"/>
  <c r="F18" i="14"/>
  <c r="E18" i="14"/>
  <c r="D18" i="14"/>
  <c r="B18" i="14"/>
  <c r="I17" i="14"/>
  <c r="H17" i="14"/>
  <c r="G17" i="14"/>
  <c r="F17" i="14"/>
  <c r="E17" i="14"/>
  <c r="D17" i="14"/>
  <c r="B17" i="14"/>
  <c r="I16" i="14"/>
  <c r="H16" i="14"/>
  <c r="G16" i="14"/>
  <c r="F16" i="14"/>
  <c r="E16" i="14"/>
  <c r="D16" i="14"/>
  <c r="B16" i="14"/>
  <c r="I15" i="14"/>
  <c r="H15" i="14"/>
  <c r="G15" i="14"/>
  <c r="F15" i="14"/>
  <c r="E15" i="14"/>
  <c r="D15" i="14"/>
  <c r="B15" i="14"/>
  <c r="I14" i="14"/>
  <c r="H14" i="14"/>
  <c r="G14" i="14"/>
  <c r="F14" i="14"/>
  <c r="E14" i="14"/>
  <c r="D14" i="14"/>
  <c r="B14" i="14"/>
  <c r="I13" i="14"/>
  <c r="H13" i="14"/>
  <c r="G13" i="14"/>
  <c r="F13" i="14"/>
  <c r="E13" i="14"/>
  <c r="D13" i="14"/>
  <c r="B13" i="14"/>
  <c r="I12" i="14"/>
  <c r="H12" i="14"/>
  <c r="G12" i="14"/>
  <c r="F12" i="14"/>
  <c r="E12" i="14"/>
  <c r="D12" i="14"/>
  <c r="B12" i="14"/>
  <c r="I11" i="14"/>
  <c r="H11" i="14"/>
  <c r="G11" i="14"/>
  <c r="F11" i="14"/>
  <c r="E11" i="14"/>
  <c r="D11" i="14"/>
  <c r="B11" i="14"/>
  <c r="I10" i="14"/>
  <c r="H10" i="14"/>
  <c r="G10" i="14"/>
  <c r="F10" i="14"/>
  <c r="E10" i="14"/>
  <c r="D10" i="14"/>
  <c r="B10" i="14"/>
  <c r="I9" i="14"/>
  <c r="H9" i="14"/>
  <c r="G9" i="14"/>
  <c r="F9" i="14"/>
  <c r="E9" i="14"/>
  <c r="D9" i="14"/>
  <c r="B9" i="14"/>
  <c r="I8" i="14"/>
  <c r="H8" i="14"/>
  <c r="G8" i="14"/>
  <c r="F8" i="14"/>
  <c r="E8" i="14"/>
  <c r="D8" i="14"/>
  <c r="B8" i="14"/>
  <c r="I7" i="14"/>
  <c r="H7" i="14"/>
  <c r="G7" i="14"/>
  <c r="F7" i="14"/>
  <c r="E7" i="14"/>
  <c r="D7" i="14"/>
  <c r="B7" i="14"/>
  <c r="I6" i="14"/>
  <c r="H6" i="14"/>
  <c r="G6" i="14"/>
  <c r="F6" i="14"/>
  <c r="E6" i="14"/>
  <c r="D6" i="14"/>
  <c r="B6" i="14"/>
  <c r="I5" i="14"/>
  <c r="H5" i="14"/>
  <c r="G5" i="14"/>
  <c r="F5" i="14"/>
  <c r="E5" i="14"/>
  <c r="D5" i="14"/>
  <c r="B5" i="14"/>
  <c r="I4" i="14"/>
  <c r="H4" i="14"/>
  <c r="G4" i="14"/>
  <c r="F4" i="14"/>
  <c r="E4" i="14"/>
  <c r="D4" i="14"/>
  <c r="B4" i="14"/>
  <c r="I3" i="14"/>
  <c r="H3" i="14"/>
  <c r="G3" i="14"/>
  <c r="F3" i="14"/>
  <c r="E3" i="14"/>
  <c r="D3" i="14"/>
  <c r="B3" i="14"/>
  <c r="I2" i="14"/>
  <c r="H2" i="14"/>
  <c r="G2" i="14"/>
  <c r="F2" i="14"/>
  <c r="E2" i="14"/>
  <c r="D2" i="14"/>
  <c r="B2" i="14"/>
  <c r="I26" i="13"/>
  <c r="H26" i="13"/>
  <c r="G26" i="13"/>
  <c r="F26" i="13"/>
  <c r="E26" i="13"/>
  <c r="D26" i="13"/>
  <c r="B26" i="13"/>
  <c r="I25" i="13"/>
  <c r="H25" i="13"/>
  <c r="G25" i="13"/>
  <c r="F25" i="13"/>
  <c r="E25" i="13"/>
  <c r="D25" i="13"/>
  <c r="B25" i="13"/>
  <c r="I24" i="13"/>
  <c r="H24" i="13"/>
  <c r="G24" i="13"/>
  <c r="F24" i="13"/>
  <c r="E24" i="13"/>
  <c r="D24" i="13"/>
  <c r="B24" i="13"/>
  <c r="I23" i="13"/>
  <c r="H23" i="13"/>
  <c r="G23" i="13"/>
  <c r="F23" i="13"/>
  <c r="E23" i="13"/>
  <c r="D23" i="13"/>
  <c r="B23" i="13"/>
  <c r="I22" i="13"/>
  <c r="H22" i="13"/>
  <c r="G22" i="13"/>
  <c r="F22" i="13"/>
  <c r="E22" i="13"/>
  <c r="D22" i="13"/>
  <c r="B22" i="13"/>
  <c r="I21" i="13"/>
  <c r="H21" i="13"/>
  <c r="G21" i="13"/>
  <c r="F21" i="13"/>
  <c r="E21" i="13"/>
  <c r="D21" i="13"/>
  <c r="B21" i="13"/>
  <c r="I20" i="13"/>
  <c r="H20" i="13"/>
  <c r="G20" i="13"/>
  <c r="F20" i="13"/>
  <c r="E20" i="13"/>
  <c r="D20" i="13"/>
  <c r="B20" i="13"/>
  <c r="I19" i="13"/>
  <c r="H19" i="13"/>
  <c r="G19" i="13"/>
  <c r="F19" i="13"/>
  <c r="E19" i="13"/>
  <c r="D19" i="13"/>
  <c r="B19" i="13"/>
  <c r="I18" i="13"/>
  <c r="H18" i="13"/>
  <c r="G18" i="13"/>
  <c r="F18" i="13"/>
  <c r="E18" i="13"/>
  <c r="D18" i="13"/>
  <c r="B18" i="13"/>
  <c r="I17" i="13"/>
  <c r="H17" i="13"/>
  <c r="G17" i="13"/>
  <c r="F17" i="13"/>
  <c r="E17" i="13"/>
  <c r="D17" i="13"/>
  <c r="B17" i="13"/>
  <c r="I16" i="13"/>
  <c r="H16" i="13"/>
  <c r="G16" i="13"/>
  <c r="F16" i="13"/>
  <c r="E16" i="13"/>
  <c r="D16" i="13"/>
  <c r="B16" i="13"/>
  <c r="I15" i="13"/>
  <c r="H15" i="13"/>
  <c r="G15" i="13"/>
  <c r="F15" i="13"/>
  <c r="E15" i="13"/>
  <c r="D15" i="13"/>
  <c r="B15" i="13"/>
  <c r="I14" i="13"/>
  <c r="H14" i="13"/>
  <c r="G14" i="13"/>
  <c r="F14" i="13"/>
  <c r="E14" i="13"/>
  <c r="D14" i="13"/>
  <c r="B14" i="13"/>
  <c r="I13" i="13"/>
  <c r="H13" i="13"/>
  <c r="G13" i="13"/>
  <c r="F13" i="13"/>
  <c r="E13" i="13"/>
  <c r="D13" i="13"/>
  <c r="B13" i="13"/>
  <c r="I12" i="13"/>
  <c r="H12" i="13"/>
  <c r="G12" i="13"/>
  <c r="F12" i="13"/>
  <c r="E12" i="13"/>
  <c r="D12" i="13"/>
  <c r="B12" i="13"/>
  <c r="I11" i="13"/>
  <c r="H11" i="13"/>
  <c r="G11" i="13"/>
  <c r="F11" i="13"/>
  <c r="E11" i="13"/>
  <c r="D11" i="13"/>
  <c r="B11" i="13"/>
  <c r="I10" i="13"/>
  <c r="H10" i="13"/>
  <c r="G10" i="13"/>
  <c r="F10" i="13"/>
  <c r="E10" i="13"/>
  <c r="D10" i="13"/>
  <c r="B10" i="13"/>
  <c r="I9" i="13"/>
  <c r="H9" i="13"/>
  <c r="G9" i="13"/>
  <c r="F9" i="13"/>
  <c r="E9" i="13"/>
  <c r="D9" i="13"/>
  <c r="B9" i="13"/>
  <c r="I8" i="13"/>
  <c r="H8" i="13"/>
  <c r="G8" i="13"/>
  <c r="F8" i="13"/>
  <c r="E8" i="13"/>
  <c r="D8" i="13"/>
  <c r="B8" i="13"/>
  <c r="I7" i="13"/>
  <c r="H7" i="13"/>
  <c r="G7" i="13"/>
  <c r="F7" i="13"/>
  <c r="E7" i="13"/>
  <c r="D7" i="13"/>
  <c r="B7" i="13"/>
  <c r="I6" i="13"/>
  <c r="H6" i="13"/>
  <c r="G6" i="13"/>
  <c r="F6" i="13"/>
  <c r="E6" i="13"/>
  <c r="D6" i="13"/>
  <c r="B6" i="13"/>
  <c r="I5" i="13"/>
  <c r="H5" i="13"/>
  <c r="G5" i="13"/>
  <c r="F5" i="13"/>
  <c r="E5" i="13"/>
  <c r="D5" i="13"/>
  <c r="B5" i="13"/>
  <c r="I4" i="13"/>
  <c r="H4" i="13"/>
  <c r="G4" i="13"/>
  <c r="F4" i="13"/>
  <c r="E4" i="13"/>
  <c r="D4" i="13"/>
  <c r="B4" i="13"/>
  <c r="I3" i="13"/>
  <c r="H3" i="13"/>
  <c r="G3" i="13"/>
  <c r="F3" i="13"/>
  <c r="E3" i="13"/>
  <c r="D3" i="13"/>
  <c r="B3" i="13"/>
  <c r="I2" i="13"/>
  <c r="H2" i="13"/>
  <c r="G2" i="13"/>
  <c r="F2" i="13"/>
  <c r="E2" i="13"/>
  <c r="D2" i="13"/>
  <c r="B2" i="13"/>
  <c r="I26" i="12"/>
  <c r="H26" i="12"/>
  <c r="G26" i="12"/>
  <c r="F26" i="12"/>
  <c r="E26" i="12"/>
  <c r="D26" i="12"/>
  <c r="B26" i="12"/>
  <c r="I25" i="12"/>
  <c r="H25" i="12"/>
  <c r="G25" i="12"/>
  <c r="F25" i="12"/>
  <c r="E25" i="12"/>
  <c r="D25" i="12"/>
  <c r="B25" i="12"/>
  <c r="I24" i="12"/>
  <c r="H24" i="12"/>
  <c r="G24" i="12"/>
  <c r="F24" i="12"/>
  <c r="E24" i="12"/>
  <c r="D24" i="12"/>
  <c r="B24" i="12"/>
  <c r="I23" i="12"/>
  <c r="H23" i="12"/>
  <c r="G23" i="12"/>
  <c r="F23" i="12"/>
  <c r="E23" i="12"/>
  <c r="D23" i="12"/>
  <c r="B23" i="12"/>
  <c r="I22" i="12"/>
  <c r="H22" i="12"/>
  <c r="G22" i="12"/>
  <c r="F22" i="12"/>
  <c r="E22" i="12"/>
  <c r="D22" i="12"/>
  <c r="B22" i="12"/>
  <c r="I21" i="12"/>
  <c r="H21" i="12"/>
  <c r="G21" i="12"/>
  <c r="F21" i="12"/>
  <c r="E21" i="12"/>
  <c r="D21" i="12"/>
  <c r="B21" i="12"/>
  <c r="I20" i="12"/>
  <c r="H20" i="12"/>
  <c r="G20" i="12"/>
  <c r="F20" i="12"/>
  <c r="E20" i="12"/>
  <c r="D20" i="12"/>
  <c r="B20" i="12"/>
  <c r="I19" i="12"/>
  <c r="H19" i="12"/>
  <c r="G19" i="12"/>
  <c r="F19" i="12"/>
  <c r="E19" i="12"/>
  <c r="D19" i="12"/>
  <c r="B19" i="12"/>
  <c r="I18" i="12"/>
  <c r="H18" i="12"/>
  <c r="G18" i="12"/>
  <c r="F18" i="12"/>
  <c r="E18" i="12"/>
  <c r="D18" i="12"/>
  <c r="B18" i="12"/>
  <c r="I17" i="12"/>
  <c r="H17" i="12"/>
  <c r="G17" i="12"/>
  <c r="F17" i="12"/>
  <c r="E17" i="12"/>
  <c r="D17" i="12"/>
  <c r="B17" i="12"/>
  <c r="I16" i="12"/>
  <c r="H16" i="12"/>
  <c r="G16" i="12"/>
  <c r="F16" i="12"/>
  <c r="E16" i="12"/>
  <c r="D16" i="12"/>
  <c r="B16" i="12"/>
  <c r="I15" i="12"/>
  <c r="H15" i="12"/>
  <c r="G15" i="12"/>
  <c r="F15" i="12"/>
  <c r="E15" i="12"/>
  <c r="D15" i="12"/>
  <c r="B15" i="12"/>
  <c r="I14" i="12"/>
  <c r="H14" i="12"/>
  <c r="G14" i="12"/>
  <c r="F14" i="12"/>
  <c r="E14" i="12"/>
  <c r="D14" i="12"/>
  <c r="B14" i="12"/>
  <c r="I13" i="12"/>
  <c r="H13" i="12"/>
  <c r="G13" i="12"/>
  <c r="F13" i="12"/>
  <c r="E13" i="12"/>
  <c r="D13" i="12"/>
  <c r="B13" i="12"/>
  <c r="I12" i="12"/>
  <c r="H12" i="12"/>
  <c r="G12" i="12"/>
  <c r="F12" i="12"/>
  <c r="E12" i="12"/>
  <c r="D12" i="12"/>
  <c r="B12" i="12"/>
  <c r="I11" i="12"/>
  <c r="H11" i="12"/>
  <c r="G11" i="12"/>
  <c r="F11" i="12"/>
  <c r="E11" i="12"/>
  <c r="D11" i="12"/>
  <c r="B11" i="12"/>
  <c r="I10" i="12"/>
  <c r="H10" i="12"/>
  <c r="G10" i="12"/>
  <c r="F10" i="12"/>
  <c r="E10" i="12"/>
  <c r="D10" i="12"/>
  <c r="B10" i="12"/>
  <c r="I9" i="12"/>
  <c r="H9" i="12"/>
  <c r="G9" i="12"/>
  <c r="F9" i="12"/>
  <c r="E9" i="12"/>
  <c r="D9" i="12"/>
  <c r="B9" i="12"/>
  <c r="I8" i="12"/>
  <c r="H8" i="12"/>
  <c r="G8" i="12"/>
  <c r="F8" i="12"/>
  <c r="E8" i="12"/>
  <c r="D8" i="12"/>
  <c r="B8" i="12"/>
  <c r="I7" i="12"/>
  <c r="H7" i="12"/>
  <c r="G7" i="12"/>
  <c r="F7" i="12"/>
  <c r="E7" i="12"/>
  <c r="D7" i="12"/>
  <c r="B7" i="12"/>
  <c r="I6" i="12"/>
  <c r="H6" i="12"/>
  <c r="G6" i="12"/>
  <c r="F6" i="12"/>
  <c r="E6" i="12"/>
  <c r="D6" i="12"/>
  <c r="B6" i="12"/>
  <c r="I5" i="12"/>
  <c r="H5" i="12"/>
  <c r="G5" i="12"/>
  <c r="F5" i="12"/>
  <c r="E5" i="12"/>
  <c r="D5" i="12"/>
  <c r="B5" i="12"/>
  <c r="I4" i="12"/>
  <c r="H4" i="12"/>
  <c r="G4" i="12"/>
  <c r="F4" i="12"/>
  <c r="E4" i="12"/>
  <c r="D4" i="12"/>
  <c r="B4" i="12"/>
  <c r="I3" i="12"/>
  <c r="H3" i="12"/>
  <c r="G3" i="12"/>
  <c r="F3" i="12"/>
  <c r="E3" i="12"/>
  <c r="D3" i="12"/>
  <c r="B3" i="12"/>
  <c r="I2" i="12"/>
  <c r="H2" i="12"/>
  <c r="G2" i="12"/>
  <c r="F2" i="12"/>
  <c r="E2" i="12"/>
  <c r="D2" i="12"/>
  <c r="B2" i="12"/>
  <c r="I26" i="11"/>
  <c r="H26" i="11"/>
  <c r="G26" i="11"/>
  <c r="F26" i="11"/>
  <c r="E26" i="11"/>
  <c r="D26" i="11"/>
  <c r="B26" i="11"/>
  <c r="I25" i="11"/>
  <c r="H25" i="11"/>
  <c r="G25" i="11"/>
  <c r="F25" i="11"/>
  <c r="E25" i="11"/>
  <c r="D25" i="11"/>
  <c r="B25" i="11"/>
  <c r="I24" i="11"/>
  <c r="H24" i="11"/>
  <c r="G24" i="11"/>
  <c r="F24" i="11"/>
  <c r="E24" i="11"/>
  <c r="D24" i="11"/>
  <c r="B24" i="11"/>
  <c r="I23" i="11"/>
  <c r="H23" i="11"/>
  <c r="G23" i="11"/>
  <c r="F23" i="11"/>
  <c r="E23" i="11"/>
  <c r="D23" i="11"/>
  <c r="B23" i="11"/>
  <c r="I22" i="11"/>
  <c r="H22" i="11"/>
  <c r="G22" i="11"/>
  <c r="F22" i="11"/>
  <c r="E22" i="11"/>
  <c r="D22" i="11"/>
  <c r="B22" i="11"/>
  <c r="I21" i="11"/>
  <c r="H21" i="11"/>
  <c r="G21" i="11"/>
  <c r="F21" i="11"/>
  <c r="E21" i="11"/>
  <c r="D21" i="11"/>
  <c r="B21" i="11"/>
  <c r="I20" i="11"/>
  <c r="H20" i="11"/>
  <c r="G20" i="11"/>
  <c r="F20" i="11"/>
  <c r="E20" i="11"/>
  <c r="D20" i="11"/>
  <c r="B20" i="11"/>
  <c r="I19" i="11"/>
  <c r="H19" i="11"/>
  <c r="G19" i="11"/>
  <c r="F19" i="11"/>
  <c r="E19" i="11"/>
  <c r="D19" i="11"/>
  <c r="B19" i="11"/>
  <c r="I18" i="11"/>
  <c r="H18" i="11"/>
  <c r="G18" i="11"/>
  <c r="F18" i="11"/>
  <c r="E18" i="11"/>
  <c r="D18" i="11"/>
  <c r="B18" i="11"/>
  <c r="I17" i="11"/>
  <c r="H17" i="11"/>
  <c r="G17" i="11"/>
  <c r="F17" i="11"/>
  <c r="E17" i="11"/>
  <c r="D17" i="11"/>
  <c r="B17" i="11"/>
  <c r="I16" i="11"/>
  <c r="H16" i="11"/>
  <c r="G16" i="11"/>
  <c r="F16" i="11"/>
  <c r="E16" i="11"/>
  <c r="D16" i="11"/>
  <c r="B16" i="11"/>
  <c r="I15" i="11"/>
  <c r="H15" i="11"/>
  <c r="G15" i="11"/>
  <c r="F15" i="11"/>
  <c r="E15" i="11"/>
  <c r="D15" i="11"/>
  <c r="B15" i="11"/>
  <c r="I14" i="11"/>
  <c r="H14" i="11"/>
  <c r="G14" i="11"/>
  <c r="F14" i="11"/>
  <c r="E14" i="11"/>
  <c r="D14" i="11"/>
  <c r="B14" i="11"/>
  <c r="I13" i="11"/>
  <c r="H13" i="11"/>
  <c r="G13" i="11"/>
  <c r="F13" i="11"/>
  <c r="E13" i="11"/>
  <c r="D13" i="11"/>
  <c r="B13" i="11"/>
  <c r="I12" i="11"/>
  <c r="H12" i="11"/>
  <c r="G12" i="11"/>
  <c r="F12" i="11"/>
  <c r="E12" i="11"/>
  <c r="D12" i="11"/>
  <c r="B12" i="11"/>
  <c r="I11" i="11"/>
  <c r="H11" i="11"/>
  <c r="G11" i="11"/>
  <c r="F11" i="11"/>
  <c r="E11" i="11"/>
  <c r="D11" i="11"/>
  <c r="B11" i="11"/>
  <c r="I10" i="11"/>
  <c r="H10" i="11"/>
  <c r="G10" i="11"/>
  <c r="F10" i="11"/>
  <c r="E10" i="11"/>
  <c r="D10" i="11"/>
  <c r="B10" i="11"/>
  <c r="I9" i="11"/>
  <c r="H9" i="11"/>
  <c r="G9" i="11"/>
  <c r="F9" i="11"/>
  <c r="E9" i="11"/>
  <c r="D9" i="11"/>
  <c r="B9" i="11"/>
  <c r="I8" i="11"/>
  <c r="H8" i="11"/>
  <c r="G8" i="11"/>
  <c r="F8" i="11"/>
  <c r="E8" i="11"/>
  <c r="D8" i="11"/>
  <c r="B8" i="11"/>
  <c r="I7" i="11"/>
  <c r="H7" i="11"/>
  <c r="G7" i="11"/>
  <c r="F7" i="11"/>
  <c r="E7" i="11"/>
  <c r="D7" i="11"/>
  <c r="B7" i="11"/>
  <c r="I6" i="11"/>
  <c r="H6" i="11"/>
  <c r="G6" i="11"/>
  <c r="F6" i="11"/>
  <c r="E6" i="11"/>
  <c r="D6" i="11"/>
  <c r="B6" i="11"/>
  <c r="I5" i="11"/>
  <c r="H5" i="11"/>
  <c r="G5" i="11"/>
  <c r="F5" i="11"/>
  <c r="E5" i="11"/>
  <c r="D5" i="11"/>
  <c r="B5" i="11"/>
  <c r="I4" i="11"/>
  <c r="H4" i="11"/>
  <c r="G4" i="11"/>
  <c r="F4" i="11"/>
  <c r="E4" i="11"/>
  <c r="D4" i="11"/>
  <c r="B4" i="11"/>
  <c r="I3" i="11"/>
  <c r="H3" i="11"/>
  <c r="G3" i="11"/>
  <c r="F3" i="11"/>
  <c r="E3" i="11"/>
  <c r="D3" i="11"/>
  <c r="B3" i="11"/>
  <c r="I2" i="11"/>
  <c r="H2" i="11"/>
  <c r="G2" i="11"/>
  <c r="F2" i="11"/>
  <c r="E2" i="11"/>
  <c r="D2" i="11"/>
  <c r="B2" i="11"/>
  <c r="I26" i="10"/>
  <c r="H26" i="10"/>
  <c r="G26" i="10"/>
  <c r="F26" i="10"/>
  <c r="E26" i="10"/>
  <c r="D26" i="10"/>
  <c r="B26" i="10"/>
  <c r="I25" i="10"/>
  <c r="H25" i="10"/>
  <c r="G25" i="10"/>
  <c r="F25" i="10"/>
  <c r="E25" i="10"/>
  <c r="D25" i="10"/>
  <c r="B25" i="10"/>
  <c r="I24" i="10"/>
  <c r="H24" i="10"/>
  <c r="G24" i="10"/>
  <c r="F24" i="10"/>
  <c r="E24" i="10"/>
  <c r="D24" i="10"/>
  <c r="B24" i="10"/>
  <c r="I23" i="10"/>
  <c r="H23" i="10"/>
  <c r="G23" i="10"/>
  <c r="F23" i="10"/>
  <c r="E23" i="10"/>
  <c r="D23" i="10"/>
  <c r="B23" i="10"/>
  <c r="I22" i="10"/>
  <c r="H22" i="10"/>
  <c r="G22" i="10"/>
  <c r="F22" i="10"/>
  <c r="E22" i="10"/>
  <c r="D22" i="10"/>
  <c r="B22" i="10"/>
  <c r="I21" i="10"/>
  <c r="H21" i="10"/>
  <c r="G21" i="10"/>
  <c r="F21" i="10"/>
  <c r="E21" i="10"/>
  <c r="D21" i="10"/>
  <c r="B21" i="10"/>
  <c r="I20" i="10"/>
  <c r="H20" i="10"/>
  <c r="G20" i="10"/>
  <c r="F20" i="10"/>
  <c r="E20" i="10"/>
  <c r="D20" i="10"/>
  <c r="B20" i="10"/>
  <c r="I19" i="10"/>
  <c r="H19" i="10"/>
  <c r="G19" i="10"/>
  <c r="F19" i="10"/>
  <c r="E19" i="10"/>
  <c r="D19" i="10"/>
  <c r="B19" i="10"/>
  <c r="I18" i="10"/>
  <c r="H18" i="10"/>
  <c r="G18" i="10"/>
  <c r="F18" i="10"/>
  <c r="E18" i="10"/>
  <c r="D18" i="10"/>
  <c r="B18" i="10"/>
  <c r="I17" i="10"/>
  <c r="H17" i="10"/>
  <c r="G17" i="10"/>
  <c r="F17" i="10"/>
  <c r="E17" i="10"/>
  <c r="D17" i="10"/>
  <c r="B17" i="10"/>
  <c r="I16" i="10"/>
  <c r="H16" i="10"/>
  <c r="G16" i="10"/>
  <c r="F16" i="10"/>
  <c r="E16" i="10"/>
  <c r="D16" i="10"/>
  <c r="B16" i="10"/>
  <c r="I15" i="10"/>
  <c r="H15" i="10"/>
  <c r="G15" i="10"/>
  <c r="F15" i="10"/>
  <c r="E15" i="10"/>
  <c r="D15" i="10"/>
  <c r="B15" i="10"/>
  <c r="I14" i="10"/>
  <c r="H14" i="10"/>
  <c r="G14" i="10"/>
  <c r="F14" i="10"/>
  <c r="E14" i="10"/>
  <c r="D14" i="10"/>
  <c r="B14" i="10"/>
  <c r="I13" i="10"/>
  <c r="H13" i="10"/>
  <c r="G13" i="10"/>
  <c r="F13" i="10"/>
  <c r="E13" i="10"/>
  <c r="D13" i="10"/>
  <c r="B13" i="10"/>
  <c r="I12" i="10"/>
  <c r="H12" i="10"/>
  <c r="G12" i="10"/>
  <c r="F12" i="10"/>
  <c r="E12" i="10"/>
  <c r="D12" i="10"/>
  <c r="B12" i="10"/>
  <c r="I11" i="10"/>
  <c r="H11" i="10"/>
  <c r="G11" i="10"/>
  <c r="F11" i="10"/>
  <c r="E11" i="10"/>
  <c r="D11" i="10"/>
  <c r="B11" i="10"/>
  <c r="I10" i="10"/>
  <c r="H10" i="10"/>
  <c r="G10" i="10"/>
  <c r="F10" i="10"/>
  <c r="E10" i="10"/>
  <c r="D10" i="10"/>
  <c r="B10" i="10"/>
  <c r="I9" i="10"/>
  <c r="H9" i="10"/>
  <c r="G9" i="10"/>
  <c r="F9" i="10"/>
  <c r="E9" i="10"/>
  <c r="D9" i="10"/>
  <c r="B9" i="10"/>
  <c r="I8" i="10"/>
  <c r="H8" i="10"/>
  <c r="G8" i="10"/>
  <c r="F8" i="10"/>
  <c r="E8" i="10"/>
  <c r="D8" i="10"/>
  <c r="B8" i="10"/>
  <c r="I7" i="10"/>
  <c r="H7" i="10"/>
  <c r="G7" i="10"/>
  <c r="F7" i="10"/>
  <c r="E7" i="10"/>
  <c r="D7" i="10"/>
  <c r="B7" i="10"/>
  <c r="I6" i="10"/>
  <c r="H6" i="10"/>
  <c r="G6" i="10"/>
  <c r="F6" i="10"/>
  <c r="E6" i="10"/>
  <c r="D6" i="10"/>
  <c r="B6" i="10"/>
  <c r="I5" i="10"/>
  <c r="H5" i="10"/>
  <c r="G5" i="10"/>
  <c r="F5" i="10"/>
  <c r="E5" i="10"/>
  <c r="D5" i="10"/>
  <c r="B5" i="10"/>
  <c r="I4" i="10"/>
  <c r="H4" i="10"/>
  <c r="G4" i="10"/>
  <c r="F4" i="10"/>
  <c r="E4" i="10"/>
  <c r="D4" i="10"/>
  <c r="B4" i="10"/>
  <c r="I3" i="10"/>
  <c r="H3" i="10"/>
  <c r="G3" i="10"/>
  <c r="F3" i="10"/>
  <c r="E3" i="10"/>
  <c r="D3" i="10"/>
  <c r="B3" i="10"/>
  <c r="I2" i="10"/>
  <c r="H2" i="10"/>
  <c r="G2" i="10"/>
  <c r="F2" i="10"/>
  <c r="E2" i="10"/>
  <c r="D2" i="10"/>
  <c r="B2" i="10"/>
  <c r="I26" i="9"/>
  <c r="H26" i="9"/>
  <c r="G26" i="9"/>
  <c r="F26" i="9"/>
  <c r="E26" i="9"/>
  <c r="D26" i="9"/>
  <c r="B26" i="9"/>
  <c r="I25" i="9"/>
  <c r="H25" i="9"/>
  <c r="G25" i="9"/>
  <c r="F25" i="9"/>
  <c r="E25" i="9"/>
  <c r="D25" i="9"/>
  <c r="B25" i="9"/>
  <c r="I24" i="9"/>
  <c r="H24" i="9"/>
  <c r="G24" i="9"/>
  <c r="F24" i="9"/>
  <c r="E24" i="9"/>
  <c r="D24" i="9"/>
  <c r="B24" i="9"/>
  <c r="I23" i="9"/>
  <c r="H23" i="9"/>
  <c r="G23" i="9"/>
  <c r="F23" i="9"/>
  <c r="E23" i="9"/>
  <c r="D23" i="9"/>
  <c r="B23" i="9"/>
  <c r="I22" i="9"/>
  <c r="H22" i="9"/>
  <c r="G22" i="9"/>
  <c r="F22" i="9"/>
  <c r="E22" i="9"/>
  <c r="D22" i="9"/>
  <c r="B22" i="9"/>
  <c r="I21" i="9"/>
  <c r="H21" i="9"/>
  <c r="G21" i="9"/>
  <c r="F21" i="9"/>
  <c r="E21" i="9"/>
  <c r="D21" i="9"/>
  <c r="B21" i="9"/>
  <c r="I20" i="9"/>
  <c r="H20" i="9"/>
  <c r="G20" i="9"/>
  <c r="F20" i="9"/>
  <c r="E20" i="9"/>
  <c r="D20" i="9"/>
  <c r="B20" i="9"/>
  <c r="I19" i="9"/>
  <c r="H19" i="9"/>
  <c r="G19" i="9"/>
  <c r="F19" i="9"/>
  <c r="E19" i="9"/>
  <c r="D19" i="9"/>
  <c r="B19" i="9"/>
  <c r="I18" i="9"/>
  <c r="H18" i="9"/>
  <c r="G18" i="9"/>
  <c r="F18" i="9"/>
  <c r="E18" i="9"/>
  <c r="D18" i="9"/>
  <c r="B18" i="9"/>
  <c r="I17" i="9"/>
  <c r="H17" i="9"/>
  <c r="G17" i="9"/>
  <c r="F17" i="9"/>
  <c r="E17" i="9"/>
  <c r="D17" i="9"/>
  <c r="B17" i="9"/>
  <c r="I16" i="9"/>
  <c r="H16" i="9"/>
  <c r="G16" i="9"/>
  <c r="F16" i="9"/>
  <c r="E16" i="9"/>
  <c r="D16" i="9"/>
  <c r="B16" i="9"/>
  <c r="I15" i="9"/>
  <c r="H15" i="9"/>
  <c r="G15" i="9"/>
  <c r="F15" i="9"/>
  <c r="E15" i="9"/>
  <c r="D15" i="9"/>
  <c r="B15" i="9"/>
  <c r="I14" i="9"/>
  <c r="H14" i="9"/>
  <c r="G14" i="9"/>
  <c r="F14" i="9"/>
  <c r="E14" i="9"/>
  <c r="D14" i="9"/>
  <c r="B14" i="9"/>
  <c r="I13" i="9"/>
  <c r="H13" i="9"/>
  <c r="G13" i="9"/>
  <c r="F13" i="9"/>
  <c r="E13" i="9"/>
  <c r="D13" i="9"/>
  <c r="B13" i="9"/>
  <c r="I12" i="9"/>
  <c r="H12" i="9"/>
  <c r="G12" i="9"/>
  <c r="F12" i="9"/>
  <c r="E12" i="9"/>
  <c r="D12" i="9"/>
  <c r="B12" i="9"/>
  <c r="I11" i="9"/>
  <c r="H11" i="9"/>
  <c r="G11" i="9"/>
  <c r="F11" i="9"/>
  <c r="E11" i="9"/>
  <c r="D11" i="9"/>
  <c r="B11" i="9"/>
  <c r="I10" i="9"/>
  <c r="H10" i="9"/>
  <c r="G10" i="9"/>
  <c r="F10" i="9"/>
  <c r="E10" i="9"/>
  <c r="D10" i="9"/>
  <c r="B10" i="9"/>
  <c r="I9" i="9"/>
  <c r="H9" i="9"/>
  <c r="G9" i="9"/>
  <c r="F9" i="9"/>
  <c r="E9" i="9"/>
  <c r="D9" i="9"/>
  <c r="B9" i="9"/>
  <c r="I8" i="9"/>
  <c r="H8" i="9"/>
  <c r="G8" i="9"/>
  <c r="F8" i="9"/>
  <c r="E8" i="9"/>
  <c r="D8" i="9"/>
  <c r="B8" i="9"/>
  <c r="I7" i="9"/>
  <c r="H7" i="9"/>
  <c r="G7" i="9"/>
  <c r="F7" i="9"/>
  <c r="E7" i="9"/>
  <c r="D7" i="9"/>
  <c r="B7" i="9"/>
  <c r="I6" i="9"/>
  <c r="H6" i="9"/>
  <c r="G6" i="9"/>
  <c r="F6" i="9"/>
  <c r="E6" i="9"/>
  <c r="D6" i="9"/>
  <c r="B6" i="9"/>
  <c r="I5" i="9"/>
  <c r="H5" i="9"/>
  <c r="G5" i="9"/>
  <c r="F5" i="9"/>
  <c r="E5" i="9"/>
  <c r="D5" i="9"/>
  <c r="B5" i="9"/>
  <c r="I4" i="9"/>
  <c r="H4" i="9"/>
  <c r="G4" i="9"/>
  <c r="F4" i="9"/>
  <c r="E4" i="9"/>
  <c r="D4" i="9"/>
  <c r="B4" i="9"/>
  <c r="I3" i="9"/>
  <c r="H3" i="9"/>
  <c r="G3" i="9"/>
  <c r="F3" i="9"/>
  <c r="E3" i="9"/>
  <c r="D3" i="9"/>
  <c r="B3" i="9"/>
  <c r="I2" i="9"/>
  <c r="H2" i="9"/>
  <c r="G2" i="9"/>
  <c r="F2" i="9"/>
  <c r="E2" i="9"/>
  <c r="D2" i="9"/>
  <c r="B2" i="9"/>
  <c r="I26" i="8"/>
  <c r="H26" i="8"/>
  <c r="G26" i="8"/>
  <c r="F26" i="8"/>
  <c r="E26" i="8"/>
  <c r="D26" i="8"/>
  <c r="B26" i="8"/>
  <c r="I25" i="8"/>
  <c r="H25" i="8"/>
  <c r="G25" i="8"/>
  <c r="F25" i="8"/>
  <c r="E25" i="8"/>
  <c r="D25" i="8"/>
  <c r="B25" i="8"/>
  <c r="I24" i="8"/>
  <c r="H24" i="8"/>
  <c r="G24" i="8"/>
  <c r="F24" i="8"/>
  <c r="E24" i="8"/>
  <c r="D24" i="8"/>
  <c r="B24" i="8"/>
  <c r="I23" i="8"/>
  <c r="H23" i="8"/>
  <c r="G23" i="8"/>
  <c r="F23" i="8"/>
  <c r="E23" i="8"/>
  <c r="D23" i="8"/>
  <c r="B23" i="8"/>
  <c r="I22" i="8"/>
  <c r="H22" i="8"/>
  <c r="G22" i="8"/>
  <c r="F22" i="8"/>
  <c r="E22" i="8"/>
  <c r="D22" i="8"/>
  <c r="B22" i="8"/>
  <c r="I21" i="8"/>
  <c r="H21" i="8"/>
  <c r="G21" i="8"/>
  <c r="F21" i="8"/>
  <c r="E21" i="8"/>
  <c r="D21" i="8"/>
  <c r="B21" i="8"/>
  <c r="I20" i="8"/>
  <c r="H20" i="8"/>
  <c r="G20" i="8"/>
  <c r="F20" i="8"/>
  <c r="E20" i="8"/>
  <c r="D20" i="8"/>
  <c r="B20" i="8"/>
  <c r="I19" i="8"/>
  <c r="H19" i="8"/>
  <c r="G19" i="8"/>
  <c r="F19" i="8"/>
  <c r="E19" i="8"/>
  <c r="D19" i="8"/>
  <c r="B19" i="8"/>
  <c r="I18" i="8"/>
  <c r="H18" i="8"/>
  <c r="G18" i="8"/>
  <c r="F18" i="8"/>
  <c r="E18" i="8"/>
  <c r="D18" i="8"/>
  <c r="B18" i="8"/>
  <c r="I17" i="8"/>
  <c r="H17" i="8"/>
  <c r="G17" i="8"/>
  <c r="F17" i="8"/>
  <c r="E17" i="8"/>
  <c r="D17" i="8"/>
  <c r="B17" i="8"/>
  <c r="I16" i="8"/>
  <c r="H16" i="8"/>
  <c r="G16" i="8"/>
  <c r="F16" i="8"/>
  <c r="E16" i="8"/>
  <c r="D16" i="8"/>
  <c r="B16" i="8"/>
  <c r="I15" i="8"/>
  <c r="H15" i="8"/>
  <c r="G15" i="8"/>
  <c r="F15" i="8"/>
  <c r="E15" i="8"/>
  <c r="D15" i="8"/>
  <c r="B15" i="8"/>
  <c r="I14" i="8"/>
  <c r="H14" i="8"/>
  <c r="G14" i="8"/>
  <c r="F14" i="8"/>
  <c r="E14" i="8"/>
  <c r="D14" i="8"/>
  <c r="B14" i="8"/>
  <c r="I13" i="8"/>
  <c r="H13" i="8"/>
  <c r="G13" i="8"/>
  <c r="F13" i="8"/>
  <c r="E13" i="8"/>
  <c r="D13" i="8"/>
  <c r="B13" i="8"/>
  <c r="I12" i="8"/>
  <c r="H12" i="8"/>
  <c r="G12" i="8"/>
  <c r="F12" i="8"/>
  <c r="E12" i="8"/>
  <c r="D12" i="8"/>
  <c r="B12" i="8"/>
  <c r="I11" i="8"/>
  <c r="H11" i="8"/>
  <c r="G11" i="8"/>
  <c r="F11" i="8"/>
  <c r="E11" i="8"/>
  <c r="D11" i="8"/>
  <c r="B11" i="8"/>
  <c r="I10" i="8"/>
  <c r="H10" i="8"/>
  <c r="G10" i="8"/>
  <c r="F10" i="8"/>
  <c r="E10" i="8"/>
  <c r="D10" i="8"/>
  <c r="B10" i="8"/>
  <c r="I9" i="8"/>
  <c r="H9" i="8"/>
  <c r="G9" i="8"/>
  <c r="F9" i="8"/>
  <c r="E9" i="8"/>
  <c r="D9" i="8"/>
  <c r="B9" i="8"/>
  <c r="I8" i="8"/>
  <c r="H8" i="8"/>
  <c r="G8" i="8"/>
  <c r="F8" i="8"/>
  <c r="E8" i="8"/>
  <c r="D8" i="8"/>
  <c r="B8" i="8"/>
  <c r="I7" i="8"/>
  <c r="H7" i="8"/>
  <c r="G7" i="8"/>
  <c r="F7" i="8"/>
  <c r="E7" i="8"/>
  <c r="D7" i="8"/>
  <c r="B7" i="8"/>
  <c r="I6" i="8"/>
  <c r="H6" i="8"/>
  <c r="G6" i="8"/>
  <c r="F6" i="8"/>
  <c r="E6" i="8"/>
  <c r="D6" i="8"/>
  <c r="B6" i="8"/>
  <c r="I5" i="8"/>
  <c r="H5" i="8"/>
  <c r="G5" i="8"/>
  <c r="F5" i="8"/>
  <c r="E5" i="8"/>
  <c r="D5" i="8"/>
  <c r="B5" i="8"/>
  <c r="I4" i="8"/>
  <c r="H4" i="8"/>
  <c r="G4" i="8"/>
  <c r="F4" i="8"/>
  <c r="E4" i="8"/>
  <c r="D4" i="8"/>
  <c r="B4" i="8"/>
  <c r="I3" i="8"/>
  <c r="H3" i="8"/>
  <c r="G3" i="8"/>
  <c r="F3" i="8"/>
  <c r="E3" i="8"/>
  <c r="D3" i="8"/>
  <c r="B3" i="8"/>
  <c r="I2" i="8"/>
  <c r="H2" i="8"/>
  <c r="G2" i="8"/>
  <c r="F2" i="8"/>
  <c r="E2" i="8"/>
  <c r="D2" i="8"/>
  <c r="B2" i="8"/>
  <c r="I26" i="7"/>
  <c r="H26" i="7"/>
  <c r="G26" i="7"/>
  <c r="F26" i="7"/>
  <c r="E26" i="7"/>
  <c r="D26" i="7"/>
  <c r="B26" i="7"/>
  <c r="I25" i="7"/>
  <c r="H25" i="7"/>
  <c r="G25" i="7"/>
  <c r="F25" i="7"/>
  <c r="E25" i="7"/>
  <c r="D25" i="7"/>
  <c r="B25" i="7"/>
  <c r="I24" i="7"/>
  <c r="H24" i="7"/>
  <c r="G24" i="7"/>
  <c r="F24" i="7"/>
  <c r="E24" i="7"/>
  <c r="D24" i="7"/>
  <c r="B24" i="7"/>
  <c r="I23" i="7"/>
  <c r="H23" i="7"/>
  <c r="G23" i="7"/>
  <c r="F23" i="7"/>
  <c r="E23" i="7"/>
  <c r="D23" i="7"/>
  <c r="B23" i="7"/>
  <c r="I22" i="7"/>
  <c r="H22" i="7"/>
  <c r="G22" i="7"/>
  <c r="F22" i="7"/>
  <c r="E22" i="7"/>
  <c r="D22" i="7"/>
  <c r="B22" i="7"/>
  <c r="I21" i="7"/>
  <c r="H21" i="7"/>
  <c r="G21" i="7"/>
  <c r="F21" i="7"/>
  <c r="E21" i="7"/>
  <c r="D21" i="7"/>
  <c r="B21" i="7"/>
  <c r="I20" i="7"/>
  <c r="H20" i="7"/>
  <c r="G20" i="7"/>
  <c r="F20" i="7"/>
  <c r="E20" i="7"/>
  <c r="D20" i="7"/>
  <c r="B20" i="7"/>
  <c r="I19" i="7"/>
  <c r="H19" i="7"/>
  <c r="G19" i="7"/>
  <c r="F19" i="7"/>
  <c r="E19" i="7"/>
  <c r="D19" i="7"/>
  <c r="B19" i="7"/>
  <c r="I18" i="7"/>
  <c r="H18" i="7"/>
  <c r="G18" i="7"/>
  <c r="F18" i="7"/>
  <c r="E18" i="7"/>
  <c r="D18" i="7"/>
  <c r="B18" i="7"/>
  <c r="I17" i="7"/>
  <c r="H17" i="7"/>
  <c r="G17" i="7"/>
  <c r="F17" i="7"/>
  <c r="E17" i="7"/>
  <c r="D17" i="7"/>
  <c r="B17" i="7"/>
  <c r="I16" i="7"/>
  <c r="H16" i="7"/>
  <c r="G16" i="7"/>
  <c r="F16" i="7"/>
  <c r="E16" i="7"/>
  <c r="D16" i="7"/>
  <c r="B16" i="7"/>
  <c r="I15" i="7"/>
  <c r="H15" i="7"/>
  <c r="G15" i="7"/>
  <c r="F15" i="7"/>
  <c r="E15" i="7"/>
  <c r="D15" i="7"/>
  <c r="B15" i="7"/>
  <c r="I14" i="7"/>
  <c r="H14" i="7"/>
  <c r="G14" i="7"/>
  <c r="F14" i="7"/>
  <c r="E14" i="7"/>
  <c r="D14" i="7"/>
  <c r="B14" i="7"/>
  <c r="I13" i="7"/>
  <c r="H13" i="7"/>
  <c r="G13" i="7"/>
  <c r="F13" i="7"/>
  <c r="E13" i="7"/>
  <c r="D13" i="7"/>
  <c r="B13" i="7"/>
  <c r="I12" i="7"/>
  <c r="H12" i="7"/>
  <c r="G12" i="7"/>
  <c r="F12" i="7"/>
  <c r="E12" i="7"/>
  <c r="D12" i="7"/>
  <c r="B12" i="7"/>
  <c r="I11" i="7"/>
  <c r="H11" i="7"/>
  <c r="G11" i="7"/>
  <c r="F11" i="7"/>
  <c r="E11" i="7"/>
  <c r="D11" i="7"/>
  <c r="B11" i="7"/>
  <c r="I10" i="7"/>
  <c r="H10" i="7"/>
  <c r="G10" i="7"/>
  <c r="F10" i="7"/>
  <c r="E10" i="7"/>
  <c r="D10" i="7"/>
  <c r="B10" i="7"/>
  <c r="I9" i="7"/>
  <c r="H9" i="7"/>
  <c r="G9" i="7"/>
  <c r="F9" i="7"/>
  <c r="E9" i="7"/>
  <c r="D9" i="7"/>
  <c r="B9" i="7"/>
  <c r="I8" i="7"/>
  <c r="H8" i="7"/>
  <c r="G8" i="7"/>
  <c r="F8" i="7"/>
  <c r="E8" i="7"/>
  <c r="D8" i="7"/>
  <c r="B8" i="7"/>
  <c r="I7" i="7"/>
  <c r="H7" i="7"/>
  <c r="G7" i="7"/>
  <c r="F7" i="7"/>
  <c r="E7" i="7"/>
  <c r="D7" i="7"/>
  <c r="B7" i="7"/>
  <c r="I6" i="7"/>
  <c r="H6" i="7"/>
  <c r="G6" i="7"/>
  <c r="F6" i="7"/>
  <c r="E6" i="7"/>
  <c r="D6" i="7"/>
  <c r="B6" i="7"/>
  <c r="I5" i="7"/>
  <c r="H5" i="7"/>
  <c r="G5" i="7"/>
  <c r="F5" i="7"/>
  <c r="E5" i="7"/>
  <c r="D5" i="7"/>
  <c r="B5" i="7"/>
  <c r="I4" i="7"/>
  <c r="H4" i="7"/>
  <c r="G4" i="7"/>
  <c r="F4" i="7"/>
  <c r="E4" i="7"/>
  <c r="D4" i="7"/>
  <c r="B4" i="7"/>
  <c r="I3" i="7"/>
  <c r="H3" i="7"/>
  <c r="G3" i="7"/>
  <c r="F3" i="7"/>
  <c r="E3" i="7"/>
  <c r="D3" i="7"/>
  <c r="B3" i="7"/>
  <c r="I2" i="7"/>
  <c r="H2" i="7"/>
  <c r="G2" i="7"/>
  <c r="F2" i="7"/>
  <c r="E2" i="7"/>
  <c r="D2" i="7"/>
  <c r="B2" i="7"/>
  <c r="I26" i="6"/>
  <c r="H26" i="6"/>
  <c r="G26" i="6"/>
  <c r="F26" i="6"/>
  <c r="E26" i="6"/>
  <c r="D26" i="6"/>
  <c r="B26" i="6"/>
  <c r="I25" i="6"/>
  <c r="H25" i="6"/>
  <c r="G25" i="6"/>
  <c r="F25" i="6"/>
  <c r="E25" i="6"/>
  <c r="D25" i="6"/>
  <c r="B25" i="6"/>
  <c r="I24" i="6"/>
  <c r="H24" i="6"/>
  <c r="G24" i="6"/>
  <c r="F24" i="6"/>
  <c r="E24" i="6"/>
  <c r="D24" i="6"/>
  <c r="B24" i="6"/>
  <c r="I23" i="6"/>
  <c r="H23" i="6"/>
  <c r="G23" i="6"/>
  <c r="F23" i="6"/>
  <c r="E23" i="6"/>
  <c r="D23" i="6"/>
  <c r="B23" i="6"/>
  <c r="I22" i="6"/>
  <c r="H22" i="6"/>
  <c r="G22" i="6"/>
  <c r="F22" i="6"/>
  <c r="E22" i="6"/>
  <c r="D22" i="6"/>
  <c r="B22" i="6"/>
  <c r="I21" i="6"/>
  <c r="H21" i="6"/>
  <c r="G21" i="6"/>
  <c r="F21" i="6"/>
  <c r="E21" i="6"/>
  <c r="D21" i="6"/>
  <c r="B21" i="6"/>
  <c r="I20" i="6"/>
  <c r="H20" i="6"/>
  <c r="G20" i="6"/>
  <c r="F20" i="6"/>
  <c r="E20" i="6"/>
  <c r="D20" i="6"/>
  <c r="B20" i="6"/>
  <c r="I19" i="6"/>
  <c r="H19" i="6"/>
  <c r="G19" i="6"/>
  <c r="F19" i="6"/>
  <c r="E19" i="6"/>
  <c r="D19" i="6"/>
  <c r="B19" i="6"/>
  <c r="I18" i="6"/>
  <c r="H18" i="6"/>
  <c r="G18" i="6"/>
  <c r="F18" i="6"/>
  <c r="E18" i="6"/>
  <c r="D18" i="6"/>
  <c r="B18" i="6"/>
  <c r="I17" i="6"/>
  <c r="H17" i="6"/>
  <c r="G17" i="6"/>
  <c r="F17" i="6"/>
  <c r="E17" i="6"/>
  <c r="D17" i="6"/>
  <c r="B17" i="6"/>
  <c r="I16" i="6"/>
  <c r="H16" i="6"/>
  <c r="G16" i="6"/>
  <c r="F16" i="6"/>
  <c r="E16" i="6"/>
  <c r="D16" i="6"/>
  <c r="B16" i="6"/>
  <c r="I15" i="6"/>
  <c r="H15" i="6"/>
  <c r="G15" i="6"/>
  <c r="F15" i="6"/>
  <c r="E15" i="6"/>
  <c r="D15" i="6"/>
  <c r="B15" i="6"/>
  <c r="I14" i="6"/>
  <c r="H14" i="6"/>
  <c r="G14" i="6"/>
  <c r="F14" i="6"/>
  <c r="E14" i="6"/>
  <c r="D14" i="6"/>
  <c r="B14" i="6"/>
  <c r="I13" i="6"/>
  <c r="H13" i="6"/>
  <c r="G13" i="6"/>
  <c r="F13" i="6"/>
  <c r="E13" i="6"/>
  <c r="D13" i="6"/>
  <c r="B13" i="6"/>
  <c r="I12" i="6"/>
  <c r="H12" i="6"/>
  <c r="G12" i="6"/>
  <c r="F12" i="6"/>
  <c r="E12" i="6"/>
  <c r="D12" i="6"/>
  <c r="B12" i="6"/>
  <c r="I11" i="6"/>
  <c r="H11" i="6"/>
  <c r="G11" i="6"/>
  <c r="F11" i="6"/>
  <c r="E11" i="6"/>
  <c r="D11" i="6"/>
  <c r="B11" i="6"/>
  <c r="I10" i="6"/>
  <c r="H10" i="6"/>
  <c r="G10" i="6"/>
  <c r="F10" i="6"/>
  <c r="E10" i="6"/>
  <c r="D10" i="6"/>
  <c r="B10" i="6"/>
  <c r="I9" i="6"/>
  <c r="H9" i="6"/>
  <c r="G9" i="6"/>
  <c r="F9" i="6"/>
  <c r="E9" i="6"/>
  <c r="D9" i="6"/>
  <c r="B9" i="6"/>
  <c r="I8" i="6"/>
  <c r="H8" i="6"/>
  <c r="G8" i="6"/>
  <c r="F8" i="6"/>
  <c r="E8" i="6"/>
  <c r="D8" i="6"/>
  <c r="B8" i="6"/>
  <c r="I7" i="6"/>
  <c r="H7" i="6"/>
  <c r="G7" i="6"/>
  <c r="F7" i="6"/>
  <c r="E7" i="6"/>
  <c r="D7" i="6"/>
  <c r="B7" i="6"/>
  <c r="I6" i="6"/>
  <c r="H6" i="6"/>
  <c r="G6" i="6"/>
  <c r="F6" i="6"/>
  <c r="E6" i="6"/>
  <c r="D6" i="6"/>
  <c r="B6" i="6"/>
  <c r="I5" i="6"/>
  <c r="H5" i="6"/>
  <c r="G5" i="6"/>
  <c r="F5" i="6"/>
  <c r="E5" i="6"/>
  <c r="D5" i="6"/>
  <c r="B5" i="6"/>
  <c r="I4" i="6"/>
  <c r="H4" i="6"/>
  <c r="G4" i="6"/>
  <c r="F4" i="6"/>
  <c r="E4" i="6"/>
  <c r="D4" i="6"/>
  <c r="B4" i="6"/>
  <c r="I3" i="6"/>
  <c r="H3" i="6"/>
  <c r="G3" i="6"/>
  <c r="F3" i="6"/>
  <c r="E3" i="6"/>
  <c r="D3" i="6"/>
  <c r="B3" i="6"/>
  <c r="I2" i="6"/>
  <c r="H2" i="6"/>
  <c r="G2" i="6"/>
  <c r="F2" i="6"/>
  <c r="E2" i="6"/>
  <c r="D2" i="6"/>
  <c r="B2" i="6"/>
  <c r="I26" i="5"/>
  <c r="H26" i="5"/>
  <c r="G26" i="5"/>
  <c r="F26" i="5"/>
  <c r="E26" i="5"/>
  <c r="D26" i="5"/>
  <c r="B26" i="5"/>
  <c r="I25" i="5"/>
  <c r="H25" i="5"/>
  <c r="G25" i="5"/>
  <c r="F25" i="5"/>
  <c r="E25" i="5"/>
  <c r="D25" i="5"/>
  <c r="B25" i="5"/>
  <c r="I24" i="5"/>
  <c r="H24" i="5"/>
  <c r="G24" i="5"/>
  <c r="F24" i="5"/>
  <c r="E24" i="5"/>
  <c r="D24" i="5"/>
  <c r="B24" i="5"/>
  <c r="I23" i="5"/>
  <c r="H23" i="5"/>
  <c r="G23" i="5"/>
  <c r="F23" i="5"/>
  <c r="E23" i="5"/>
  <c r="D23" i="5"/>
  <c r="B23" i="5"/>
  <c r="I22" i="5"/>
  <c r="H22" i="5"/>
  <c r="G22" i="5"/>
  <c r="F22" i="5"/>
  <c r="E22" i="5"/>
  <c r="D22" i="5"/>
  <c r="B22" i="5"/>
  <c r="I21" i="5"/>
  <c r="H21" i="5"/>
  <c r="G21" i="5"/>
  <c r="F21" i="5"/>
  <c r="E21" i="5"/>
  <c r="D21" i="5"/>
  <c r="B21" i="5"/>
  <c r="I20" i="5"/>
  <c r="H20" i="5"/>
  <c r="G20" i="5"/>
  <c r="F20" i="5"/>
  <c r="E20" i="5"/>
  <c r="D20" i="5"/>
  <c r="B20" i="5"/>
  <c r="I19" i="5"/>
  <c r="H19" i="5"/>
  <c r="G19" i="5"/>
  <c r="F19" i="5"/>
  <c r="E19" i="5"/>
  <c r="D19" i="5"/>
  <c r="B19" i="5"/>
  <c r="I18" i="5"/>
  <c r="H18" i="5"/>
  <c r="G18" i="5"/>
  <c r="F18" i="5"/>
  <c r="E18" i="5"/>
  <c r="D18" i="5"/>
  <c r="B18" i="5"/>
  <c r="I17" i="5"/>
  <c r="H17" i="5"/>
  <c r="G17" i="5"/>
  <c r="F17" i="5"/>
  <c r="E17" i="5"/>
  <c r="D17" i="5"/>
  <c r="B17" i="5"/>
  <c r="I16" i="5"/>
  <c r="H16" i="5"/>
  <c r="G16" i="5"/>
  <c r="F16" i="5"/>
  <c r="E16" i="5"/>
  <c r="D16" i="5"/>
  <c r="B16" i="5"/>
  <c r="I15" i="5"/>
  <c r="H15" i="5"/>
  <c r="G15" i="5"/>
  <c r="F15" i="5"/>
  <c r="E15" i="5"/>
  <c r="D15" i="5"/>
  <c r="B15" i="5"/>
  <c r="I14" i="5"/>
  <c r="H14" i="5"/>
  <c r="G14" i="5"/>
  <c r="F14" i="5"/>
  <c r="E14" i="5"/>
  <c r="D14" i="5"/>
  <c r="B14" i="5"/>
  <c r="I13" i="5"/>
  <c r="H13" i="5"/>
  <c r="G13" i="5"/>
  <c r="F13" i="5"/>
  <c r="E13" i="5"/>
  <c r="D13" i="5"/>
  <c r="B13" i="5"/>
  <c r="I12" i="5"/>
  <c r="H12" i="5"/>
  <c r="G12" i="5"/>
  <c r="F12" i="5"/>
  <c r="E12" i="5"/>
  <c r="D12" i="5"/>
  <c r="B12" i="5"/>
  <c r="I11" i="5"/>
  <c r="H11" i="5"/>
  <c r="G11" i="5"/>
  <c r="F11" i="5"/>
  <c r="E11" i="5"/>
  <c r="D11" i="5"/>
  <c r="B11" i="5"/>
  <c r="I10" i="5"/>
  <c r="H10" i="5"/>
  <c r="G10" i="5"/>
  <c r="F10" i="5"/>
  <c r="E10" i="5"/>
  <c r="D10" i="5"/>
  <c r="B10" i="5"/>
  <c r="I9" i="5"/>
  <c r="H9" i="5"/>
  <c r="G9" i="5"/>
  <c r="F9" i="5"/>
  <c r="E9" i="5"/>
  <c r="D9" i="5"/>
  <c r="B9" i="5"/>
  <c r="I8" i="5"/>
  <c r="H8" i="5"/>
  <c r="G8" i="5"/>
  <c r="F8" i="5"/>
  <c r="E8" i="5"/>
  <c r="D8" i="5"/>
  <c r="B8" i="5"/>
  <c r="I7" i="5"/>
  <c r="H7" i="5"/>
  <c r="G7" i="5"/>
  <c r="F7" i="5"/>
  <c r="E7" i="5"/>
  <c r="D7" i="5"/>
  <c r="B7" i="5"/>
  <c r="I6" i="5"/>
  <c r="H6" i="5"/>
  <c r="G6" i="5"/>
  <c r="F6" i="5"/>
  <c r="E6" i="5"/>
  <c r="D6" i="5"/>
  <c r="B6" i="5"/>
  <c r="I5" i="5"/>
  <c r="H5" i="5"/>
  <c r="G5" i="5"/>
  <c r="F5" i="5"/>
  <c r="E5" i="5"/>
  <c r="D5" i="5"/>
  <c r="B5" i="5"/>
  <c r="I4" i="5"/>
  <c r="H4" i="5"/>
  <c r="G4" i="5"/>
  <c r="F4" i="5"/>
  <c r="E4" i="5"/>
  <c r="D4" i="5"/>
  <c r="B4" i="5"/>
  <c r="I3" i="5"/>
  <c r="H3" i="5"/>
  <c r="G3" i="5"/>
  <c r="F3" i="5"/>
  <c r="E3" i="5"/>
  <c r="D3" i="5"/>
  <c r="B3" i="5"/>
  <c r="I2" i="5"/>
  <c r="H2" i="5"/>
  <c r="G2" i="5"/>
  <c r="F2" i="5"/>
  <c r="E2" i="5"/>
  <c r="D2" i="5"/>
  <c r="B2" i="5"/>
  <c r="I26" i="1"/>
  <c r="H26" i="1"/>
  <c r="G26" i="1"/>
  <c r="F26" i="1"/>
  <c r="E26" i="1"/>
  <c r="D26" i="1"/>
  <c r="B26" i="1"/>
  <c r="I25" i="1"/>
  <c r="H25" i="1"/>
  <c r="G25" i="1"/>
  <c r="F25" i="1"/>
  <c r="E25" i="1"/>
  <c r="D25" i="1"/>
  <c r="B25" i="1"/>
  <c r="I24" i="1"/>
  <c r="H24" i="1"/>
  <c r="G24" i="1"/>
  <c r="F24" i="1"/>
  <c r="E24" i="1"/>
  <c r="D24" i="1"/>
  <c r="B24" i="1"/>
  <c r="I23" i="1"/>
  <c r="H23" i="1"/>
  <c r="G23" i="1"/>
  <c r="F23" i="1"/>
  <c r="E23" i="1"/>
  <c r="D23" i="1"/>
  <c r="B23" i="1"/>
  <c r="I22" i="1"/>
  <c r="H22" i="1"/>
  <c r="G22" i="1"/>
  <c r="F22" i="1"/>
  <c r="E22" i="1"/>
  <c r="D22" i="1"/>
  <c r="B22" i="1"/>
  <c r="I21" i="1"/>
  <c r="H21" i="1"/>
  <c r="G21" i="1"/>
  <c r="F21" i="1"/>
  <c r="E21" i="1"/>
  <c r="D21" i="1"/>
  <c r="B21" i="1"/>
  <c r="I20" i="1"/>
  <c r="H20" i="1"/>
  <c r="G20" i="1"/>
  <c r="F20" i="1"/>
  <c r="E20" i="1"/>
  <c r="D20" i="1"/>
  <c r="B20" i="1"/>
  <c r="I19" i="1"/>
  <c r="H19" i="1"/>
  <c r="G19" i="1"/>
  <c r="F19" i="1"/>
  <c r="E19" i="1"/>
  <c r="D19" i="1"/>
  <c r="B19" i="1"/>
  <c r="I18" i="1"/>
  <c r="H18" i="1"/>
  <c r="G18" i="1"/>
  <c r="F18" i="1"/>
  <c r="E18" i="1"/>
  <c r="D18" i="1"/>
  <c r="B18" i="1"/>
  <c r="I17" i="1"/>
  <c r="H17" i="1"/>
  <c r="G17" i="1"/>
  <c r="F17" i="1"/>
  <c r="E17" i="1"/>
  <c r="D17" i="1"/>
  <c r="B17" i="1"/>
  <c r="I16" i="1"/>
  <c r="H16" i="1"/>
  <c r="G16" i="1"/>
  <c r="F16" i="1"/>
  <c r="E16" i="1"/>
  <c r="D16" i="1"/>
  <c r="B16" i="1"/>
  <c r="I15" i="1"/>
  <c r="H15" i="1"/>
  <c r="G15" i="1"/>
  <c r="F15" i="1"/>
  <c r="E15" i="1"/>
  <c r="D15" i="1"/>
  <c r="B15" i="1"/>
  <c r="I14" i="1"/>
  <c r="H14" i="1"/>
  <c r="G14" i="1"/>
  <c r="F14" i="1"/>
  <c r="E14" i="1"/>
  <c r="D14" i="1"/>
  <c r="B14" i="1"/>
  <c r="I13" i="1"/>
  <c r="H13" i="1"/>
  <c r="G13" i="1"/>
  <c r="F13" i="1"/>
  <c r="E13" i="1"/>
  <c r="D13" i="1"/>
  <c r="B13" i="1"/>
  <c r="I12" i="1"/>
  <c r="H12" i="1"/>
  <c r="G12" i="1"/>
  <c r="F12" i="1"/>
  <c r="E12" i="1"/>
  <c r="D12" i="1"/>
  <c r="B12" i="1"/>
  <c r="I11" i="1"/>
  <c r="H11" i="1"/>
  <c r="G11" i="1"/>
  <c r="F11" i="1"/>
  <c r="E11" i="1"/>
  <c r="D11" i="1"/>
  <c r="B11" i="1"/>
  <c r="I10" i="1"/>
  <c r="H10" i="1"/>
  <c r="G10" i="1"/>
  <c r="F10" i="1"/>
  <c r="E10" i="1"/>
  <c r="D10" i="1"/>
  <c r="B10" i="1"/>
  <c r="I9" i="1"/>
  <c r="H9" i="1"/>
  <c r="G9" i="1"/>
  <c r="F9" i="1"/>
  <c r="E9" i="1"/>
  <c r="D9" i="1"/>
  <c r="B9" i="1"/>
  <c r="I8" i="1"/>
  <c r="H8" i="1"/>
  <c r="G8" i="1"/>
  <c r="F8" i="1"/>
  <c r="E8" i="1"/>
  <c r="D8" i="1"/>
  <c r="B8" i="1"/>
  <c r="I7" i="1"/>
  <c r="H7" i="1"/>
  <c r="G7" i="1"/>
  <c r="F7" i="1"/>
  <c r="E7" i="1"/>
  <c r="D7" i="1"/>
  <c r="B7" i="1"/>
  <c r="I6" i="1"/>
  <c r="H6" i="1"/>
  <c r="G6" i="1"/>
  <c r="F6" i="1"/>
  <c r="E6" i="1"/>
  <c r="D6" i="1"/>
  <c r="B6" i="1"/>
  <c r="I5" i="1"/>
  <c r="H5" i="1"/>
  <c r="G5" i="1"/>
  <c r="F5" i="1"/>
  <c r="E5" i="1"/>
  <c r="D5" i="1"/>
  <c r="B5" i="1"/>
  <c r="I4" i="1"/>
  <c r="H4" i="1"/>
  <c r="G4" i="1"/>
  <c r="F4" i="1"/>
  <c r="E4" i="1"/>
  <c r="D4" i="1"/>
  <c r="B4" i="1"/>
  <c r="I3" i="1"/>
  <c r="H3" i="1"/>
  <c r="G3" i="1"/>
  <c r="F3" i="1"/>
  <c r="E3" i="1"/>
  <c r="D3" i="1"/>
  <c r="B3" i="1"/>
  <c r="I2" i="1"/>
  <c r="H2" i="1"/>
  <c r="G2" i="1"/>
  <c r="F2" i="1"/>
  <c r="E2" i="1"/>
  <c r="D2" i="1"/>
  <c r="B2" i="1"/>
  <c r="C23" i="25" l="1"/>
  <c r="C26" i="28"/>
  <c r="C24" i="20"/>
  <c r="C23" i="11"/>
  <c r="C23" i="6"/>
  <c r="C26" i="23"/>
  <c r="C25" i="23"/>
  <c r="C24" i="23"/>
  <c r="C23" i="23"/>
  <c r="C26" i="24"/>
  <c r="C25" i="24"/>
  <c r="C24" i="24"/>
  <c r="C23" i="24"/>
  <c r="C26" i="25"/>
  <c r="C25" i="25"/>
  <c r="C24" i="25"/>
  <c r="C26" i="26"/>
  <c r="C25" i="26"/>
  <c r="C24" i="26"/>
  <c r="C23" i="26"/>
  <c r="C26" i="27"/>
  <c r="C24" i="27"/>
  <c r="C23" i="27"/>
  <c r="C25" i="28"/>
  <c r="C24" i="28"/>
  <c r="C23" i="28"/>
  <c r="C26" i="21"/>
  <c r="C25" i="21"/>
  <c r="C24" i="21"/>
  <c r="C26" i="20"/>
  <c r="C25" i="20"/>
  <c r="C23" i="20"/>
  <c r="C26" i="19"/>
  <c r="C25" i="19"/>
  <c r="C24" i="19"/>
  <c r="C23" i="19"/>
  <c r="C25" i="18"/>
  <c r="C24" i="18"/>
  <c r="C23" i="18"/>
  <c r="C25" i="17"/>
  <c r="C24" i="17"/>
  <c r="C23" i="17"/>
  <c r="C26" i="16"/>
  <c r="C25" i="16"/>
  <c r="C24" i="16"/>
  <c r="C23" i="16"/>
  <c r="C26" i="15"/>
  <c r="C25" i="15"/>
  <c r="C24" i="15"/>
  <c r="C23" i="15"/>
  <c r="C26" i="14"/>
  <c r="C25" i="14"/>
  <c r="C24" i="14"/>
  <c r="C23" i="14"/>
  <c r="C25" i="13"/>
  <c r="C24" i="13"/>
  <c r="C23" i="13"/>
  <c r="C25" i="12"/>
  <c r="C24" i="12"/>
  <c r="C23" i="12"/>
  <c r="C26" i="11"/>
  <c r="C25" i="11"/>
  <c r="C24" i="11"/>
  <c r="C26" i="10"/>
  <c r="C25" i="10"/>
  <c r="C24" i="10"/>
  <c r="C23" i="10"/>
  <c r="C26" i="9"/>
  <c r="C24" i="9"/>
  <c r="C23" i="9"/>
  <c r="C26" i="8"/>
  <c r="C25" i="8"/>
  <c r="C24" i="8"/>
  <c r="C23" i="8"/>
  <c r="C25" i="7"/>
  <c r="C26" i="7"/>
  <c r="C24" i="7"/>
  <c r="C26" i="6"/>
  <c r="C25" i="6"/>
  <c r="C24" i="6"/>
  <c r="C26" i="5"/>
  <c r="C25" i="5"/>
  <c r="C24" i="5"/>
  <c r="C23" i="5"/>
  <c r="C22" i="1"/>
  <c r="C23" i="1"/>
  <c r="C25" i="1"/>
  <c r="C26" i="1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 i="23"/>
  <c r="C17" i="23"/>
  <c r="C16" i="23"/>
  <c r="C12" i="23"/>
  <c r="C9" i="23"/>
  <c r="C7" i="23"/>
  <c r="C4" i="23"/>
  <c r="C21" i="23"/>
  <c r="C20" i="23"/>
  <c r="C15" i="23"/>
  <c r="C13" i="23"/>
  <c r="C8" i="23"/>
  <c r="C5" i="23"/>
  <c r="C2" i="23"/>
  <c r="C22" i="24"/>
  <c r="C20" i="24"/>
  <c r="C19" i="24"/>
  <c r="C11" i="24"/>
  <c r="C8" i="24"/>
  <c r="C2" i="24"/>
  <c r="C21" i="24"/>
  <c r="C15" i="24"/>
  <c r="C13" i="24"/>
  <c r="C5" i="24"/>
  <c r="C4" i="24"/>
  <c r="C22" i="25"/>
  <c r="C2" i="25"/>
  <c r="C20" i="26"/>
  <c r="C9" i="26"/>
  <c r="C4" i="26"/>
  <c r="C2" i="26"/>
  <c r="C19" i="27"/>
  <c r="C17" i="27"/>
  <c r="C16" i="27"/>
  <c r="C13" i="27"/>
  <c r="C12" i="27"/>
  <c r="C9" i="27"/>
  <c r="C7" i="27"/>
  <c r="C5" i="27"/>
  <c r="C3" i="27"/>
  <c r="C2" i="27"/>
  <c r="C22" i="28"/>
  <c r="C20" i="28"/>
  <c r="C18" i="28"/>
  <c r="C16" i="28"/>
  <c r="C11" i="28"/>
  <c r="C10" i="28"/>
  <c r="C7" i="28"/>
  <c r="C6" i="28"/>
  <c r="C4" i="28"/>
  <c r="C14" i="28"/>
  <c r="C2" i="28"/>
  <c r="C20" i="21"/>
  <c r="C13" i="21"/>
  <c r="C2" i="21"/>
  <c r="C22" i="20"/>
  <c r="C21" i="20"/>
  <c r="C16" i="20"/>
  <c r="C13" i="20"/>
  <c r="C2" i="20"/>
  <c r="C15" i="20"/>
  <c r="C9" i="19"/>
  <c r="C2" i="19"/>
  <c r="C21" i="19"/>
  <c r="C20" i="19"/>
  <c r="C19" i="19"/>
  <c r="C17" i="19"/>
  <c r="C16" i="19"/>
  <c r="C15" i="19"/>
  <c r="C13" i="19"/>
  <c r="C12" i="19"/>
  <c r="C11" i="19"/>
  <c r="C8" i="19"/>
  <c r="C7" i="19"/>
  <c r="C5" i="19"/>
  <c r="C22" i="18"/>
  <c r="C20" i="18"/>
  <c r="C2" i="18"/>
  <c r="C9" i="18"/>
  <c r="C22" i="17"/>
  <c r="C2" i="17"/>
  <c r="C17" i="16"/>
  <c r="C12" i="16"/>
  <c r="C2" i="16"/>
  <c r="C7" i="16"/>
  <c r="C12" i="15"/>
  <c r="C8" i="15"/>
  <c r="C2" i="15"/>
  <c r="C19" i="15"/>
  <c r="C22" i="14"/>
  <c r="C2" i="14"/>
  <c r="C22" i="13"/>
  <c r="C2" i="13"/>
  <c r="C22" i="12"/>
  <c r="C16" i="12"/>
  <c r="C2" i="12"/>
  <c r="C7" i="12"/>
  <c r="C22" i="11"/>
  <c r="C20" i="11"/>
  <c r="C19" i="11"/>
  <c r="C15" i="11"/>
  <c r="C8" i="11"/>
  <c r="C2" i="11"/>
  <c r="C9" i="11"/>
  <c r="C22" i="10"/>
  <c r="C8" i="10"/>
  <c r="C2" i="10"/>
  <c r="C13" i="9"/>
  <c r="C2" i="9"/>
  <c r="C3" i="9"/>
  <c r="C22" i="8"/>
  <c r="C20" i="8"/>
  <c r="C19" i="8"/>
  <c r="C15" i="8"/>
  <c r="C5" i="8"/>
  <c r="C2" i="8"/>
  <c r="C11" i="8"/>
  <c r="C20" i="7"/>
  <c r="C16" i="7"/>
  <c r="C13" i="7"/>
  <c r="C5" i="7"/>
  <c r="C3" i="7"/>
  <c r="C2" i="7"/>
  <c r="C21" i="7"/>
  <c r="C9" i="7"/>
  <c r="C22" i="6"/>
  <c r="C17" i="6"/>
  <c r="C2" i="6"/>
  <c r="C15" i="5"/>
  <c r="C5" i="5"/>
  <c r="C2" i="5"/>
  <c r="C16" i="5"/>
  <c r="C7" i="5"/>
  <c r="C2" i="1"/>
  <c r="C5" i="6" l="1"/>
  <c r="C11" i="6"/>
  <c r="C15" i="6"/>
  <c r="C19" i="6"/>
  <c r="C9" i="10"/>
  <c r="C3" i="8"/>
  <c r="C8" i="8"/>
  <c r="C9" i="8"/>
  <c r="C12" i="8"/>
  <c r="C13" i="8"/>
  <c r="C16" i="8"/>
  <c r="C4" i="9"/>
  <c r="C9" i="9"/>
  <c r="C15" i="9"/>
  <c r="C19" i="9"/>
  <c r="C20" i="9"/>
  <c r="C4" i="11"/>
  <c r="C6" i="11"/>
  <c r="C7" i="11"/>
  <c r="C11" i="11"/>
  <c r="C13" i="11"/>
  <c r="C16" i="11"/>
  <c r="C21" i="12"/>
  <c r="C21" i="13"/>
  <c r="C4" i="13"/>
  <c r="C7" i="13"/>
  <c r="C8" i="13"/>
  <c r="C12" i="13"/>
  <c r="C15" i="13"/>
  <c r="C16" i="13"/>
  <c r="C20" i="20"/>
  <c r="C11" i="20"/>
  <c r="C19" i="20"/>
  <c r="C16" i="21"/>
  <c r="C15" i="27"/>
  <c r="C3" i="23"/>
  <c r="C9" i="14"/>
  <c r="C16" i="14"/>
  <c r="C9" i="16"/>
  <c r="C13" i="16"/>
  <c r="C15" i="16"/>
  <c r="C8" i="17"/>
  <c r="C13" i="17"/>
  <c r="C15" i="17"/>
  <c r="C19" i="17"/>
  <c r="C20" i="17"/>
  <c r="C8" i="28"/>
  <c r="C20" i="27"/>
  <c r="C15" i="26"/>
  <c r="C17" i="25"/>
  <c r="C3" i="24"/>
  <c r="C9" i="24"/>
  <c r="C12" i="24"/>
  <c r="C16" i="24"/>
  <c r="C17" i="24"/>
  <c r="C11" i="23"/>
  <c r="C3" i="6"/>
  <c r="C7" i="6"/>
  <c r="C9" i="6"/>
  <c r="C19" i="28"/>
  <c r="C12" i="5"/>
  <c r="C17" i="5"/>
  <c r="C20" i="5"/>
  <c r="C20" i="6"/>
  <c r="C21" i="8"/>
  <c r="C8" i="9"/>
  <c r="C5" i="9"/>
  <c r="C7" i="9"/>
  <c r="C11" i="9"/>
  <c r="C16" i="9"/>
  <c r="C17" i="9"/>
  <c r="C21" i="9"/>
  <c r="C22" i="9"/>
  <c r="C4" i="10"/>
  <c r="C7" i="10"/>
  <c r="C11" i="10"/>
  <c r="C20" i="10"/>
  <c r="C3" i="11"/>
  <c r="C21" i="11"/>
  <c r="C7" i="15"/>
  <c r="C9" i="15"/>
  <c r="C13" i="15"/>
  <c r="C16" i="15"/>
  <c r="C17" i="15"/>
  <c r="C20" i="15"/>
  <c r="C21" i="15"/>
  <c r="C22" i="15"/>
  <c r="C3" i="28"/>
  <c r="C3" i="26"/>
  <c r="C5" i="26"/>
  <c r="C7" i="26"/>
  <c r="C12" i="26"/>
  <c r="C13" i="26"/>
  <c r="C16" i="26"/>
  <c r="C18" i="26"/>
  <c r="C19" i="26"/>
  <c r="C21" i="26"/>
  <c r="C22" i="26"/>
  <c r="C21" i="5"/>
  <c r="C22" i="5"/>
  <c r="C4" i="8"/>
  <c r="C5" i="10"/>
  <c r="C13" i="10"/>
  <c r="C17" i="10"/>
  <c r="C21" i="10"/>
  <c r="C20" i="13"/>
  <c r="C4" i="15"/>
  <c r="C16" i="16"/>
  <c r="C19" i="16"/>
  <c r="C20" i="16"/>
  <c r="C15" i="18"/>
  <c r="C3" i="20"/>
  <c r="C5" i="20"/>
  <c r="C7" i="20"/>
  <c r="C9" i="20"/>
  <c r="C12" i="20"/>
  <c r="C3" i="21"/>
  <c r="C5" i="21"/>
  <c r="C7" i="21"/>
  <c r="C9" i="21"/>
  <c r="C12" i="21"/>
  <c r="C15" i="21"/>
  <c r="C17" i="21"/>
  <c r="C19" i="21"/>
  <c r="C21" i="21"/>
  <c r="C22" i="21"/>
  <c r="C4" i="27"/>
  <c r="C7" i="25"/>
  <c r="C12" i="25"/>
  <c r="C20" i="25"/>
  <c r="C4" i="5"/>
  <c r="C11" i="5"/>
  <c r="C17" i="11"/>
  <c r="C11" i="12"/>
  <c r="C12" i="12"/>
  <c r="C15" i="12"/>
  <c r="C17" i="12"/>
  <c r="C19" i="12"/>
  <c r="C20" i="12"/>
  <c r="C5" i="16"/>
  <c r="C11" i="16"/>
  <c r="C21" i="16"/>
  <c r="C22" i="16"/>
  <c r="C21" i="27"/>
  <c r="C22" i="27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 i="5"/>
  <c r="C3" i="12"/>
  <c r="C5" i="12"/>
  <c r="C9" i="12"/>
  <c r="C13" i="12"/>
  <c r="C17" i="13"/>
  <c r="C5" i="14"/>
  <c r="C8" i="14"/>
  <c r="C11" i="14"/>
  <c r="C13" i="14"/>
  <c r="C15" i="14"/>
  <c r="C19" i="14"/>
  <c r="C20" i="14"/>
  <c r="C15" i="15"/>
  <c r="C4" i="25"/>
  <c r="C9" i="25"/>
  <c r="C11" i="25"/>
  <c r="C13" i="25"/>
  <c r="C15" i="25"/>
  <c r="C19" i="25"/>
  <c r="C21" i="25"/>
  <c r="C16" i="25"/>
  <c r="C4" i="16"/>
  <c r="C3" i="15"/>
  <c r="C21" i="14"/>
  <c r="C4" i="14"/>
  <c r="C4" i="12"/>
  <c r="C12" i="10"/>
  <c r="C3" i="10"/>
  <c r="C15" i="10"/>
  <c r="C16" i="10"/>
  <c r="C7" i="8"/>
  <c r="C6" i="1"/>
  <c r="C19" i="1"/>
  <c r="C15" i="1"/>
  <c r="C11" i="1"/>
  <c r="C8" i="5"/>
  <c r="C3" i="13"/>
  <c r="C5" i="13"/>
  <c r="C11" i="13"/>
  <c r="C13" i="13"/>
  <c r="C19" i="13"/>
  <c r="C3" i="14"/>
  <c r="C7" i="14"/>
  <c r="C12" i="14"/>
  <c r="C3" i="17"/>
  <c r="C5" i="17"/>
  <c r="C7" i="17"/>
  <c r="C9" i="17"/>
  <c r="C11" i="17"/>
  <c r="C16" i="17"/>
  <c r="C3" i="19"/>
  <c r="C4" i="21"/>
  <c r="C8" i="21"/>
  <c r="C4" i="6"/>
  <c r="C8" i="12"/>
  <c r="C17" i="20"/>
  <c r="C5" i="25"/>
  <c r="C13" i="1"/>
  <c r="C11" i="15"/>
  <c r="C21" i="1"/>
  <c r="C14" i="1"/>
  <c r="C4" i="7"/>
  <c r="C7" i="7"/>
  <c r="C17" i="7"/>
  <c r="C18" i="1"/>
  <c r="C10" i="1"/>
  <c r="C5" i="1"/>
  <c r="C8" i="18"/>
  <c r="C8" i="20"/>
  <c r="C8" i="25"/>
  <c r="C17" i="1"/>
  <c r="C9" i="1"/>
  <c r="C8" i="6"/>
  <c r="C16" i="6"/>
  <c r="C8" i="7"/>
  <c r="C12" i="7"/>
  <c r="C17" i="8"/>
  <c r="C4" i="17"/>
  <c r="C4" i="19"/>
  <c r="C3" i="25"/>
  <c r="C4" i="20"/>
  <c r="C11" i="21"/>
  <c r="C8" i="1"/>
  <c r="C4" i="1"/>
  <c r="C3" i="5"/>
  <c r="C13" i="5"/>
  <c r="C13" i="6"/>
  <c r="C21" i="6"/>
  <c r="C11" i="7"/>
  <c r="C15" i="7"/>
  <c r="C19" i="7"/>
  <c r="C5" i="15"/>
  <c r="C3" i="18"/>
  <c r="C5" i="18"/>
  <c r="C11" i="18"/>
  <c r="C13" i="18"/>
  <c r="C16" i="18"/>
  <c r="C17" i="18"/>
  <c r="C19" i="18"/>
  <c r="C21" i="18"/>
  <c r="C7" i="24"/>
  <c r="C17" i="14"/>
  <c r="C17" i="17"/>
  <c r="C21" i="17"/>
  <c r="C6" i="23"/>
  <c r="C10" i="23"/>
  <c r="C14" i="23"/>
  <c r="C18" i="23"/>
  <c r="C6" i="24"/>
  <c r="C10" i="24"/>
  <c r="C14" i="24"/>
  <c r="C18" i="24"/>
  <c r="C6" i="25"/>
  <c r="C10" i="25"/>
  <c r="C14" i="25"/>
  <c r="C18" i="25"/>
  <c r="C6" i="26"/>
  <c r="C10" i="26"/>
  <c r="C14" i="26"/>
  <c r="C17" i="26"/>
  <c r="C6" i="27"/>
  <c r="C10" i="27"/>
  <c r="C14" i="27"/>
  <c r="C18" i="27"/>
  <c r="C5" i="28"/>
  <c r="C9" i="28"/>
  <c r="C13" i="28"/>
  <c r="C17" i="28"/>
  <c r="C21" i="28"/>
  <c r="C6" i="21"/>
  <c r="C10" i="21"/>
  <c r="C14" i="21"/>
  <c r="C18" i="21"/>
  <c r="C6" i="20"/>
  <c r="C10" i="20"/>
  <c r="C14" i="20"/>
  <c r="C18" i="20"/>
  <c r="C6" i="19"/>
  <c r="C10" i="19"/>
  <c r="C14" i="19"/>
  <c r="C18" i="19"/>
  <c r="C7" i="18"/>
  <c r="C12" i="18"/>
  <c r="C6" i="18"/>
  <c r="C10" i="18"/>
  <c r="C14" i="18"/>
  <c r="C18" i="18"/>
  <c r="C12" i="17"/>
  <c r="C6" i="17"/>
  <c r="C10" i="17"/>
  <c r="C14" i="17"/>
  <c r="C18" i="17"/>
  <c r="C3" i="16"/>
  <c r="C6" i="16"/>
  <c r="C10" i="16"/>
  <c r="C14" i="16"/>
  <c r="C18" i="16"/>
  <c r="C6" i="15"/>
  <c r="C10" i="15"/>
  <c r="C14" i="15"/>
  <c r="C18" i="15"/>
  <c r="C6" i="14"/>
  <c r="C10" i="14"/>
  <c r="C14" i="14"/>
  <c r="C18" i="14"/>
  <c r="C6" i="13"/>
  <c r="C10" i="13"/>
  <c r="C14" i="13"/>
  <c r="C18" i="13"/>
  <c r="C6" i="12"/>
  <c r="C10" i="12"/>
  <c r="C14" i="12"/>
  <c r="C18" i="12"/>
  <c r="C10" i="11"/>
  <c r="C14" i="11"/>
  <c r="C18" i="11"/>
  <c r="C5" i="11"/>
  <c r="C6" i="10"/>
  <c r="C10" i="10"/>
  <c r="C14" i="10"/>
  <c r="C18" i="10"/>
  <c r="C6" i="9"/>
  <c r="C10" i="9"/>
  <c r="C14" i="9"/>
  <c r="C18" i="9"/>
  <c r="C6" i="8"/>
  <c r="C10" i="8"/>
  <c r="C14" i="8"/>
  <c r="C18" i="8"/>
  <c r="C6" i="7"/>
  <c r="C10" i="7"/>
  <c r="C14" i="7"/>
  <c r="C18" i="7"/>
  <c r="C6" i="6"/>
  <c r="C10" i="6"/>
  <c r="C14" i="6"/>
  <c r="C18" i="6"/>
  <c r="C6" i="5"/>
  <c r="C10" i="5"/>
  <c r="C14" i="5"/>
  <c r="C18" i="5"/>
  <c r="C3" i="1"/>
  <c r="C16" i="1"/>
  <c r="C12" i="1"/>
  <c r="C7" i="1"/>
  <c r="C20" i="1"/>
</calcChain>
</file>

<file path=xl/sharedStrings.xml><?xml version="1.0" encoding="utf-8"?>
<sst xmlns="http://schemas.openxmlformats.org/spreadsheetml/2006/main" count="917" uniqueCount="498">
  <si>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</si>
  <si>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</si>
  <si>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</si>
  <si>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</si>
  <si>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</si>
  <si>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</si>
  <si>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</si>
  <si>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</si>
  <si>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ShaHeshang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</si>
  <si>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</si>
  <si>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</si>
  <si>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</si>
  <si>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</si>
  <si>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</si>
  <si>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</si>
  <si>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</si>
  <si>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</si>
  <si>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</si>
  <si>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</si>
  <si>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</si>
  <si>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</si>
  <si>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</si>
  <si>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</si>
  <si>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</si>
  <si>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</si>
  <si>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</si>
  <si>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</si>
  <si>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</si>
  <si>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</si>
  <si>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</si>
  <si>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</si>
  <si>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PutongAgile</t>
    <phoneticPr fontId="1" type="noConversion"/>
  </si>
  <si>
    <t>JingyingAttack</t>
    <phoneticPr fontId="1" type="noConversion"/>
  </si>
  <si>
    <t>JingyingAttack</t>
    <phoneticPr fontId="1" type="noConversion"/>
  </si>
  <si>
    <t>BossAttack</t>
    <phoneticPr fontId="1" type="noConversion"/>
  </si>
  <si>
    <t>BossRecover</t>
    <phoneticPr fontId="1" type="noConversion"/>
  </si>
  <si>
    <t>JingyingAgile</t>
    <phoneticPr fontId="1" type="noConversion"/>
  </si>
  <si>
    <t>BossAgile</t>
    <phoneticPr fontId="1" type="noConversion"/>
  </si>
  <si>
    <t>BossDefense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</si>
  <si>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</si>
  <si>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</si>
  <si>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</si>
  <si>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</si>
  <si>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</si>
  <si>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</si>
  <si>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</si>
  <si>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</si>
  <si>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</si>
  <si>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</si>
  <si>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</si>
  <si>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</si>
  <si>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</si>
  <si>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</si>
  <si>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</si>
  <si>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FightPlayerNum2</t>
  </si>
  <si>
    <t>FightPlayerNum1</t>
    <phoneticPr fontId="1" type="noConversion"/>
  </si>
  <si>
    <t>guide</t>
    <phoneticPr fontId="1" type="noConversion"/>
  </si>
  <si>
    <t>guide</t>
    <phoneticPr fontId="1" type="noConversion"/>
  </si>
  <si>
    <t>FightPlayerNum3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</si>
  <si>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</si>
  <si>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</si>
  <si>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</si>
  <si>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</si>
  <si>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</si>
  <si>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</si>
  <si>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</si>
  <si>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</si>
  <si>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</si>
  <si>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</si>
  <si>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</si>
  <si>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</si>
  <si>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</si>
  <si>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</si>
  <si>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</si>
  <si>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</si>
  <si>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</si>
  <si>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</si>
  <si>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</si>
  <si>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</si>
  <si>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</si>
  <si>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</si>
  <si>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</si>
  <si>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</si>
  <si>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</si>
  <si>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</si>
  <si>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</si>
  <si>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</si>
  <si>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</si>
  <si>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</si>
  <si>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</si>
  <si>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</si>
  <si>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</si>
  <si>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</si>
  <si>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</si>
  <si>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</si>
  <si>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</si>
  <si>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</si>
  <si>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</si>
  <si>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</si>
  <si>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</si>
  <si>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</si>
  <si>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</si>
  <si>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</si>
  <si>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</si>
  <si>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</si>
  <si>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</si>
  <si>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</si>
  <si>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</si>
  <si>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</si>
  <si>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</si>
  <si>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</si>
  <si>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</si>
  <si>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</si>
  <si>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Desc</t>
    <phoneticPr fontId="1" type="noConversion"/>
  </si>
  <si>
    <t>Name</t>
    <phoneticPr fontId="1" type="noConversion"/>
  </si>
  <si>
    <t>JuLingshen</t>
    <phoneticPr fontId="1" type="noConversion"/>
  </si>
  <si>
    <t>PutongAttack</t>
    <phoneticPr fontId="1" type="noConversion"/>
  </si>
  <si>
    <t>Liehu</t>
    <phoneticPr fontId="1" type="noConversion"/>
  </si>
  <si>
    <t>BossDefense</t>
    <phoneticPr fontId="1" type="noConversion"/>
  </si>
  <si>
    <t>DuoLuozha</t>
    <phoneticPr fontId="1" type="noConversion"/>
  </si>
  <si>
    <t>PiLiuli</t>
    <phoneticPr fontId="1" type="noConversion"/>
  </si>
  <si>
    <t>LiuBocha</t>
    <phoneticPr fontId="1" type="noConversion"/>
  </si>
  <si>
    <t>PiShamen</t>
    <phoneticPr fontId="1" type="noConversion"/>
  </si>
  <si>
    <t>LiJing</t>
    <phoneticPr fontId="1" type="noConversion"/>
  </si>
  <si>
    <t>JingZha</t>
    <phoneticPr fontId="1" type="noConversion"/>
  </si>
  <si>
    <t>MuZha</t>
    <phoneticPr fontId="1" type="noConversion"/>
  </si>
  <si>
    <t>NeZha</t>
    <phoneticPr fontId="1" type="noConversion"/>
  </si>
  <si>
    <t>Erlangshen</t>
    <phoneticPr fontId="1" type="noConversion"/>
  </si>
  <si>
    <t>Xiaotianquan</t>
    <phoneticPr fontId="1" type="noConversion"/>
  </si>
  <si>
    <t>Yudi</t>
    <phoneticPr fontId="1" type="noConversion"/>
  </si>
  <si>
    <t>Wangmu</t>
    <phoneticPr fontId="1" type="noConversion"/>
  </si>
  <si>
    <t>TaishangLaojun</t>
    <phoneticPr fontId="1" type="noConversion"/>
  </si>
  <si>
    <t>LingbaoFashi</t>
    <phoneticPr fontId="1" type="noConversion"/>
  </si>
  <si>
    <t>Rulai</t>
    <phoneticPr fontId="1" type="noConversion"/>
  </si>
  <si>
    <t>BianjingRen</t>
    <phoneticPr fontId="1" type="noConversion"/>
  </si>
  <si>
    <t>BianjingRen_1</t>
    <phoneticPr fontId="1" type="noConversion"/>
  </si>
  <si>
    <t>Chanshi</t>
    <phoneticPr fontId="1" type="noConversion"/>
  </si>
  <si>
    <t>JingyingAgile</t>
    <phoneticPr fontId="1" type="noConversion"/>
  </si>
  <si>
    <t>Chanshi_1</t>
    <phoneticPr fontId="1" type="noConversion"/>
  </si>
  <si>
    <t>Fangzhang</t>
    <phoneticPr fontId="1" type="noConversion"/>
  </si>
  <si>
    <t>Fangzhang_2</t>
    <phoneticPr fontId="1" type="noConversion"/>
  </si>
  <si>
    <t>ShilianGuan</t>
    <phoneticPr fontId="1" type="noConversion"/>
  </si>
  <si>
    <t>Xiaotou</t>
    <phoneticPr fontId="1" type="noConversion"/>
  </si>
  <si>
    <t>ShilianGuan_2</t>
    <phoneticPr fontId="1" type="noConversion"/>
  </si>
  <si>
    <t>GuanyinHuashen1_1</t>
    <phoneticPr fontId="1" type="noConversion"/>
  </si>
  <si>
    <t>BossAgile</t>
    <phoneticPr fontId="1" type="noConversion"/>
  </si>
  <si>
    <t>Chailang_3</t>
    <phoneticPr fontId="1" type="noConversion"/>
  </si>
  <si>
    <t>Pusa1</t>
    <phoneticPr fontId="1" type="noConversion"/>
  </si>
  <si>
    <t>Pusa1_3</t>
    <phoneticPr fontId="1" type="noConversion"/>
  </si>
  <si>
    <t>LanTujing_4</t>
    <phoneticPr fontId="1" type="noConversion"/>
  </si>
  <si>
    <t>YuTujing_3</t>
    <phoneticPr fontId="1" type="noConversion"/>
  </si>
  <si>
    <t>Sunwukong</t>
    <phoneticPr fontId="1" type="noConversion"/>
  </si>
  <si>
    <t>Housun</t>
    <phoneticPr fontId="1" type="noConversion"/>
  </si>
  <si>
    <t>六意</t>
    <phoneticPr fontId="1" type="noConversion"/>
  </si>
  <si>
    <t>Liuyi</t>
    <phoneticPr fontId="1" type="noConversion"/>
  </si>
  <si>
    <t>GuanyinHuashen1_3</t>
    <phoneticPr fontId="1" type="noConversion"/>
  </si>
  <si>
    <t>GuanyinHuashen1</t>
    <phoneticPr fontId="1" type="noConversion"/>
  </si>
  <si>
    <t>GuanyinHuashen2</t>
    <phoneticPr fontId="1" type="noConversion"/>
  </si>
  <si>
    <t>Tujing</t>
    <phoneticPr fontId="1" type="noConversion"/>
  </si>
  <si>
    <t>LanTujing</t>
    <phoneticPr fontId="1" type="noConversion"/>
  </si>
  <si>
    <t>XiaoQingshe</t>
    <phoneticPr fontId="1" type="noConversion"/>
  </si>
  <si>
    <t>YuTujing</t>
    <phoneticPr fontId="1" type="noConversion"/>
  </si>
  <si>
    <t>Qingshe</t>
    <phoneticPr fontId="1" type="noConversion"/>
  </si>
  <si>
    <t>Guichengxiang</t>
    <phoneticPr fontId="1" type="noConversion"/>
  </si>
  <si>
    <t>XiaoBailong</t>
    <phoneticPr fontId="1" type="noConversion"/>
  </si>
  <si>
    <t>白龙</t>
    <phoneticPr fontId="1" type="noConversion"/>
  </si>
  <si>
    <t>Bailong</t>
    <phoneticPr fontId="1" type="noConversion"/>
  </si>
  <si>
    <t>PutongAttack</t>
    <phoneticPr fontId="1" type="noConversion"/>
  </si>
  <si>
    <t>Baishe</t>
    <phoneticPr fontId="1" type="noConversion"/>
  </si>
  <si>
    <t>Heixiong</t>
    <phoneticPr fontId="1" type="noConversion"/>
  </si>
  <si>
    <t>JuxingHeixiong</t>
    <phoneticPr fontId="1" type="noConversion"/>
  </si>
  <si>
    <t>Lingxuzi</t>
    <phoneticPr fontId="1" type="noConversion"/>
  </si>
  <si>
    <t>HeixiongShiwei</t>
    <phoneticPr fontId="1" type="noConversion"/>
  </si>
  <si>
    <t>Heixiongjing</t>
    <phoneticPr fontId="1" type="noConversion"/>
  </si>
  <si>
    <t>Sunwukong_5</t>
    <phoneticPr fontId="1" type="noConversion"/>
  </si>
  <si>
    <t>Liuyi_6</t>
    <phoneticPr fontId="1" type="noConversion"/>
  </si>
  <si>
    <t>Chailang</t>
    <phoneticPr fontId="1" type="noConversion"/>
  </si>
  <si>
    <t>ZhuGanglie</t>
    <phoneticPr fontId="1" type="noConversion"/>
  </si>
  <si>
    <t>TianpengYuanshuai</t>
    <phoneticPr fontId="1" type="noConversion"/>
  </si>
  <si>
    <t>WuchaoChanshi</t>
    <phoneticPr fontId="1" type="noConversion"/>
  </si>
  <si>
    <t>BossAttack</t>
    <phoneticPr fontId="1" type="noConversion"/>
  </si>
  <si>
    <t>BossAgile</t>
    <phoneticPr fontId="1" type="noConversion"/>
  </si>
  <si>
    <t>Huguai</t>
    <phoneticPr fontId="1" type="noConversion"/>
  </si>
  <si>
    <t>Heihuguai</t>
    <phoneticPr fontId="1" type="noConversion"/>
  </si>
  <si>
    <t>Huxianfeng</t>
    <phoneticPr fontId="1" type="noConversion"/>
  </si>
  <si>
    <t>HuangfengShouwei</t>
    <phoneticPr fontId="1" type="noConversion"/>
  </si>
  <si>
    <t>HuangfengJiangling</t>
    <phoneticPr fontId="1" type="noConversion"/>
  </si>
  <si>
    <t>HuangfengGuai</t>
    <phoneticPr fontId="1" type="noConversion"/>
  </si>
  <si>
    <t>HongyuGuai</t>
    <phoneticPr fontId="1" type="noConversion"/>
  </si>
  <si>
    <t>HuangyuGuai</t>
    <phoneticPr fontId="1" type="noConversion"/>
  </si>
  <si>
    <t>Shaguai</t>
    <phoneticPr fontId="1" type="noConversion"/>
  </si>
  <si>
    <t>HongshaGuai</t>
    <phoneticPr fontId="1" type="noConversion"/>
  </si>
  <si>
    <t>ShaHeshang</t>
    <phoneticPr fontId="1" type="noConversion"/>
  </si>
  <si>
    <t>NA</t>
    <phoneticPr fontId="1" type="noConversion"/>
  </si>
  <si>
    <t>guide</t>
    <phoneticPr fontId="1" type="noConversion"/>
  </si>
  <si>
    <t>Rulai_60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</si>
  <si>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</si>
  <si>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</si>
  <si>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</si>
  <si>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</si>
  <si>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</si>
  <si>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</si>
  <si>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</si>
  <si>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</si>
  <si>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</si>
  <si>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</si>
  <si>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PutongRecover</t>
    <phoneticPr fontId="1" type="noConversion"/>
  </si>
  <si>
    <t>PutongAgile</t>
    <phoneticPr fontId="1" type="noConversion"/>
  </si>
  <si>
    <t>PutongDefense</t>
    <phoneticPr fontId="1" type="noConversion"/>
  </si>
  <si>
    <t>BossAttack</t>
    <phoneticPr fontId="1" type="noConversion"/>
  </si>
  <si>
    <t>JingyingAttack</t>
    <phoneticPr fontId="1" type="noConversion"/>
  </si>
  <si>
    <t>JingyingDefense</t>
    <phoneticPr fontId="1" type="noConversion"/>
  </si>
  <si>
    <t>BossAttack</t>
    <phoneticPr fontId="1" type="noConversion"/>
  </si>
  <si>
    <t>BossRecover</t>
    <phoneticPr fontId="1" type="noConversion"/>
  </si>
  <si>
    <t>BossAgile</t>
    <phoneticPr fontId="1" type="noConversion"/>
  </si>
  <si>
    <t>BossDefense</t>
    <phoneticPr fontId="1" type="noConversion"/>
  </si>
  <si>
    <t>JuLingshen_20</t>
    <phoneticPr fontId="1" type="noConversion"/>
  </si>
  <si>
    <t>多罗吒</t>
    <phoneticPr fontId="1" type="noConversion"/>
  </si>
  <si>
    <t>毗琉璃</t>
    <phoneticPr fontId="1" type="noConversion"/>
  </si>
  <si>
    <t>留博叉</t>
    <phoneticPr fontId="1" type="noConversion"/>
  </si>
  <si>
    <t>毗沙门</t>
    <phoneticPr fontId="1" type="noConversion"/>
  </si>
  <si>
    <t>李靖</t>
    <phoneticPr fontId="1" type="noConversion"/>
  </si>
  <si>
    <t>金吒</t>
    <phoneticPr fontId="1" type="noConversion"/>
  </si>
  <si>
    <t>木吒</t>
    <phoneticPr fontId="1" type="noConversion"/>
  </si>
  <si>
    <t>哪咤</t>
    <phoneticPr fontId="1" type="noConversion"/>
  </si>
  <si>
    <t>二郎神</t>
    <phoneticPr fontId="1" type="noConversion"/>
  </si>
  <si>
    <t>哮天犬</t>
    <phoneticPr fontId="1" type="noConversion"/>
  </si>
  <si>
    <t>玉帝</t>
    <phoneticPr fontId="1" type="noConversion"/>
  </si>
  <si>
    <t>王母</t>
    <phoneticPr fontId="1" type="noConversion"/>
  </si>
  <si>
    <t xml:space="preserve">灵宝法师 </t>
    <phoneticPr fontId="1" type="noConversion"/>
  </si>
  <si>
    <t>太上老君</t>
    <phoneticPr fontId="1" type="noConversion"/>
  </si>
  <si>
    <t>如来</t>
    <phoneticPr fontId="1" type="noConversion"/>
  </si>
  <si>
    <t>辩经人</t>
    <phoneticPr fontId="1" type="noConversion"/>
  </si>
  <si>
    <t>禅师</t>
    <phoneticPr fontId="1" type="noConversion"/>
  </si>
  <si>
    <t>方丈</t>
    <phoneticPr fontId="1" type="noConversion"/>
  </si>
  <si>
    <t>试炼官</t>
    <phoneticPr fontId="1" type="noConversion"/>
  </si>
  <si>
    <t>小偷</t>
    <phoneticPr fontId="1" type="noConversion"/>
  </si>
  <si>
    <t>观音化身1</t>
    <phoneticPr fontId="1" type="noConversion"/>
  </si>
  <si>
    <t>观音化身2</t>
    <phoneticPr fontId="1" type="noConversion"/>
  </si>
  <si>
    <t>豺狼</t>
    <phoneticPr fontId="1" type="noConversion"/>
  </si>
  <si>
    <t>兔精</t>
    <phoneticPr fontId="1" type="noConversion"/>
  </si>
  <si>
    <t>蓝兔精</t>
    <phoneticPr fontId="1" type="noConversion"/>
  </si>
  <si>
    <t>玉兔精</t>
    <phoneticPr fontId="1" type="noConversion"/>
  </si>
  <si>
    <t>菩萨1</t>
    <phoneticPr fontId="1" type="noConversion"/>
  </si>
  <si>
    <t>猛虎</t>
    <phoneticPr fontId="1" type="noConversion"/>
  </si>
  <si>
    <t>猴孙</t>
    <phoneticPr fontId="1" type="noConversion"/>
  </si>
  <si>
    <t>孙悟空</t>
    <phoneticPr fontId="1" type="noConversion"/>
  </si>
  <si>
    <t>猎户</t>
    <phoneticPr fontId="1" type="noConversion"/>
  </si>
  <si>
    <t>小青蛇</t>
    <phoneticPr fontId="1" type="noConversion"/>
  </si>
  <si>
    <t>青蛇</t>
    <phoneticPr fontId="1" type="noConversion"/>
  </si>
  <si>
    <t>白蛇</t>
    <phoneticPr fontId="1" type="noConversion"/>
  </si>
  <si>
    <t>龟丞相</t>
    <phoneticPr fontId="1" type="noConversion"/>
  </si>
  <si>
    <t>小白龙</t>
    <phoneticPr fontId="1" type="noConversion"/>
  </si>
  <si>
    <t>黑熊</t>
    <phoneticPr fontId="1" type="noConversion"/>
  </si>
  <si>
    <t>巨型黑熊</t>
    <phoneticPr fontId="1" type="noConversion"/>
  </si>
  <si>
    <t>黑熊侍卫</t>
    <phoneticPr fontId="1" type="noConversion"/>
  </si>
  <si>
    <t>黑熊精</t>
    <phoneticPr fontId="1" type="noConversion"/>
  </si>
  <si>
    <t>猪刚鬣</t>
    <phoneticPr fontId="1" type="noConversion"/>
  </si>
  <si>
    <t>天蓬元帅</t>
    <phoneticPr fontId="1" type="noConversion"/>
  </si>
  <si>
    <t>乌巢禅师</t>
    <phoneticPr fontId="1" type="noConversion"/>
  </si>
  <si>
    <t>Menghu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</si>
  <si>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</si>
  <si>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</si>
  <si>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</si>
  <si>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</si>
  <si>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</si>
  <si>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DuoLuozha_19|PiLiuli_19|PiShamen_19|LiuBocha_19</t>
  </si>
  <si>
    <t>JingZha_21|MuZha_21|NeZha_21|LiJing_22</t>
  </si>
  <si>
    <t>Xiaotianquan_23|Erlangshen_24</t>
  </si>
  <si>
    <t>Yudi_24|Wangmu_23</t>
  </si>
  <si>
    <t>LingbaoFashi_25|TaishangLaojun_25</t>
  </si>
  <si>
    <t>BianjingRen_2|BianjingRen_3|Chanshi_2|Chanshi_3</t>
  </si>
  <si>
    <t>BianjingRen_4|BianjingRen_4|BianjingRen_5|Fangzhang_4|Fangzhang_5|Chanshi_4|Chanshi_4|ShilianGuan_4</t>
  </si>
  <si>
    <t>Chanshi_2|BianjingRen_2|BianjingRen_2|Chanshi_2|Fangzhang_3</t>
  </si>
  <si>
    <t>Chanshi_2|BianjingRen_2|BianjingRen_2|Fangzhang_2|Fangzhang_3|Fangzhang_4|ShilianGuan_4|ShilianGuan_4</t>
  </si>
  <si>
    <t>Fangzhang_2|Chanshi_3|BianjingRen_3|Fangzhang_3</t>
  </si>
  <si>
    <t>Fangzhang_2|BianjingRen_3|BianjingRen_3|Fangzhang_3|Chanshi_4|Fangzhang_4|ShilianGuan_4|ShilianGuan_5</t>
  </si>
  <si>
    <t>ShilianGuan_2|BianjingRen_2|1_3|4_3|1_3</t>
  </si>
  <si>
    <t>ShilianGuan_2|BianjingRen_2|Fangzhang_3|Fangzhang_3|Chanshi_3|Chanshi_5|ShilianGuan_4|ShilianGuan_5</t>
  </si>
  <si>
    <t>Xiaotou_1|Xiaotou_1</t>
  </si>
  <si>
    <t>Xiaotou_3|BianjingRen_3|Chanshi_4|Fangzhang_4|ShilianGuan_3</t>
  </si>
  <si>
    <t>Xiaotou_3|Fangzhang_3|BianjingRen_4|Chanshi_4|ShilianGuan_3|ShilianGuan_4|ShilianGuan_5|ShilianGuan_5</t>
  </si>
  <si>
    <t>GuanyinHuashen1_3|Fangzhang_3|Fangzhang_4|Chanshi_4|Chanshi_4|ShilianGuan_5</t>
  </si>
  <si>
    <t>GuanyinHuashen1_3|Fangzhang_3|Chanshi_4|Chanshi_4|ShilianGuan_4|GuanyinHuashen1_4|ShilianGuan_5|GuanyinHuashen1_5</t>
  </si>
  <si>
    <t>GuanyinHuashen2_8|GuanyinHuashen1_8|ShilianGuan_9</t>
  </si>
  <si>
    <t>GuanyinHuashen2_8|GuanyinHuashen1_8|ShilianGuan_9|ShilianGuan_10|GuanyinHuashen2_10</t>
  </si>
  <si>
    <t>GuanyinHuashen2_10|GuanyinHuashen2_10|GuanyinHuashen1_10|GuanyinHuashen1_12|Fangzhang_12|ShilianGuan_12|Fangzhang_12|ShilianGuan_12</t>
  </si>
  <si>
    <t>GuanyinHuashen2_9|GuanyinHuashen1_9|ShilianGuan_10</t>
  </si>
  <si>
    <t>GuanyinHuashen2_9|GuanyinHuashen1_9|GuanyinHuashen1_10|ShilianGuan_10|ShilianGuan_10|GuanyinHuashen2_10|ShilianGuan_10|GuanyinHuashen2_11</t>
  </si>
  <si>
    <t>GuanyinHuashen2_11|GuanyinHuashen2_11|GuanyinHuashen1_12|GuanyinHuashen1_12|ShilianGuan_12|ShilianGuan_12|ShilianGuan_12|ShilianGuan_13</t>
  </si>
  <si>
    <t>Chailang_3|Chailang_4|Tujing_4|LanTujing_5</t>
  </si>
  <si>
    <t>Chailang_4|Chailang_5|Chailang_5|Tujing_6|Tujing_5|YuTujing_5|YuTujing_6|YuTujing_6</t>
  </si>
  <si>
    <t>Chailang_1|Chailang_2</t>
  </si>
  <si>
    <t>Chailang_3|Chailang_3|Chailang_4|Tujing_4|Tujing_4|LanTujing_4</t>
  </si>
  <si>
    <t>Chailang_4|Chailang_4|Tujing_5|Tujing_5|LanTujing_5|LanTujing_5|YuTujing_7|YuTujing_7</t>
  </si>
  <si>
    <t>Tujing_3|Tujing_1</t>
  </si>
  <si>
    <t>Tujing_3|Tujing_3|Chailang_4|Chailang_4|LanTujing_4|LanTujing_5</t>
  </si>
  <si>
    <t>Tujing_4|Tujing_4|Tujing_5|LanTujing_5|Chailang_5|Chailang_6|YuTujing_7|YuTujing_7</t>
  </si>
  <si>
    <t>LanTujing_4|LanTujing_3|Tujing_4|Chailang_4|Chailang_5|Tujing_5</t>
  </si>
  <si>
    <t>LanTujing_5|LanTujing_4|Tujing_5|Chailang_5|Chailang_6|Tujing_6|YuTujing_7|YuTujing_7</t>
  </si>
  <si>
    <t>YuTujing_3|LanTujing_3|Chailang_4|LanTujing_5</t>
  </si>
  <si>
    <t>YuTujing_4|LanTujing_4|Chailang_5|Chailang_6|Menghu_5|YuTujing_5|Menghu_7|Menghu_7</t>
  </si>
  <si>
    <t>Pusa1_3|Fangzhang_3|Fangzhang_4|Chanshi_5|ShilianGuan_5</t>
  </si>
  <si>
    <t>Pusa1_6|Fangzhang_6|Fangzhang_7|Chanshi_8|Chanshi_8|ShilianGuan_9|ShilianGuan_10|Pusa1_10</t>
  </si>
  <si>
    <t>Menghu_3|Chailang_3</t>
  </si>
  <si>
    <t>Menghu_3|Chailang_3|Tujing_4|Tujing_4|LanTujing_5|YuTujing_5</t>
  </si>
  <si>
    <t>Menghu_4|Menghu_4|Chailang_5|Chailang_5|LanTujing_6|LanTujing_6|YuTujing_8|YuTujing_8</t>
  </si>
  <si>
    <t>Menghu_3|Menghu_3|Chailang_3</t>
  </si>
  <si>
    <t>Menghu_3|Menghu_3|Chailang_4|Tujing_5|Tujing_5|YuTujing_6</t>
  </si>
  <si>
    <t>Menghu_4|Menghu_4|Menghu_5|Chailang_6|Chailang_6|LanTujing_7|YuTujing_8|YuTujing_8</t>
  </si>
  <si>
    <t>Menghu_3|Menghu_3|Chailang_4</t>
  </si>
  <si>
    <t>Menghu_3|Menghu_4|Chailang_5|Tujing_5|LanTujing_6|YuTujing_6</t>
  </si>
  <si>
    <t>Menghu_4|Menghu_4|Menghu_6|Chailang_6|Chailang_7|LanTujing_7|YuTujing_8|YuTujing_8</t>
  </si>
  <si>
    <t>GuanyinHuashen1_3|Fangzhang_4|Fangzhang_5|Chanshi_5|ShilianGuan_4</t>
  </si>
  <si>
    <t>GuanyinHuashen1_4|Fangzhang_5|Fangzhang_6|Fangzhang_6|Chanshi_5|ShilianGuan_8|ShilianGuan_8|ShilianGuan_8</t>
  </si>
  <si>
    <t>Sunwukong_5|YuTujing_4|YuTujing_5|Housun_5|Housun_5</t>
  </si>
  <si>
    <t>Sunwukong_6|LanTujing_5|LanTujing_6|Housun_6|Housun_6|YuTujing_8|YuTujing_8|YuTujing_9</t>
  </si>
  <si>
    <t>GuanyinHuashen1_3|GuanyinHuashen1_1|ShilianGuan_1</t>
  </si>
  <si>
    <t>GuanyinHuashen2_3|Fangzhang_4|ShilianGuan_6|Chanshi_4|Chanshi_5|ShilianGuan_4|ShilianGuan_5</t>
  </si>
  <si>
    <t>GuanyinHuashen2_5|Fangzhang_6|Fangzhang_7|Chanshi_10|Chanshi_10|ShilianGuan_10|Pusa1_10|ShilianGuan_11</t>
  </si>
  <si>
    <t>Liuyi_5|Liuyi_5</t>
  </si>
  <si>
    <t>Liuyi_5|Liuyi_5|Liuyi_6|Liuyi_6</t>
  </si>
  <si>
    <t>Liuhu_10|Menghu_10|Menghu_11</t>
  </si>
  <si>
    <t>Liuhu_8|Liuhu_8|Menghu_9|Menghu_10|Menghu_10</t>
  </si>
  <si>
    <t>Liuhu_10|Liuhu_10|Liuhu_10|Liuhu_12|Menghu_12|Menghu_12|Menghu_12|Menghu_12</t>
  </si>
  <si>
    <t>Liuhu_11|Liuhu_12|Liuhu_12</t>
  </si>
  <si>
    <t>Liuhu_11|Liuhu_12|Liuhu_12|Menghu_10|Menghu_10|Menghu_10|Menghu_10|Menghu_11</t>
  </si>
  <si>
    <t>Liuhu_11|Liuhu_11|Liuhu_12|Liuhu_12|Liuhu_12|Menghu_12|Menghu_12|Menghu_13</t>
  </si>
  <si>
    <t>Liuhu_12|Liuhu_13|Liuhu_13|Liuhu_13</t>
  </si>
  <si>
    <t>Liuhu_12|Liuhu_13|Liuhu_13|Liuhu_10|Liuhu_10|Liuhu_10|Liuhu_10</t>
  </si>
  <si>
    <t>Liuhu_13|Liuhu_13|Liuhu_13|Liuhu_13|Liuhu_13|Liuhu_13|Liuhu_13|Liuhu_13</t>
  </si>
  <si>
    <t>GuanyinHuashen1_12|GuanyinHuashen2_12</t>
  </si>
  <si>
    <t>GuanyinHuashen1_12|GuanyinHuashen1_12|GuanyinHuashen2_12|GuanyinHuashen2_12</t>
  </si>
  <si>
    <t>GuanyinHuashen1_13|GuanyinHuashen1_13|GuanyinHuashen1_13|GuanyinHuashen2_13|GuanyinHuashen2_13|ShilianGuan_13</t>
  </si>
  <si>
    <t>GuanyinHuashen1_13|GuanyinHuashen1_13|GuanyinHuashen2_12</t>
  </si>
  <si>
    <t>GuanyinHuashen1_14|GuanyinHuashen1_14|GuanyinHuashen2_14|GuanyinHuashen2_13</t>
  </si>
  <si>
    <t>GuanyinHuashen1_14|GuanyinHuashen1_14|GuanyinHuashen1_14|GuanyinHuashen2_14|GuanyinHuashen2_14|GuanyinHuashen2_13|ShilianGuan_14|ShilianGuan_14</t>
  </si>
  <si>
    <t>GuanyinHuashen1_13|GuanyinHuashen1_13|GuanyinHuashen2_13|GuanyinHuashen2_13</t>
  </si>
  <si>
    <t>GuanyinHuashen1_15|GuanyinHuashen1_14|GuanyinHuashen1_14|GuanyinHuashen2_14|GuanyinHuashen2_14|GuanyinHuashen2_14|ShilianGuan_14|ShilianGuan_15</t>
  </si>
  <si>
    <t>Tujing_5|Tujing_5</t>
  </si>
  <si>
    <t>Tujing_5|Tujing_5|Tujing_5|Tujing_5</t>
  </si>
  <si>
    <t>Tujing_5|Tujing_5|Tujing_5|Tujing_5|Tujing_5|Tujing_6|Tujing_6|Tujing_6</t>
  </si>
  <si>
    <t>LanTujing_5|LanTujing_5|Tujing_4</t>
  </si>
  <si>
    <t>LanTujing_5|LanTujing_5|LanTujing_5|LanTujing_5|Tujing_4</t>
  </si>
  <si>
    <t>LanTujing_6|LanTujing_6|LanTujing_5|LanTujing_5|Tujing_5|Tujing_5</t>
  </si>
  <si>
    <t>YuTujing_5|YuTujing_6</t>
  </si>
  <si>
    <t>YuTujing_6|YuTujing_6|LanTujing_5|LanTujing_6|LanTujing_6</t>
  </si>
  <si>
    <t>YuTujing_7|YuTujing_6|LanTujing_6|LanTujing_7|LanTujing_6|Tujing_5</t>
  </si>
  <si>
    <t>XiaoQingshe_6|XiaoQingshe_6|XiaoQingshe_4</t>
  </si>
  <si>
    <t>XiaoQingshe_6|XiaoQingshe_6|Qingshe_6|Baishe_6|Baishe_6</t>
  </si>
  <si>
    <t>XiaoQingshe_7|XiaoQingshe_7|Qingshe_6|Qingshe_7|Baishe_6|Baishe_7</t>
  </si>
  <si>
    <t>Qingshe_6|Qingshe_5|YuTujing_6</t>
  </si>
  <si>
    <t>Qingshe_7|Qingshe_7|YuTujing_7|XiaoQingshe_6|Qingshe_6</t>
  </si>
  <si>
    <t>Qingshe_8|Qingshe_8|Baishe_8|XiaoQingshe_6|Qingshe_6|Baishe_8|Baishe_8</t>
  </si>
  <si>
    <t>Baishe_6|Qingshe_6|Baishe_5</t>
  </si>
  <si>
    <t>Baishe_7|Qingshe_6|Baishe_6|XiaoQingshe_6|XiaoQingshe_6</t>
  </si>
  <si>
    <t>Baishe_8|Baishe_8|Baishe_8|Qingshe_7|Baishe_6|XiaoQingshe_6|XiaoQingshe_7</t>
  </si>
  <si>
    <t>Guichengxiang_7|Baishe_6|Qingshe_6</t>
  </si>
  <si>
    <t>Guichengxiang_7|Baishe_7|Baishe_7|Baishe_7|Qingshe_7</t>
  </si>
  <si>
    <t>Guichengxiang_8|Baishe_8|Baishe_8|Baishe_8|Qingshe_8|Qingshe_8|Qingshe_8|Qingshe_8</t>
  </si>
  <si>
    <t>XiaoBailong_8|Baishe_6|Baishe_7</t>
  </si>
  <si>
    <t>XiaoBailong_8|XiaoBailong_7|Baishe_8|Baishe_8</t>
  </si>
  <si>
    <t>XiaoBailong_8|XiaoBailong_7|Baishe_8|Baishe_8|Baishe_8|Baishe_8|Baishe_8</t>
  </si>
  <si>
    <t>Bailong_8|Baishe_7|Baishe_7</t>
  </si>
  <si>
    <t>Bailong_8|XiaoBailong_8|XiaoBailong_8|Baishe_8|Baishe_8</t>
  </si>
  <si>
    <t>Bailong_9|XiaoBailong_9|XiaoBailong_9|Baishe_8|Baishe_8|Baishe_8|Baishe_8|Baishe_8</t>
  </si>
  <si>
    <t>GuanyinHuashen2_9|GuanyinHuashen1_9|ShilianGuan_9|ShilianGuan_9|ShilianGuan_9</t>
  </si>
  <si>
    <t>GuanyinHuashen2_9|GuanyinHuashen2_9|GuanyinHuashen2_9|GuanyinHuashen1_9|ShilianGuan_9|ShilianGuan_9|ShilianGuan_9|ShilianGuan_9</t>
  </si>
  <si>
    <t>Guichengxiang_13|Baishe_14|Qingshe_14</t>
  </si>
  <si>
    <t>Guichengxiang_14|Baishe_15|Baishe_15|Qingshe_15|Qingshe_15</t>
  </si>
  <si>
    <t>Guichengxiang_15|Guichengxiang_15|Baishe_15|Baishe_15||Baishe_15|Qingshe_15|Qingshe_15</t>
  </si>
  <si>
    <t>Guichengxiang_14|Baishe_15|Baishe_15|Qingshe_15</t>
  </si>
  <si>
    <t>Guichengxiang_15|Baishe_16|Baishe_16|Qingshe_16|Qingshe_16|Qingshe_16</t>
  </si>
  <si>
    <t>Guichengxiang_16|Guichengxiang_15||Guichengxiang_15|Baishe_16|Baishe_16|Baishe_16|Qingshe_16|Qingshe_16</t>
  </si>
  <si>
    <t>GuanyinHuashen2_16|GuanyinHuashen1_16|ShilianGuan_16</t>
  </si>
  <si>
    <t>GuanyinHuashen2_16|GuanyinHuashen2_16|GuanyinHuashen1_16|ShilianGuan_16|ShilianGuan_16</t>
  </si>
  <si>
    <t>GuanyinHuashen2_17|GuanyinHuashen2_17|GuanyinHuashen2_17|GuanyinHuashen1_16|GuanyinHuashen1_16|ShilianGuan_16|ShilianGuan_16|ShilianGuan_16</t>
  </si>
  <si>
    <t>GuanyinHuashen2_17|GuanyinHuashen2_16|GuanyinHuashen1_17|ShilianGuan_16</t>
  </si>
  <si>
    <t>GuanyinHuashen2_17|GuanyinHuashen2_17|GuanyinHuashen1_17|ShilianGuan_17|ShilianGuan_17|ShilianGuan_17</t>
  </si>
  <si>
    <t>GuanyinHuashen2_18|GuanyinHuashen2_18|GuanyinHuashen2_18|GuanyinHuashen1_18|GuanyinHuashen1_17|ShilianGuan_18|ShilianGuan_17|ShilianGuan_18</t>
  </si>
  <si>
    <t>Qingshe_8|Qingshe_7|XiaoQingshe_8</t>
  </si>
  <si>
    <t>Qingshe_8|Qingshe_8|XiaoQingshe_8|Baishe_8|Baishe_8</t>
  </si>
  <si>
    <t>Qingshe_9|Qingshe_9|XiaoQingshe_9|Baishe_9|Baishe_9|Baishe_9|Baishe_9|Baishe_9</t>
  </si>
  <si>
    <t>Qingshe_8|Baishe_7|Qingshe_8|XiaoQingshe_7</t>
  </si>
  <si>
    <t>Qingshe_9|Baishe_9|Baishe_9|Qingshe_9|XiaoQingshe_9</t>
  </si>
  <si>
    <t>Qingshe_10|Qingshe_9|Baishe_9|Baishe_10|Baishe_9|Qingshe_9|XiaoQingshe_9|XiaoQingshe_9</t>
  </si>
  <si>
    <t>Baishe_8|Qingshe_8|Baishe_7|XiaoQingshe_8|XiaoQingshe_8</t>
  </si>
  <si>
    <t>Baishe_9|Qingshe_8|Qingshe_8|Baishe_9|XiaoQingshe_8|Baishe_9|Baishe_9</t>
  </si>
  <si>
    <t>Baishe_9|Baishe_9|Qingshe_9|Qingshe_9|Baishe_9|XiaoQingshe_9|Baishe_9|Baishe_9</t>
  </si>
  <si>
    <t>Heixiong_9|Baishe_8|Qingshe_8|Baishe_7</t>
  </si>
  <si>
    <t>Heixiong_9|Heixiong_9|Heixiong_9|Baishe_8|Qingshe_8|Baishe_9</t>
  </si>
  <si>
    <t>Heixiong_10|Heixiong_10|Heixiong_10|Baishe_9|Baishe_9|Baishe_9|Qingshe_9|Baishe_10</t>
  </si>
  <si>
    <t>JuxingHeixiong_9|Heixiong_9|Heixiong_9|Heixiong_9</t>
  </si>
  <si>
    <t>JuxingHeixiong_9|JuxingHeixiong_9|Heixiong_9|Heixiong_9|Heixiong_9|Heixiong_9</t>
  </si>
  <si>
    <t>JuxingHeixiong_10|JuxingHeixiong_10|JuxingHeixiong_10|Heixiong_10|Heixiong_10|Heixiong_9|Heixiong_9|Baishe_9</t>
  </si>
  <si>
    <t>Lingxuzi_9|JuxingHeixiong_9|Heixiong_9|Heixiong_9</t>
  </si>
  <si>
    <t>Lingxuzi_9|Lingxuzi_9|Lingxuzi_10|JuxingHeixiong_9|Heixiong_9|Heixiong_9</t>
  </si>
  <si>
    <t>Lingxuzi_10|Lingxuzi_10|Lingxuzi_10|JuxingHeixiong_10|JuxingHeixiong_10|Heixiong_9|Heixiong_9|Heixiong_10</t>
  </si>
  <si>
    <t>Lingxuzi_10|JuxingHeixiong_9|JuxingHeixiong_10|Heixiong_9</t>
  </si>
  <si>
    <t>Lingxuzi_10|Lingxuzi_10|JuxingHeixiong_10|JuxingHeixiong_10|JuxingHeixiong_10|Heixiong_9</t>
  </si>
  <si>
    <t>Lingxuzi_11|Lingxuzi_11|JuxingHeixiong_11|JuxingHeixiong_10|JuxingHeixiong_10|JuxingHeixiong_10|Heixiong_10|Heixiong_10</t>
  </si>
  <si>
    <t>HeixiongShiwei_10|HeixiongShiwei_9|JuxingHeixiong_9</t>
  </si>
  <si>
    <t>HeixiongShiwei_10|HeixiongShiwei_10|JuxingHeixiong_10|Heixiong_10|Heixiong_10</t>
  </si>
  <si>
    <t>Lingxuzi_11|Lingxuzi_11|Lingxuzi_11|HeixiongShiwei_10|HeixiongShiwei_10|JuxingHeixiong_10|Heixiong_10|Heixiong_10</t>
  </si>
  <si>
    <t>HeixiongShiwei_10|HeixiongShiwei_10|JuxingHeixiong_10|JuxingHeixiong_9</t>
  </si>
  <si>
    <t>HeixiongShiwei_11|HeixiongShiwei_11|JuxingHeixiong_11|JuxingHeixiong_11|Heixiong_11</t>
  </si>
  <si>
    <t>Lingxuzi_12|Lingxuzi_12|Lingxuzi_12|HeixiongShiwei_11|HeixiongShiwei_11|JuxingHeixiong_12|JuxingHeixiong_11|Heixiong_12</t>
  </si>
  <si>
    <t>Heixiongjing_10|HeixiongShiwei_10|HeixiongShiwei_10|JuxingHeixiong_10</t>
  </si>
  <si>
    <t>Heixiongjing_11|Heixiongjing_11|HeixiongShiwei_11|HeixiongShiwei_11|JuxingHeixiong_11</t>
  </si>
  <si>
    <t>Heixiongjing_12|Heixiongjing_12|Lingxuzi_12|Lingxuzi_12|Lingxuzi_12|HeixiongShiwei_12|HeixiongShiwei_11|JuxingHeixiong_11</t>
  </si>
  <si>
    <t>Chailang_11|Chailang_11|Chailang_11</t>
  </si>
  <si>
    <t>Chailang_12|Chailang_12|Chailang_12|Chailang_11|Chailang_11</t>
  </si>
  <si>
    <t>Chailang_13|Chailang_13|Chailang_13|Chailang_13|Chailang_13|Chailang_13|Chailang_13|Chailang_13</t>
  </si>
  <si>
    <t>Baishe_11|Baishe_10|Qingshe_10</t>
  </si>
  <si>
    <t>Baishe_12|Baishe_12|Baishe_12|Qingshe_12|Chailang_13</t>
  </si>
  <si>
    <t>Baishe_12|Baishe_12|Baishe_12|Baishe_12|Qingshe_12|Qingshe_12|Qingshe_12|Chailang_13</t>
  </si>
  <si>
    <t>Baishe_11|Baishe_11|Baishe_11</t>
  </si>
  <si>
    <t>Baishe_12|Baishe_12|Baishe_12|Baishe_12|Baishe_12|Baishe_12</t>
  </si>
  <si>
    <t>Baishe_13|Baishe_13|Baishe_13|Baishe_12|Baishe_12|Baishe_12|Baishe_12|Baishe_12</t>
  </si>
  <si>
    <t>YuTujing_12|YuTujing_11|Baishe_11|Baishe_11</t>
  </si>
  <si>
    <t>YuTujing_13|YuTujing_12|YuTujing_13|Baishe_12|Baishe_12|Baishe_12</t>
  </si>
  <si>
    <t>YuTujing_13|YuTujing_13|YuTujing_13|YuTujing_13|YuTujing_13|Baishe_13|Baishe_12|Baishe_13</t>
  </si>
  <si>
    <t>ZhuGanglie_12|Baishe_12|Baishe_11|Baishe_11</t>
  </si>
  <si>
    <t>ZhuGanglie_13|ZhuGanglie_12|ZhuGanglie_12|Baishe_12|Baishe_12|Baishe_12</t>
  </si>
  <si>
    <t>ZhuGanglie_14|ZhuGanglie_13|ZhuGanglie_13|Baishe_13|Baishe_13|Baishe_13|Baishe_13|Baishe_13</t>
  </si>
  <si>
    <t>TianpengYuanshuai_13|YuTujing_13|YuTujing_13</t>
  </si>
  <si>
    <t>TianpengYuanshuai_14|TianpengYuanshuai_13|TianpengYuanshuai_13|YuTujing_13|YuTujing_13|YuTujing_13</t>
  </si>
  <si>
    <t>TianpengYuanshuai_14|TianpengYuanshuai_14|TianpengYuanshuai_14|TianpengYuanshuai_14|YuTujing_14|YuTujing_14|YuTujing_14|YuTujing_14</t>
  </si>
  <si>
    <t>WuchaoChanshi_13|ShilianGuan_14|ShilianGuan_14</t>
  </si>
  <si>
    <t>WuchaoChanshi_14|WuchaoChanshi_14|GuanyinHuashen2_14|GuanyinHuashen2_14|WuchaoChanshi_14|ShilianGuan_14</t>
  </si>
  <si>
    <t>WuchaoChanshi_15|WuchaoChanshi_15|WuchaoChanshi_15|GuanyinHuashen2_15|GuanyinHuashen2_15|GuanyinHuashen1_15|ShilianGuan_15|ShilianGuan_15</t>
  </si>
  <si>
    <t>WuchaoChanshi_13|ShilianGuan_15|ShilianGuan_15|ShilianGuan_14</t>
  </si>
  <si>
    <t>WuchaoChanshi_15|WuchaoChanshi_15|GuanyinHuashen2_15|GuanyinHuashen2_15|ShilianGuan_15|ShilianGuan_15|ShilianGuan_15</t>
  </si>
  <si>
    <t>WuchaoChanshi_16|WuchaoChanshi_16|WuchaoChanshi_16|GuanyinHuashen2_16|GuanyinHuashen2_16|ShilianGuan_16|ShilianGuan_16|ShilianGuan_16</t>
  </si>
  <si>
    <t>ZhuGanglie_17|Baishe_17|Baishe_17|Baishe_17</t>
  </si>
  <si>
    <t>ZhuGanglie_18|ZhuGanglie_18|ZhuGanglie_18|Baishe_18|Baishe_18|Baishe_18|Baishe_18</t>
  </si>
  <si>
    <t>ZhuGanglie_19|ZhuGanglie_19|ZhuGanglie_19|ZhuGanglie_19|Baishe_19|Baishe_19|Baishe_19|Baishe_19</t>
  </si>
  <si>
    <t>ZhuGanglie_18|ZhuGanglie_18|Baishe_18|Baishe_17|Baishe_18</t>
  </si>
  <si>
    <t>ZhuGanglie_19|ZhuGanglie_19|Baishe_19|Baishe_19|Baishe_19|Baishe_19</t>
  </si>
  <si>
    <t>ZhuGanglie_20|ZhuGanglie_20|ZhuGanglie_20|ZhuGanglie_20|Baishe_20|Baishe_20|Baishe_20|Baishe_20</t>
  </si>
  <si>
    <t>ZhuGanglie_18|ZhuGanglie_18|ZhuGanglie_18|Baishe_18|Baishe_17</t>
  </si>
  <si>
    <t>ZhuGanglie_19|ZhuGanglie_19|ZhuGanglie_19|ZhuGanglie_19|ZhuGanglie_19|Baishe_19|Baishe_19|Baishe_19</t>
  </si>
  <si>
    <t>TianpengYuanshuai_20|TianpengYuanshuai_20|TianpengYuanshuai_20|ZhuGanglie_20|ZhuGanglie_20|ZhuGanglie_20|ZhuGanglie_20|ZhuGanglie_20</t>
  </si>
  <si>
    <t>TianpengYuanshuai_18|ZhuGanglie_18|ZhuGanglie_18|Baishe_18</t>
  </si>
  <si>
    <t>TianpengYuanshuai_19|TianpengYuanshuai_19|ZhuGanglie_19|ZhuGanglie_19|Baishe_20</t>
  </si>
  <si>
    <t>TianpengYuanshuai_20|TianpengYuanshuai_20|TianpengYuanshuai_20|ZhuGanglie_20|ZhuGanglie_20|ZhuGanglie_20|ZhuGanglie_20|Baishe_20</t>
  </si>
  <si>
    <t>TianpengYuanshuai_19|TianpengYuanshuai_18|TianpengYuanshuai_18|TianpengYuanshuai_18</t>
  </si>
  <si>
    <t>TianpengYuanshuai_19|TianpengYuanshuai_19|TianpengYuanshuai_19|TianpengYuanshuai_19|TianpengYuanshuai_19|TianpengYuanshuai_19</t>
  </si>
  <si>
    <t>TianpengYuanshuai_20|TianpengYuanshuai_20|TianpengYuanshuai_20|TianpengYuanshuai_20|TianpengYuanshuai_20|TianpengYuanshuai_20|TianpengYuanshuai_20|TianpengYuanshuai_20</t>
  </si>
  <si>
    <t>Menghu_12|Menghu_12|Menghu_12|Chailang_13|Chailang_11</t>
  </si>
  <si>
    <t>Menghu_12|Menghu_13|Menghu_13|Menghu_12|Chailang_13|Chailang_13</t>
  </si>
  <si>
    <t>Menghu_13|Menghu_13|Menghu_13|Menghu_13|Chailang_13|Chailang_13|Chailang_13|Chailang_13</t>
  </si>
  <si>
    <t>Huguai_13|Huguai_13|Menghu_13|Menghu_13|Chailang_13</t>
  </si>
  <si>
    <t>Huguai_14|Huguai_13|Menghu_13|Menghu_14|Menghu_14|Chailang_13</t>
  </si>
  <si>
    <t>Huguai_14|Huguai_14|Huguai_14|Menghu_14|Menghu_14|Menghu_14|Chailang_14|Chailang_14</t>
  </si>
  <si>
    <t>Heihuguai_13|Heihuguai_13|Huguai_13|Huguai_13|Menghu_13</t>
  </si>
  <si>
    <t>Heihuguai_14|Heihuguai_13|Heihuguai_13|Huguai_14|Huguai_14|Menghu_14</t>
  </si>
  <si>
    <t>Heihuguai_14|Heihuguai_14|Heihuguai_14|Heihuguai_14|Heihuguai_14|Huguai_14|Huguai_14|Menghu_14</t>
  </si>
  <si>
    <t>Huxianfeng_13|Heihuguai_14|Heihuguai_13|Heihuguai_13|Huguai_13</t>
  </si>
  <si>
    <t>Huxianfeng_14|Huxianfeng_14|Heihuguai_14|Heihuguai_14|Heihuguai_14|Huguai_14</t>
  </si>
  <si>
    <t>Huxianfeng_15|Huxianfeng_14|Huxianfeng_14|Heihuguai_14|Heihuguai_14|Heihuguai_14|Heihuguai_14|Huguai_14</t>
  </si>
  <si>
    <t>HuangfengShouwei_14|HuangfengShouwei_13|Heihuguai_14|Heihuguai_13|Heihuguai_13</t>
  </si>
  <si>
    <t>HuangfengShouwei_14|HuangfengShouwei_14|HuangfengShouwei_14|Heihuguai_14|Heihuguai_14|Heihuguai_14</t>
  </si>
  <si>
    <t>HuangfengShouwei_14|HuangfengShouwei_14|HuangfengJiangling_14|HuangfengShouwei_14|HuangfengJiangling_14|Heihuguai_14|Heihuguai_14|Heihuguai_14</t>
  </si>
  <si>
    <t>HuangfengJiangling_14|HuangfengJiangling_14|HuangfengShouwei_14|HuangfengShouwei_14|Heihuguai_14</t>
  </si>
  <si>
    <t>HuangfengJiangling_15|HuangfengJiangling_15|HuangfengShouwei_14|HuangfengShouwei_14|HuangfengShouwei_14|Heihuguai_15|Heihuguai_15</t>
  </si>
  <si>
    <t>HuangfengJiangling_15|HuangfengJiangling_15|HuangfengJiangling_15|HuangfengShouwei_15|HuangfengShouwei_15|HuangfengShouwei_15|Heihuguai_15|Heihuguai_15</t>
  </si>
  <si>
    <t>HuangfengGuai_14|HuangfengJiangling_14|HuangfengJiangling_14|HuangfengShouwei_14|HuangfengShouwei_14</t>
  </si>
  <si>
    <t>HuangfengGuai_15|HuangfengGuai_15|HuangfengJiangling_15|HuangfengJiangling_15|HuangfengShouwei_15|HuangfengShouwei_15</t>
  </si>
  <si>
    <t>HuangfengGuai_16|HuangfengGuai_16|HuangfengGuai_15|HuangfengGuai_15|HuangfengJiangling_15|HuangfengJiangling_15|HuangfengShouwei_15|HuangfengShouwei_15</t>
  </si>
  <si>
    <t>HuangfengGuai_15|HuangfengJiangling_15|HuangfengJiangling_15|HuangfengShouwei_15|HuangfengShouwei_15</t>
  </si>
  <si>
    <t>HuangfengGuai_19|Huxianfeng_19|HuangfengJiangling_19|HuangfengJiangling_19</t>
  </si>
  <si>
    <t>HuangfengGuai_20|HuangfengGuai_20|Huxianfeng_19|Huxianfeng_19|HuangfengJiangling_20|HuangfengJiangling_19</t>
  </si>
  <si>
    <t>HuangfengGuai_20|HuangfengGuai_20|HuangfengGuai_20|Huxianfeng_20|Huxianfeng_20|HuangfengJiangling_20|HuangfengJiangling_20|HuangfengJiangling_20</t>
  </si>
  <si>
    <t>HuangfengGuai_19|HuangfengGuai_19|HuangfengGuai_19|Huxianfeng_19|Huxianfeng_19</t>
  </si>
  <si>
    <t>HuangfengGuai_20|HuangfengGuai_20|HuangfengGuai_19|HuangfengGuai_19|Huxianfeng_19|Huxianfeng_20</t>
  </si>
  <si>
    <t>HuangfengGuai_20|HuangfengGuai_20|HuangfengGuai_20|HuangfengGuai_20|Huxianfeng_20|Huxianfeng_20|Huxianfeng_20|Huxianfeng_20</t>
  </si>
  <si>
    <t>HuangfengGuai_20|HuangfengGuai_20|HuangfengGuai_19|Huxianfeng_20|Huxianfeng_19</t>
  </si>
  <si>
    <t>HuangfengGuai_21|HuangfengGuai_20|HuangfengGuai_20|Huxianfeng_20|Huxianfeng_19|Huxianfeng_20</t>
  </si>
  <si>
    <t>HuangfengGuai_21|HuangfengGuai_21|HuangfengGuai_21|HuangfengGuai_21|Huxianfeng_21|Huxianfeng_21|Huxianfeng_21|Huxianfeng_21</t>
  </si>
  <si>
    <t>HongyuGuai_15|HongyuGuai_15|HongyuGuai_15|HongyuGuai_15|HongyuGuai_15</t>
  </si>
  <si>
    <t>HongyuGuai_16|HongyuGuai_16|HongyuGuai_16|HongyuGuai_16|HuangyuGuai_15|HuangyuGuai_15|HongyuGuai_15</t>
  </si>
  <si>
    <t>HongyuGuai_16|HongyuGuai_16|HongyuGuai_16|HongyuGuai_16|HuangyuGuai_16|HuangyuGuai_16|HuangyuGuai_16|HuangyuGuai_16</t>
  </si>
  <si>
    <t>HuangyuGuai_15|HuangyuGuai_15|HuangyuGuai_15|HongyuGuai_15|HongyuGuai_15|HongyuGuai_15</t>
  </si>
  <si>
    <t>HuangyuGuai_16|HuangyuGuai_16|HuangyuGuai_16|HongyuGuai_16|HongyuGuai_16|Shaguai_16</t>
  </si>
  <si>
    <t>HuangyuGuai_17|HuangyuGuai_17|HuangyuGuai_17|HongyuGuai_17|HongyuGuai_17|Shaguai_17|Shaguai_17|Shaguai_17</t>
  </si>
  <si>
    <t>Shaguai_16|Shaguai_16|HuangyuGuai_15|HuangyuGuai_15|HongyuGuai_15</t>
  </si>
  <si>
    <t>Shaguai_16|Shaguai_16|Shaguai_16|Shaguai_16|HuangyuGuai_16|HuangyuGuai_16|HongyuGuai_16</t>
  </si>
  <si>
    <t>Shaguai_18|Shaguai_17|HongshaGuai_17|HongshaGuai_17|HongshaGuai_17|HuangyuGuai_17|HongyuGuai_17|HongyuGuai_17</t>
  </si>
  <si>
    <t>HongshaGuai_16|HongshaGuai_16|HongshaGuai_16|Shaguai_16|Shaguai_16</t>
  </si>
  <si>
    <t>HongshaGuai_17|HongshaGuai_17|HongshaGuai_16|HongshaGuai_16|HongshaGuai_16|Shaguai_17|Shaguai_17</t>
  </si>
  <si>
    <t>HongshaGuai_18|HongshaGuai_18|HongshaGuai_17|HongshaGuai_17|HongshaGuai_17|HongshaGuai_17|Shaguai_17|Shaguai_17</t>
  </si>
  <si>
    <t>ShaHeshang_16|HongshaGuai_16|HongshaGuai_16|HongshaGuai_16|Shaguai_16</t>
  </si>
  <si>
    <t>ShaHeshang_17|ShaHeshang_17|HongshaGuai_18|HongshaGuai_18|HongshaGuai_18|Shaguai_18|Shaguai_18</t>
  </si>
  <si>
    <t>ShaHeshang_18|ShaHeshang_18|HongshaGuai_18|HongshaGuai_18|HongshaGuai_18|Shaguai_18|Shaguai_18|Shaguai_18</t>
  </si>
  <si>
    <t>ShaHeshang_17|HongshaGuai_17|HongshaGuai_17|HongshaGuai_17|Shaguai_17</t>
  </si>
  <si>
    <t>ShaHeshang_18|ShaHeshang_18|HongshaGuai_19|HongshaGuai_19|HongshaGuai_18|Shaguai_19</t>
  </si>
  <si>
    <t>ShaHeshang_19|ShaHeshang_19|ShaHeshang_19|ShaHeshang_19|HongshaGuai_19|HongshaGuai_19|HongshaGuai_19|Shaguai_19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</si>
</sst>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2</xdr:row>
          <xdr:rowOff>28575</xdr:rowOff>
        </xdr:from>
        <xdr:to>
          <xdr:col>6</xdr:col>
          <xdr:colOff>609600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</a:t>
              </a:r>
              <a:r>
                <a:rPr lang="en-US" altLang="zh-CN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3"/>
  <sheetViews>
    <sheetView workbookViewId="0">
      <selection activeCell="E18" sqref="E18"/>
    </sheetView>
  </sheetViews>
  <sheetFormatPr defaultRowHeight="13.5" x14ac:dyDescent="0.15"/>
  <cols>
    <col min="1" max="1" width="12.5" customWidth="1"/>
  </cols>
  <sheetData>
    <row r="1" spans="1:3" x14ac:dyDescent="0.15">
      <c r="A1" t="s">
        <v>30</v>
      </c>
      <c r="B1" t="s">
        <v>24</v>
      </c>
      <c r="C1" t="s">
        <v>25</v>
      </c>
    </row>
    <row r="2" spans="1:3" x14ac:dyDescent="0.15">
      <c r="A2">
        <v>1</v>
      </c>
      <c r="B2" t="s">
        <v>26</v>
      </c>
      <c r="C2" t="s">
        <v>39</v>
      </c>
    </row>
    <row r="3" spans="1:3" x14ac:dyDescent="0.15">
      <c r="A3">
        <v>2</v>
      </c>
      <c r="B3" t="s">
        <v>27</v>
      </c>
      <c r="C3" t="s">
        <v>40</v>
      </c>
    </row>
    <row r="4" spans="1:3" x14ac:dyDescent="0.15">
      <c r="A4">
        <v>3</v>
      </c>
      <c r="B4" t="s">
        <v>199</v>
      </c>
      <c r="C4" t="s">
        <v>41</v>
      </c>
    </row>
    <row r="5" spans="1:3" x14ac:dyDescent="0.15">
      <c r="A5">
        <v>4</v>
      </c>
      <c r="B5" t="s">
        <v>8</v>
      </c>
      <c r="C5" t="s">
        <v>42</v>
      </c>
    </row>
    <row r="6" spans="1:3" x14ac:dyDescent="0.15">
      <c r="A6">
        <v>5</v>
      </c>
      <c r="B6" t="s">
        <v>200</v>
      </c>
      <c r="C6" t="s">
        <v>43</v>
      </c>
    </row>
    <row r="7" spans="1:3" x14ac:dyDescent="0.15">
      <c r="A7">
        <v>6</v>
      </c>
      <c r="B7" t="s">
        <v>28</v>
      </c>
      <c r="C7" t="s">
        <v>44</v>
      </c>
    </row>
    <row r="8" spans="1:3" x14ac:dyDescent="0.15">
      <c r="A8">
        <v>7</v>
      </c>
      <c r="B8" t="s">
        <v>201</v>
      </c>
      <c r="C8" t="s">
        <v>45</v>
      </c>
    </row>
    <row r="9" spans="1:3" x14ac:dyDescent="0.15">
      <c r="A9">
        <v>8</v>
      </c>
      <c r="B9" t="s">
        <v>202</v>
      </c>
      <c r="C9" t="s">
        <v>46</v>
      </c>
    </row>
    <row r="10" spans="1:3" x14ac:dyDescent="0.15">
      <c r="A10">
        <v>9</v>
      </c>
      <c r="B10" t="s">
        <v>203</v>
      </c>
      <c r="C10" t="s">
        <v>47</v>
      </c>
    </row>
    <row r="11" spans="1:3" x14ac:dyDescent="0.15">
      <c r="A11">
        <v>10</v>
      </c>
      <c r="B11" t="s">
        <v>204</v>
      </c>
      <c r="C11" t="s">
        <v>48</v>
      </c>
    </row>
    <row r="12" spans="1:3" x14ac:dyDescent="0.15">
      <c r="A12">
        <v>11</v>
      </c>
      <c r="B12" t="s">
        <v>29</v>
      </c>
      <c r="C12" t="s">
        <v>49</v>
      </c>
    </row>
    <row r="13" spans="1:3" x14ac:dyDescent="0.15">
      <c r="A13">
        <v>12</v>
      </c>
      <c r="B13" t="s">
        <v>205</v>
      </c>
      <c r="C13" t="s">
        <v>50</v>
      </c>
    </row>
  </sheetData>
  <phoneticPr fontId="1" type="noConversion"/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CSV">
                <anchor moveWithCells="1" sizeWithCells="1">
                  <from>
                    <xdr:col>5</xdr:col>
                    <xdr:colOff>304800</xdr:colOff>
                    <xdr:row>2</xdr:row>
                    <xdr:rowOff>28575</xdr:rowOff>
                  </from>
                  <to>
                    <xdr:col>6</xdr:col>
                    <xdr:colOff>609600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9"/>
  <sheetViews>
    <sheetView workbookViewId="0">
      <selection activeCell="C19" sqref="C19"/>
    </sheetView>
  </sheetViews>
  <sheetFormatPr defaultRowHeight="13.5" x14ac:dyDescent="0.15"/>
  <cols>
    <col min="1" max="1" width="18.25" customWidth="1"/>
    <col min="2" max="2" width="12.5" customWidth="1"/>
    <col min="3" max="3" width="13.625" customWidth="1"/>
    <col min="16" max="16" width="22.375" customWidth="1"/>
  </cols>
  <sheetData>
    <row r="1" spans="1:3" x14ac:dyDescent="0.15">
      <c r="A1" t="s">
        <v>114</v>
      </c>
      <c r="B1" t="s">
        <v>113</v>
      </c>
      <c r="C1" t="s">
        <v>21</v>
      </c>
    </row>
    <row r="2" spans="1:3" x14ac:dyDescent="0.15">
      <c r="A2" t="s">
        <v>115</v>
      </c>
      <c r="B2" t="s">
        <v>66</v>
      </c>
      <c r="C2" t="s">
        <v>212</v>
      </c>
    </row>
    <row r="3" spans="1:3" x14ac:dyDescent="0.15">
      <c r="A3" t="s">
        <v>119</v>
      </c>
      <c r="B3" t="s">
        <v>217</v>
      </c>
      <c r="C3" t="s">
        <v>213</v>
      </c>
    </row>
    <row r="4" spans="1:3" x14ac:dyDescent="0.15">
      <c r="A4" t="s">
        <v>120</v>
      </c>
      <c r="B4" t="s">
        <v>218</v>
      </c>
      <c r="C4" t="s">
        <v>34</v>
      </c>
    </row>
    <row r="5" spans="1:3" x14ac:dyDescent="0.15">
      <c r="A5" t="s">
        <v>121</v>
      </c>
      <c r="B5" t="s">
        <v>219</v>
      </c>
      <c r="C5" t="s">
        <v>214</v>
      </c>
    </row>
    <row r="6" spans="1:3" x14ac:dyDescent="0.15">
      <c r="A6" t="s">
        <v>122</v>
      </c>
      <c r="B6" t="s">
        <v>220</v>
      </c>
      <c r="C6" t="s">
        <v>215</v>
      </c>
    </row>
    <row r="7" spans="1:3" x14ac:dyDescent="0.15">
      <c r="A7" t="s">
        <v>123</v>
      </c>
      <c r="B7" t="s">
        <v>221</v>
      </c>
      <c r="C7" t="s">
        <v>37</v>
      </c>
    </row>
    <row r="8" spans="1:3" x14ac:dyDescent="0.15">
      <c r="A8" t="s">
        <v>124</v>
      </c>
      <c r="B8" t="s">
        <v>222</v>
      </c>
      <c r="C8" t="s">
        <v>38</v>
      </c>
    </row>
    <row r="9" spans="1:3" x14ac:dyDescent="0.15">
      <c r="A9" t="s">
        <v>125</v>
      </c>
      <c r="B9" t="s">
        <v>223</v>
      </c>
      <c r="C9" t="s">
        <v>35</v>
      </c>
    </row>
    <row r="10" spans="1:3" x14ac:dyDescent="0.15">
      <c r="A10" t="s">
        <v>126</v>
      </c>
      <c r="B10" t="s">
        <v>224</v>
      </c>
      <c r="C10" t="s">
        <v>34</v>
      </c>
    </row>
    <row r="11" spans="1:3" x14ac:dyDescent="0.15">
      <c r="A11" t="s">
        <v>127</v>
      </c>
      <c r="B11" t="s">
        <v>225</v>
      </c>
      <c r="C11" t="s">
        <v>37</v>
      </c>
    </row>
    <row r="12" spans="1:3" x14ac:dyDescent="0.15">
      <c r="A12" t="s">
        <v>128</v>
      </c>
      <c r="B12" t="s">
        <v>226</v>
      </c>
      <c r="C12" t="s">
        <v>209</v>
      </c>
    </row>
    <row r="13" spans="1:3" x14ac:dyDescent="0.15">
      <c r="A13" t="s">
        <v>129</v>
      </c>
      <c r="B13" t="s">
        <v>227</v>
      </c>
      <c r="C13" t="s">
        <v>38</v>
      </c>
    </row>
    <row r="14" spans="1:3" x14ac:dyDescent="0.15">
      <c r="A14" t="s">
        <v>130</v>
      </c>
      <c r="B14" t="s">
        <v>228</v>
      </c>
      <c r="C14" t="s">
        <v>35</v>
      </c>
    </row>
    <row r="15" spans="1:3" x14ac:dyDescent="0.15">
      <c r="A15" t="s">
        <v>131</v>
      </c>
      <c r="B15" t="s">
        <v>230</v>
      </c>
      <c r="C15" t="s">
        <v>37</v>
      </c>
    </row>
    <row r="16" spans="1:3" x14ac:dyDescent="0.15">
      <c r="A16" t="s">
        <v>132</v>
      </c>
      <c r="B16" t="s">
        <v>229</v>
      </c>
      <c r="C16" t="s">
        <v>37</v>
      </c>
    </row>
    <row r="17" spans="1:3" x14ac:dyDescent="0.15">
      <c r="A17" t="s">
        <v>133</v>
      </c>
      <c r="B17" t="s">
        <v>231</v>
      </c>
      <c r="C17" t="s">
        <v>37</v>
      </c>
    </row>
    <row r="18" spans="1:3" x14ac:dyDescent="0.15">
      <c r="A18" t="s">
        <v>134</v>
      </c>
      <c r="B18" t="s">
        <v>232</v>
      </c>
      <c r="C18" t="s">
        <v>208</v>
      </c>
    </row>
    <row r="19" spans="1:3" x14ac:dyDescent="0.15">
      <c r="A19" t="s">
        <v>136</v>
      </c>
      <c r="B19" t="s">
        <v>233</v>
      </c>
      <c r="C19" t="s">
        <v>206</v>
      </c>
    </row>
    <row r="20" spans="1:3" x14ac:dyDescent="0.15">
      <c r="A20" t="s">
        <v>139</v>
      </c>
      <c r="B20" t="s">
        <v>234</v>
      </c>
      <c r="C20" t="s">
        <v>207</v>
      </c>
    </row>
    <row r="21" spans="1:3" x14ac:dyDescent="0.15">
      <c r="A21" t="s">
        <v>141</v>
      </c>
      <c r="B21" t="s">
        <v>235</v>
      </c>
      <c r="C21" t="s">
        <v>210</v>
      </c>
    </row>
    <row r="22" spans="1:3" x14ac:dyDescent="0.15">
      <c r="A22" t="s">
        <v>142</v>
      </c>
      <c r="B22" t="s">
        <v>236</v>
      </c>
      <c r="C22" t="s">
        <v>116</v>
      </c>
    </row>
    <row r="23" spans="1:3" x14ac:dyDescent="0.15">
      <c r="A23" t="s">
        <v>156</v>
      </c>
      <c r="B23" t="s">
        <v>237</v>
      </c>
      <c r="C23" t="s">
        <v>36</v>
      </c>
    </row>
    <row r="24" spans="1:3" x14ac:dyDescent="0.15">
      <c r="A24" t="s">
        <v>157</v>
      </c>
      <c r="B24" t="s">
        <v>238</v>
      </c>
      <c r="C24" t="s">
        <v>145</v>
      </c>
    </row>
    <row r="25" spans="1:3" x14ac:dyDescent="0.15">
      <c r="A25" t="s">
        <v>176</v>
      </c>
      <c r="B25" t="s">
        <v>239</v>
      </c>
      <c r="C25" t="s">
        <v>116</v>
      </c>
    </row>
    <row r="26" spans="1:3" x14ac:dyDescent="0.15">
      <c r="A26" t="s">
        <v>158</v>
      </c>
      <c r="B26" t="s">
        <v>240</v>
      </c>
      <c r="C26" t="s">
        <v>31</v>
      </c>
    </row>
    <row r="27" spans="1:3" x14ac:dyDescent="0.15">
      <c r="A27" t="s">
        <v>159</v>
      </c>
      <c r="B27" t="s">
        <v>241</v>
      </c>
      <c r="C27" t="s">
        <v>31</v>
      </c>
    </row>
    <row r="28" spans="1:3" x14ac:dyDescent="0.15">
      <c r="A28" t="s">
        <v>161</v>
      </c>
      <c r="B28" t="s">
        <v>242</v>
      </c>
      <c r="C28" t="s">
        <v>137</v>
      </c>
    </row>
    <row r="29" spans="1:3" x14ac:dyDescent="0.15">
      <c r="A29" t="s">
        <v>147</v>
      </c>
      <c r="B29" t="s">
        <v>243</v>
      </c>
      <c r="C29" t="s">
        <v>145</v>
      </c>
    </row>
    <row r="30" spans="1:3" x14ac:dyDescent="0.15">
      <c r="A30" t="s">
        <v>260</v>
      </c>
      <c r="B30" t="s">
        <v>244</v>
      </c>
      <c r="C30" t="s">
        <v>33</v>
      </c>
    </row>
    <row r="31" spans="1:3" x14ac:dyDescent="0.15">
      <c r="A31" t="s">
        <v>152</v>
      </c>
      <c r="B31" t="s">
        <v>245</v>
      </c>
      <c r="C31" t="s">
        <v>32</v>
      </c>
    </row>
    <row r="32" spans="1:3" x14ac:dyDescent="0.15">
      <c r="A32" t="s">
        <v>151</v>
      </c>
      <c r="B32" t="s">
        <v>246</v>
      </c>
      <c r="C32" t="s">
        <v>34</v>
      </c>
    </row>
    <row r="33" spans="1:3" x14ac:dyDescent="0.15">
      <c r="A33" t="s">
        <v>117</v>
      </c>
      <c r="B33" t="s">
        <v>247</v>
      </c>
      <c r="C33" t="s">
        <v>32</v>
      </c>
    </row>
    <row r="34" spans="1:3" x14ac:dyDescent="0.15">
      <c r="A34" t="s">
        <v>154</v>
      </c>
      <c r="B34" t="s">
        <v>153</v>
      </c>
      <c r="C34" t="s">
        <v>34</v>
      </c>
    </row>
    <row r="35" spans="1:3" x14ac:dyDescent="0.15">
      <c r="A35" t="s">
        <v>160</v>
      </c>
      <c r="B35" t="s">
        <v>248</v>
      </c>
      <c r="C35" t="s">
        <v>116</v>
      </c>
    </row>
    <row r="36" spans="1:3" x14ac:dyDescent="0.15">
      <c r="A36" t="s">
        <v>162</v>
      </c>
      <c r="B36" t="s">
        <v>249</v>
      </c>
      <c r="C36" t="s">
        <v>116</v>
      </c>
    </row>
    <row r="37" spans="1:3" x14ac:dyDescent="0.15">
      <c r="A37" t="s">
        <v>168</v>
      </c>
      <c r="B37" t="s">
        <v>250</v>
      </c>
      <c r="C37" t="s">
        <v>33</v>
      </c>
    </row>
    <row r="38" spans="1:3" x14ac:dyDescent="0.15">
      <c r="A38" t="s">
        <v>163</v>
      </c>
      <c r="B38" t="s">
        <v>251</v>
      </c>
      <c r="C38" t="s">
        <v>118</v>
      </c>
    </row>
    <row r="39" spans="1:3" x14ac:dyDescent="0.15">
      <c r="A39" t="s">
        <v>164</v>
      </c>
      <c r="B39" t="s">
        <v>252</v>
      </c>
      <c r="C39" t="s">
        <v>36</v>
      </c>
    </row>
    <row r="40" spans="1:3" x14ac:dyDescent="0.15">
      <c r="A40" t="s">
        <v>166</v>
      </c>
      <c r="B40" t="s">
        <v>165</v>
      </c>
      <c r="C40" t="s">
        <v>37</v>
      </c>
    </row>
    <row r="41" spans="1:3" x14ac:dyDescent="0.15">
      <c r="A41" t="s">
        <v>169</v>
      </c>
      <c r="B41" t="s">
        <v>253</v>
      </c>
      <c r="C41" t="s">
        <v>116</v>
      </c>
    </row>
    <row r="42" spans="1:3" x14ac:dyDescent="0.15">
      <c r="A42" t="s">
        <v>170</v>
      </c>
      <c r="B42" t="s">
        <v>254</v>
      </c>
      <c r="C42" t="s">
        <v>33</v>
      </c>
    </row>
    <row r="43" spans="1:3" x14ac:dyDescent="0.15">
      <c r="A43" t="s">
        <v>171</v>
      </c>
      <c r="B43" t="s">
        <v>47</v>
      </c>
      <c r="C43" t="s">
        <v>37</v>
      </c>
    </row>
    <row r="44" spans="1:3" x14ac:dyDescent="0.15">
      <c r="A44" t="s">
        <v>172</v>
      </c>
      <c r="B44" t="s">
        <v>255</v>
      </c>
      <c r="C44" t="s">
        <v>33</v>
      </c>
    </row>
    <row r="45" spans="1:3" x14ac:dyDescent="0.15">
      <c r="A45" t="s">
        <v>173</v>
      </c>
      <c r="B45" t="s">
        <v>256</v>
      </c>
      <c r="C45" t="s">
        <v>34</v>
      </c>
    </row>
    <row r="46" spans="1:3" x14ac:dyDescent="0.15">
      <c r="A46" t="s">
        <v>177</v>
      </c>
      <c r="B46" t="s">
        <v>257</v>
      </c>
      <c r="C46" t="s">
        <v>33</v>
      </c>
    </row>
    <row r="47" spans="1:3" x14ac:dyDescent="0.15">
      <c r="A47" t="s">
        <v>178</v>
      </c>
      <c r="B47" t="s">
        <v>258</v>
      </c>
      <c r="C47" t="s">
        <v>180</v>
      </c>
    </row>
    <row r="48" spans="1:3" x14ac:dyDescent="0.15">
      <c r="A48" t="s">
        <v>179</v>
      </c>
      <c r="B48" t="s">
        <v>259</v>
      </c>
      <c r="C48" t="s">
        <v>181</v>
      </c>
    </row>
    <row r="49" spans="1:3" x14ac:dyDescent="0.15">
      <c r="A49" t="s">
        <v>182</v>
      </c>
      <c r="B49" t="s">
        <v>102</v>
      </c>
      <c r="C49" t="s">
        <v>116</v>
      </c>
    </row>
    <row r="50" spans="1:3" x14ac:dyDescent="0.15">
      <c r="A50" t="s">
        <v>183</v>
      </c>
      <c r="B50" t="s">
        <v>103</v>
      </c>
      <c r="C50" t="s">
        <v>33</v>
      </c>
    </row>
    <row r="51" spans="1:3" x14ac:dyDescent="0.15">
      <c r="A51" t="s">
        <v>184</v>
      </c>
      <c r="B51" t="s">
        <v>49</v>
      </c>
      <c r="C51" t="s">
        <v>34</v>
      </c>
    </row>
    <row r="52" spans="1:3" x14ac:dyDescent="0.15">
      <c r="A52" t="s">
        <v>185</v>
      </c>
      <c r="B52" t="s">
        <v>104</v>
      </c>
      <c r="C52" t="s">
        <v>211</v>
      </c>
    </row>
    <row r="53" spans="1:3" x14ac:dyDescent="0.15">
      <c r="A53" t="s">
        <v>186</v>
      </c>
      <c r="B53" t="s">
        <v>105</v>
      </c>
      <c r="C53" t="s">
        <v>32</v>
      </c>
    </row>
    <row r="54" spans="1:3" x14ac:dyDescent="0.15">
      <c r="A54" t="s">
        <v>187</v>
      </c>
      <c r="B54" t="s">
        <v>50</v>
      </c>
      <c r="C54" t="s">
        <v>37</v>
      </c>
    </row>
    <row r="55" spans="1:3" x14ac:dyDescent="0.15">
      <c r="A55" t="s">
        <v>188</v>
      </c>
      <c r="B55" t="s">
        <v>107</v>
      </c>
      <c r="C55" t="s">
        <v>116</v>
      </c>
    </row>
    <row r="56" spans="1:3" x14ac:dyDescent="0.15">
      <c r="A56" t="s">
        <v>189</v>
      </c>
      <c r="B56" t="s">
        <v>108</v>
      </c>
      <c r="C56" t="s">
        <v>116</v>
      </c>
    </row>
    <row r="57" spans="1:3" x14ac:dyDescent="0.15">
      <c r="A57" t="s">
        <v>190</v>
      </c>
      <c r="B57" t="s">
        <v>109</v>
      </c>
      <c r="C57" t="s">
        <v>167</v>
      </c>
    </row>
    <row r="58" spans="1:3" x14ac:dyDescent="0.15">
      <c r="A58" t="s">
        <v>191</v>
      </c>
      <c r="B58" t="s">
        <v>110</v>
      </c>
      <c r="C58" t="s">
        <v>33</v>
      </c>
    </row>
    <row r="59" spans="1:3" x14ac:dyDescent="0.15">
      <c r="A59" t="s">
        <v>192</v>
      </c>
      <c r="B59" t="s">
        <v>42</v>
      </c>
      <c r="C59" t="s">
        <v>37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90"/>
  <sheetViews>
    <sheetView zoomScale="115" zoomScaleNormal="115" workbookViewId="0">
      <pane xSplit="1" ySplit="1" topLeftCell="B2" activePane="bottomRight" state="frozenSplit"/>
      <selection pane="topRight" activeCell="K1" sqref="K1"/>
      <selection pane="bottomLeft" activeCell="A12" sqref="A12"/>
      <selection pane="bottomRight" activeCell="L6" sqref="L6"/>
    </sheetView>
  </sheetViews>
  <sheetFormatPr defaultRowHeight="13.5" x14ac:dyDescent="0.15"/>
  <cols>
    <col min="1" max="1" width="3.375" customWidth="1"/>
    <col min="2" max="3" width="8.125" customWidth="1"/>
    <col min="4" max="4" width="10.5" customWidth="1"/>
    <col min="12" max="12" width="30.875" customWidth="1"/>
    <col min="13" max="14" width="15" customWidth="1"/>
    <col min="15" max="17" width="9.125" customWidth="1"/>
    <col min="18" max="20" width="10.125" customWidth="1"/>
    <col min="22" max="24" width="11.625" customWidth="1"/>
    <col min="25" max="25" width="13" customWidth="1"/>
  </cols>
  <sheetData>
    <row r="1" spans="1:25" s="1" customFormat="1" ht="27" x14ac:dyDescent="0.15">
      <c r="A1" s="1" t="s">
        <v>9</v>
      </c>
      <c r="B1" s="1" t="s">
        <v>10</v>
      </c>
      <c r="C1" s="1" t="s">
        <v>11</v>
      </c>
      <c r="D1" s="1" t="s">
        <v>65</v>
      </c>
      <c r="E1" s="1" t="s">
        <v>12</v>
      </c>
      <c r="F1" s="1" t="s">
        <v>21</v>
      </c>
      <c r="G1" s="1" t="s">
        <v>261</v>
      </c>
      <c r="H1" s="1" t="s">
        <v>262</v>
      </c>
      <c r="I1" s="1" t="s">
        <v>263</v>
      </c>
      <c r="J1" s="1" t="s">
        <v>264</v>
      </c>
      <c r="K1" s="1" t="s">
        <v>265</v>
      </c>
      <c r="L1" s="1" t="s">
        <v>51</v>
      </c>
      <c r="M1" s="1" t="s">
        <v>52</v>
      </c>
      <c r="N1" s="1" t="s">
        <v>53</v>
      </c>
      <c r="O1" s="1" t="s">
        <v>55</v>
      </c>
      <c r="P1" s="1" t="s">
        <v>54</v>
      </c>
      <c r="Q1" s="1" t="s">
        <v>58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20</v>
      </c>
    </row>
    <row r="2" spans="1:25" s="6" customFormat="1" x14ac:dyDescent="0.15">
      <c r="A2" s="6">
        <v>1</v>
      </c>
      <c r="B2" s="6">
        <v>0</v>
      </c>
      <c r="C2" s="6">
        <v>1</v>
      </c>
      <c r="D2" s="6" t="s">
        <v>66</v>
      </c>
      <c r="E2" s="6">
        <v>0</v>
      </c>
      <c r="F2" s="6" t="s">
        <v>56</v>
      </c>
      <c r="L2" s="6" t="s">
        <v>216</v>
      </c>
      <c r="M2" s="6" t="s">
        <v>59</v>
      </c>
      <c r="N2" s="6" t="s">
        <v>59</v>
      </c>
      <c r="O2" s="6">
        <v>1</v>
      </c>
      <c r="P2" s="6" t="s">
        <v>60</v>
      </c>
      <c r="Q2" s="6" t="s">
        <v>60</v>
      </c>
      <c r="X2" s="6">
        <v>2</v>
      </c>
    </row>
    <row r="3" spans="1:25" x14ac:dyDescent="0.15">
      <c r="A3">
        <v>2</v>
      </c>
      <c r="B3">
        <v>0</v>
      </c>
      <c r="C3">
        <v>2</v>
      </c>
      <c r="D3" t="s">
        <v>67</v>
      </c>
      <c r="E3">
        <v>0</v>
      </c>
      <c r="F3" t="s">
        <v>57</v>
      </c>
      <c r="L3" s="2" t="s">
        <v>266</v>
      </c>
      <c r="M3" t="s">
        <v>60</v>
      </c>
      <c r="N3" t="s">
        <v>60</v>
      </c>
      <c r="O3">
        <v>3</v>
      </c>
      <c r="P3" t="s">
        <v>60</v>
      </c>
      <c r="Q3" t="s">
        <v>60</v>
      </c>
      <c r="X3">
        <v>3</v>
      </c>
    </row>
    <row r="4" spans="1:25" x14ac:dyDescent="0.15">
      <c r="A4">
        <v>3</v>
      </c>
      <c r="B4">
        <v>0</v>
      </c>
      <c r="C4">
        <v>3</v>
      </c>
      <c r="D4" t="s">
        <v>68</v>
      </c>
      <c r="E4">
        <v>0</v>
      </c>
      <c r="F4" t="s">
        <v>57</v>
      </c>
      <c r="L4" t="s">
        <v>267</v>
      </c>
      <c r="M4" t="s">
        <v>60</v>
      </c>
      <c r="N4" t="s">
        <v>60</v>
      </c>
      <c r="O4">
        <v>5</v>
      </c>
      <c r="P4" t="s">
        <v>60</v>
      </c>
      <c r="Q4" t="s">
        <v>60</v>
      </c>
      <c r="X4">
        <v>4</v>
      </c>
    </row>
    <row r="5" spans="1:25" x14ac:dyDescent="0.15">
      <c r="A5">
        <v>4</v>
      </c>
      <c r="B5">
        <v>0</v>
      </c>
      <c r="C5">
        <v>4</v>
      </c>
      <c r="D5" t="s">
        <v>69</v>
      </c>
      <c r="E5">
        <v>0</v>
      </c>
      <c r="F5" t="s">
        <v>57</v>
      </c>
      <c r="L5" t="s">
        <v>268</v>
      </c>
      <c r="M5" t="s">
        <v>60</v>
      </c>
      <c r="N5" t="s">
        <v>60</v>
      </c>
      <c r="O5">
        <v>8</v>
      </c>
      <c r="P5" t="s">
        <v>60</v>
      </c>
      <c r="Q5" t="s">
        <v>60</v>
      </c>
      <c r="X5">
        <v>5</v>
      </c>
    </row>
    <row r="6" spans="1:25" x14ac:dyDescent="0.15">
      <c r="A6">
        <v>5</v>
      </c>
      <c r="B6">
        <v>0</v>
      </c>
      <c r="C6">
        <v>5</v>
      </c>
      <c r="D6" t="s">
        <v>70</v>
      </c>
      <c r="E6">
        <v>0</v>
      </c>
      <c r="F6" t="s">
        <v>57</v>
      </c>
      <c r="L6" t="s">
        <v>269</v>
      </c>
      <c r="M6" t="s">
        <v>60</v>
      </c>
      <c r="N6" t="s">
        <v>60</v>
      </c>
      <c r="O6">
        <v>5</v>
      </c>
      <c r="P6" t="s">
        <v>60</v>
      </c>
      <c r="Q6" t="s">
        <v>60</v>
      </c>
      <c r="X6">
        <v>6</v>
      </c>
    </row>
    <row r="7" spans="1:25" x14ac:dyDescent="0.15">
      <c r="A7">
        <v>6</v>
      </c>
      <c r="B7">
        <v>0</v>
      </c>
      <c r="C7">
        <v>6</v>
      </c>
      <c r="D7" t="s">
        <v>71</v>
      </c>
      <c r="E7">
        <v>0</v>
      </c>
      <c r="F7" t="s">
        <v>57</v>
      </c>
      <c r="L7" t="s">
        <v>270</v>
      </c>
      <c r="M7" t="s">
        <v>60</v>
      </c>
      <c r="N7" t="s">
        <v>60</v>
      </c>
      <c r="O7">
        <v>8</v>
      </c>
      <c r="P7" t="s">
        <v>60</v>
      </c>
      <c r="Q7" t="s">
        <v>60</v>
      </c>
      <c r="X7">
        <v>7</v>
      </c>
    </row>
    <row r="8" spans="1:25" s="5" customFormat="1" x14ac:dyDescent="0.15">
      <c r="A8" s="5">
        <v>7</v>
      </c>
      <c r="B8" s="5">
        <v>0</v>
      </c>
      <c r="C8" s="5">
        <v>7</v>
      </c>
      <c r="D8" s="5" t="s">
        <v>72</v>
      </c>
      <c r="E8" s="5">
        <v>0</v>
      </c>
      <c r="F8" s="5" t="s">
        <v>194</v>
      </c>
      <c r="L8" s="5" t="s">
        <v>195</v>
      </c>
      <c r="M8" s="5" t="s">
        <v>196</v>
      </c>
      <c r="N8" s="5" t="s">
        <v>196</v>
      </c>
      <c r="O8" s="5">
        <v>8</v>
      </c>
      <c r="P8" s="5" t="s">
        <v>60</v>
      </c>
      <c r="Q8" s="5" t="s">
        <v>60</v>
      </c>
      <c r="X8" s="5" t="s">
        <v>60</v>
      </c>
    </row>
    <row r="9" spans="1:25" s="6" customFormat="1" x14ac:dyDescent="0.15">
      <c r="A9" s="6">
        <v>8</v>
      </c>
      <c r="B9" s="6">
        <v>1</v>
      </c>
      <c r="C9" s="6">
        <v>1</v>
      </c>
      <c r="D9" s="6" t="s">
        <v>73</v>
      </c>
      <c r="E9" s="6">
        <v>0</v>
      </c>
      <c r="F9" s="6" t="s">
        <v>23</v>
      </c>
      <c r="L9" s="6" t="s">
        <v>135</v>
      </c>
      <c r="M9" s="6" t="s">
        <v>271</v>
      </c>
      <c r="N9" s="6" t="s">
        <v>272</v>
      </c>
      <c r="O9" s="6">
        <v>1</v>
      </c>
      <c r="P9" s="6">
        <v>2</v>
      </c>
      <c r="Q9" s="6">
        <v>3</v>
      </c>
      <c r="X9" s="6">
        <v>9</v>
      </c>
    </row>
    <row r="10" spans="1:25" x14ac:dyDescent="0.15">
      <c r="A10">
        <v>9</v>
      </c>
      <c r="B10">
        <v>1</v>
      </c>
      <c r="C10">
        <v>2</v>
      </c>
      <c r="D10" t="s">
        <v>74</v>
      </c>
      <c r="E10">
        <v>0</v>
      </c>
      <c r="F10" t="s">
        <v>23</v>
      </c>
      <c r="L10" t="s">
        <v>138</v>
      </c>
      <c r="M10" t="s">
        <v>273</v>
      </c>
      <c r="N10" t="s">
        <v>274</v>
      </c>
      <c r="O10">
        <v>1</v>
      </c>
      <c r="P10">
        <v>2</v>
      </c>
      <c r="Q10">
        <v>3</v>
      </c>
      <c r="X10">
        <v>10</v>
      </c>
    </row>
    <row r="11" spans="1:25" x14ac:dyDescent="0.15">
      <c r="A11">
        <v>10</v>
      </c>
      <c r="B11">
        <v>1</v>
      </c>
      <c r="C11">
        <v>3</v>
      </c>
      <c r="D11" t="s">
        <v>75</v>
      </c>
      <c r="E11">
        <v>0</v>
      </c>
      <c r="F11" t="s">
        <v>23</v>
      </c>
      <c r="L11" t="s">
        <v>140</v>
      </c>
      <c r="M11" t="s">
        <v>275</v>
      </c>
      <c r="N11" t="s">
        <v>276</v>
      </c>
      <c r="O11">
        <v>1</v>
      </c>
      <c r="P11">
        <v>2</v>
      </c>
      <c r="Q11">
        <v>3</v>
      </c>
      <c r="X11">
        <v>11</v>
      </c>
    </row>
    <row r="12" spans="1:25" x14ac:dyDescent="0.15">
      <c r="A12">
        <v>11</v>
      </c>
      <c r="B12">
        <v>1</v>
      </c>
      <c r="C12">
        <v>4</v>
      </c>
      <c r="D12" t="s">
        <v>76</v>
      </c>
      <c r="E12">
        <v>0</v>
      </c>
      <c r="F12" t="s">
        <v>23</v>
      </c>
      <c r="L12" t="s">
        <v>143</v>
      </c>
      <c r="M12" t="s">
        <v>277</v>
      </c>
      <c r="N12" t="s">
        <v>278</v>
      </c>
      <c r="O12">
        <v>1</v>
      </c>
      <c r="P12">
        <v>2</v>
      </c>
      <c r="Q12">
        <v>3</v>
      </c>
      <c r="X12">
        <v>12</v>
      </c>
    </row>
    <row r="13" spans="1:25" s="5" customFormat="1" x14ac:dyDescent="0.15">
      <c r="A13" s="5">
        <v>12</v>
      </c>
      <c r="B13" s="5">
        <v>1</v>
      </c>
      <c r="C13" s="5">
        <v>5</v>
      </c>
      <c r="D13" s="5" t="s">
        <v>77</v>
      </c>
      <c r="E13" s="5">
        <v>0</v>
      </c>
      <c r="F13" s="5" t="s">
        <v>23</v>
      </c>
      <c r="L13" s="5" t="s">
        <v>60</v>
      </c>
      <c r="M13" s="5" t="s">
        <v>60</v>
      </c>
      <c r="N13" s="5" t="s">
        <v>60</v>
      </c>
      <c r="O13" s="5">
        <v>1</v>
      </c>
      <c r="P13" s="5">
        <v>2</v>
      </c>
      <c r="Q13" s="5">
        <v>3</v>
      </c>
      <c r="X13" s="5">
        <v>13</v>
      </c>
    </row>
    <row r="14" spans="1:25" x14ac:dyDescent="0.15">
      <c r="A14">
        <v>13</v>
      </c>
      <c r="B14">
        <v>1</v>
      </c>
      <c r="C14">
        <v>6</v>
      </c>
      <c r="D14" t="s">
        <v>78</v>
      </c>
      <c r="E14">
        <v>0</v>
      </c>
      <c r="F14" t="s">
        <v>23</v>
      </c>
      <c r="L14" t="s">
        <v>279</v>
      </c>
      <c r="M14" t="s">
        <v>280</v>
      </c>
      <c r="N14" t="s">
        <v>281</v>
      </c>
      <c r="O14">
        <v>1</v>
      </c>
      <c r="P14">
        <v>2</v>
      </c>
      <c r="Q14">
        <v>3</v>
      </c>
      <c r="X14">
        <v>14</v>
      </c>
    </row>
    <row r="15" spans="1:25" s="5" customFormat="1" x14ac:dyDescent="0.15">
      <c r="A15" s="5">
        <v>14</v>
      </c>
      <c r="B15" s="5">
        <v>1</v>
      </c>
      <c r="C15" s="5">
        <v>7</v>
      </c>
      <c r="D15" s="5" t="s">
        <v>79</v>
      </c>
      <c r="E15" s="5">
        <v>0</v>
      </c>
      <c r="F15" s="5" t="s">
        <v>63</v>
      </c>
      <c r="L15" s="5" t="s">
        <v>144</v>
      </c>
      <c r="M15" s="5" t="s">
        <v>282</v>
      </c>
      <c r="N15" s="5" t="s">
        <v>283</v>
      </c>
      <c r="O15" s="5">
        <v>1</v>
      </c>
      <c r="P15" s="5">
        <v>2</v>
      </c>
      <c r="Q15" s="5">
        <v>3</v>
      </c>
      <c r="W15" s="5">
        <v>15</v>
      </c>
      <c r="X15" s="5" t="s">
        <v>193</v>
      </c>
    </row>
    <row r="16" spans="1:25" s="4" customFormat="1" x14ac:dyDescent="0.15">
      <c r="A16" s="4">
        <v>15</v>
      </c>
      <c r="B16" s="4">
        <v>1</v>
      </c>
      <c r="C16" s="4">
        <v>8</v>
      </c>
      <c r="D16" s="4" t="s">
        <v>79</v>
      </c>
      <c r="E16" s="4">
        <v>0</v>
      </c>
      <c r="F16" s="4" t="s">
        <v>62</v>
      </c>
      <c r="L16" s="4" t="s">
        <v>284</v>
      </c>
      <c r="M16" s="4" t="s">
        <v>285</v>
      </c>
      <c r="N16" s="4" t="s">
        <v>286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 x14ac:dyDescent="0.15">
      <c r="A17" s="4">
        <v>16</v>
      </c>
      <c r="B17" s="4">
        <v>1</v>
      </c>
      <c r="C17" s="4">
        <v>9</v>
      </c>
      <c r="D17" s="4" t="s">
        <v>79</v>
      </c>
      <c r="E17" s="4">
        <v>0</v>
      </c>
      <c r="F17" s="4" t="s">
        <v>22</v>
      </c>
      <c r="L17" s="4" t="s">
        <v>287</v>
      </c>
      <c r="M17" s="4" t="s">
        <v>288</v>
      </c>
      <c r="N17" s="4" t="s">
        <v>289</v>
      </c>
      <c r="O17" s="4">
        <v>3</v>
      </c>
      <c r="P17" s="4">
        <v>5</v>
      </c>
      <c r="Q17" s="4">
        <v>6</v>
      </c>
      <c r="X17" s="4" t="s">
        <v>193</v>
      </c>
    </row>
    <row r="18" spans="1:24" s="6" customFormat="1" x14ac:dyDescent="0.15">
      <c r="A18" s="6">
        <v>17</v>
      </c>
      <c r="B18" s="6">
        <v>2</v>
      </c>
      <c r="C18" s="6">
        <v>1</v>
      </c>
      <c r="D18" s="6" t="s">
        <v>80</v>
      </c>
      <c r="E18" s="6">
        <v>0</v>
      </c>
      <c r="F18" s="6" t="s">
        <v>22</v>
      </c>
      <c r="L18" s="6" t="s">
        <v>146</v>
      </c>
      <c r="M18" s="6" t="s">
        <v>290</v>
      </c>
      <c r="N18" s="6" t="s">
        <v>291</v>
      </c>
      <c r="O18" s="6">
        <v>1</v>
      </c>
      <c r="P18" s="6">
        <v>2</v>
      </c>
      <c r="Q18" s="6">
        <v>4</v>
      </c>
      <c r="X18" s="6">
        <v>18</v>
      </c>
    </row>
    <row r="19" spans="1:24" x14ac:dyDescent="0.15">
      <c r="A19">
        <v>18</v>
      </c>
      <c r="B19">
        <v>2</v>
      </c>
      <c r="C19">
        <v>2</v>
      </c>
      <c r="D19" t="s">
        <v>80</v>
      </c>
      <c r="E19">
        <v>0</v>
      </c>
      <c r="F19" t="s">
        <v>22</v>
      </c>
      <c r="L19" t="s">
        <v>292</v>
      </c>
      <c r="M19" t="s">
        <v>293</v>
      </c>
      <c r="N19" t="s">
        <v>294</v>
      </c>
      <c r="O19">
        <v>1</v>
      </c>
      <c r="P19">
        <v>2</v>
      </c>
      <c r="Q19">
        <v>4</v>
      </c>
      <c r="X19">
        <v>19</v>
      </c>
    </row>
    <row r="20" spans="1:24" x14ac:dyDescent="0.15">
      <c r="A20">
        <v>19</v>
      </c>
      <c r="B20">
        <v>2</v>
      </c>
      <c r="C20">
        <v>3</v>
      </c>
      <c r="D20" t="s">
        <v>81</v>
      </c>
      <c r="E20">
        <v>3</v>
      </c>
      <c r="F20" t="s">
        <v>22</v>
      </c>
      <c r="L20" t="s">
        <v>295</v>
      </c>
      <c r="M20" t="s">
        <v>296</v>
      </c>
      <c r="N20" t="s">
        <v>297</v>
      </c>
      <c r="O20">
        <v>1</v>
      </c>
      <c r="P20">
        <v>2</v>
      </c>
      <c r="Q20">
        <v>4</v>
      </c>
      <c r="X20">
        <v>20</v>
      </c>
    </row>
    <row r="21" spans="1:24" x14ac:dyDescent="0.15">
      <c r="A21">
        <v>20</v>
      </c>
      <c r="B21">
        <v>2</v>
      </c>
      <c r="C21">
        <v>4</v>
      </c>
      <c r="D21" t="s">
        <v>82</v>
      </c>
      <c r="E21">
        <v>3</v>
      </c>
      <c r="F21" t="s">
        <v>22</v>
      </c>
      <c r="L21" t="s">
        <v>149</v>
      </c>
      <c r="M21" t="s">
        <v>298</v>
      </c>
      <c r="N21" t="s">
        <v>299</v>
      </c>
      <c r="O21">
        <v>1</v>
      </c>
      <c r="P21">
        <v>2</v>
      </c>
      <c r="Q21">
        <v>4</v>
      </c>
      <c r="X21">
        <v>21</v>
      </c>
    </row>
    <row r="22" spans="1:24" x14ac:dyDescent="0.15">
      <c r="A22">
        <v>21</v>
      </c>
      <c r="B22">
        <v>2</v>
      </c>
      <c r="C22">
        <v>5</v>
      </c>
      <c r="D22" t="s">
        <v>83</v>
      </c>
      <c r="E22">
        <v>3</v>
      </c>
      <c r="F22" t="s">
        <v>22</v>
      </c>
      <c r="L22" t="s">
        <v>150</v>
      </c>
      <c r="M22" t="s">
        <v>300</v>
      </c>
      <c r="N22" t="s">
        <v>301</v>
      </c>
      <c r="O22">
        <v>1</v>
      </c>
      <c r="P22">
        <v>2</v>
      </c>
      <c r="Q22">
        <v>4</v>
      </c>
      <c r="X22">
        <v>22</v>
      </c>
    </row>
    <row r="23" spans="1:24" s="5" customFormat="1" x14ac:dyDescent="0.15">
      <c r="A23" s="5">
        <v>22</v>
      </c>
      <c r="B23" s="5">
        <v>2</v>
      </c>
      <c r="C23" s="5">
        <v>6</v>
      </c>
      <c r="D23" s="5" t="s">
        <v>84</v>
      </c>
      <c r="E23" s="5">
        <v>0</v>
      </c>
      <c r="F23" s="5" t="s">
        <v>22</v>
      </c>
      <c r="L23" s="5" t="s">
        <v>148</v>
      </c>
      <c r="M23" s="5" t="s">
        <v>302</v>
      </c>
      <c r="N23" s="5" t="s">
        <v>303</v>
      </c>
      <c r="O23" s="5">
        <v>1</v>
      </c>
      <c r="P23" s="5">
        <v>2</v>
      </c>
      <c r="Q23" s="5">
        <v>6</v>
      </c>
      <c r="X23" s="5">
        <v>23</v>
      </c>
    </row>
    <row r="24" spans="1:24" x14ac:dyDescent="0.15">
      <c r="A24">
        <v>23</v>
      </c>
      <c r="B24">
        <v>2</v>
      </c>
      <c r="C24">
        <v>7</v>
      </c>
      <c r="D24" t="s">
        <v>85</v>
      </c>
      <c r="E24">
        <v>0</v>
      </c>
      <c r="F24" t="s">
        <v>22</v>
      </c>
      <c r="L24" t="s">
        <v>304</v>
      </c>
      <c r="M24" t="s">
        <v>305</v>
      </c>
      <c r="N24" t="s">
        <v>306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 x14ac:dyDescent="0.15">
      <c r="A25">
        <v>24</v>
      </c>
      <c r="B25">
        <v>2</v>
      </c>
      <c r="C25">
        <v>8</v>
      </c>
      <c r="D25" t="s">
        <v>85</v>
      </c>
      <c r="E25">
        <v>0</v>
      </c>
      <c r="F25" t="s">
        <v>22</v>
      </c>
      <c r="L25" t="s">
        <v>307</v>
      </c>
      <c r="M25" t="s">
        <v>308</v>
      </c>
      <c r="N25" t="s">
        <v>309</v>
      </c>
      <c r="O25">
        <v>2</v>
      </c>
      <c r="P25">
        <v>3</v>
      </c>
      <c r="Q25">
        <v>4</v>
      </c>
      <c r="X25">
        <v>25</v>
      </c>
    </row>
    <row r="26" spans="1:24" x14ac:dyDescent="0.15">
      <c r="A26">
        <v>25</v>
      </c>
      <c r="B26">
        <v>2</v>
      </c>
      <c r="C26">
        <v>9</v>
      </c>
      <c r="D26" t="s">
        <v>85</v>
      </c>
      <c r="E26">
        <v>0</v>
      </c>
      <c r="F26" t="s">
        <v>22</v>
      </c>
      <c r="L26" t="s">
        <v>310</v>
      </c>
      <c r="M26" t="s">
        <v>311</v>
      </c>
      <c r="N26" t="s">
        <v>312</v>
      </c>
      <c r="O26">
        <v>2</v>
      </c>
      <c r="P26">
        <v>3</v>
      </c>
      <c r="Q26">
        <v>4</v>
      </c>
      <c r="X26">
        <v>26</v>
      </c>
    </row>
    <row r="27" spans="1:24" s="5" customFormat="1" x14ac:dyDescent="0.15">
      <c r="A27" s="5">
        <v>26</v>
      </c>
      <c r="B27" s="5">
        <v>2</v>
      </c>
      <c r="C27" s="5">
        <v>10</v>
      </c>
      <c r="D27" s="5" t="s">
        <v>79</v>
      </c>
      <c r="E27" s="5">
        <v>0</v>
      </c>
      <c r="F27" s="5" t="s">
        <v>22</v>
      </c>
      <c r="L27" s="5" t="s">
        <v>155</v>
      </c>
      <c r="M27" s="5" t="s">
        <v>313</v>
      </c>
      <c r="N27" s="5" t="s">
        <v>314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 x14ac:dyDescent="0.15">
      <c r="A28" s="5">
        <v>27</v>
      </c>
      <c r="B28" s="5">
        <v>2</v>
      </c>
      <c r="C28" s="5">
        <v>11</v>
      </c>
      <c r="D28" s="5" t="s">
        <v>40</v>
      </c>
      <c r="E28" s="5">
        <v>3</v>
      </c>
      <c r="F28" s="5" t="s">
        <v>22</v>
      </c>
      <c r="L28" s="5" t="s">
        <v>174</v>
      </c>
      <c r="M28" s="5" t="s">
        <v>315</v>
      </c>
      <c r="N28" s="5" t="s">
        <v>316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 x14ac:dyDescent="0.15">
      <c r="A29" s="5">
        <v>28</v>
      </c>
      <c r="B29" s="5">
        <v>2</v>
      </c>
      <c r="C29" s="5">
        <v>12</v>
      </c>
      <c r="D29" s="5" t="s">
        <v>86</v>
      </c>
      <c r="E29" s="5">
        <v>0</v>
      </c>
      <c r="F29" s="5" t="s">
        <v>22</v>
      </c>
      <c r="L29" s="5" t="s">
        <v>317</v>
      </c>
      <c r="M29" s="5" t="s">
        <v>318</v>
      </c>
      <c r="N29" s="5" t="s">
        <v>319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 x14ac:dyDescent="0.15">
      <c r="A30" s="5">
        <v>29</v>
      </c>
      <c r="B30" s="5">
        <v>2</v>
      </c>
      <c r="C30" s="5">
        <v>13</v>
      </c>
      <c r="D30" s="5" t="s">
        <v>87</v>
      </c>
      <c r="E30" s="5">
        <v>3</v>
      </c>
      <c r="F30" s="5" t="s">
        <v>64</v>
      </c>
      <c r="L30" s="5" t="s">
        <v>175</v>
      </c>
      <c r="M30" s="5" t="s">
        <v>320</v>
      </c>
      <c r="N30" s="5" t="s">
        <v>321</v>
      </c>
      <c r="O30" s="5">
        <v>2</v>
      </c>
      <c r="P30" s="5">
        <v>3</v>
      </c>
      <c r="Q30" s="5">
        <v>4</v>
      </c>
      <c r="X30" s="5" t="s">
        <v>193</v>
      </c>
    </row>
    <row r="31" spans="1:24" s="4" customFormat="1" x14ac:dyDescent="0.15">
      <c r="A31" s="4">
        <v>30</v>
      </c>
      <c r="B31" s="4">
        <v>2</v>
      </c>
      <c r="C31" s="4">
        <v>14</v>
      </c>
      <c r="D31" s="4" t="s">
        <v>88</v>
      </c>
      <c r="E31" s="4">
        <v>0</v>
      </c>
      <c r="F31" s="4" t="s">
        <v>62</v>
      </c>
      <c r="L31" s="4" t="s">
        <v>322</v>
      </c>
      <c r="M31" s="4" t="s">
        <v>323</v>
      </c>
      <c r="N31" s="4" t="s">
        <v>324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 x14ac:dyDescent="0.15">
      <c r="A32" s="4">
        <v>31</v>
      </c>
      <c r="B32" s="4">
        <v>2</v>
      </c>
      <c r="C32" s="4">
        <v>15</v>
      </c>
      <c r="D32" s="4" t="s">
        <v>88</v>
      </c>
      <c r="E32" s="4">
        <v>0</v>
      </c>
      <c r="F32" s="4" t="s">
        <v>22</v>
      </c>
      <c r="L32" s="4" t="s">
        <v>325</v>
      </c>
      <c r="M32" s="4" t="s">
        <v>326</v>
      </c>
      <c r="N32" s="4" t="s">
        <v>327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 x14ac:dyDescent="0.15">
      <c r="A33" s="4">
        <v>32</v>
      </c>
      <c r="B33" s="4">
        <v>2</v>
      </c>
      <c r="C33" s="4">
        <v>16</v>
      </c>
      <c r="D33" s="4" t="s">
        <v>88</v>
      </c>
      <c r="E33" s="4">
        <v>0</v>
      </c>
      <c r="F33" s="4" t="s">
        <v>22</v>
      </c>
      <c r="L33" s="4" t="s">
        <v>328</v>
      </c>
      <c r="M33" s="4" t="s">
        <v>329</v>
      </c>
      <c r="N33" s="4" t="s">
        <v>330</v>
      </c>
      <c r="O33" s="4">
        <v>3</v>
      </c>
      <c r="P33" s="4">
        <v>4</v>
      </c>
      <c r="Q33" s="4">
        <v>5</v>
      </c>
      <c r="X33" s="4" t="s">
        <v>193</v>
      </c>
    </row>
    <row r="34" spans="1:24" s="4" customFormat="1" x14ac:dyDescent="0.15">
      <c r="A34" s="4">
        <v>33</v>
      </c>
      <c r="B34" s="4">
        <v>2</v>
      </c>
      <c r="C34" s="4">
        <v>17</v>
      </c>
      <c r="D34" s="4" t="s">
        <v>86</v>
      </c>
      <c r="E34" s="4">
        <v>0</v>
      </c>
      <c r="F34" s="4" t="s">
        <v>62</v>
      </c>
      <c r="L34" s="4" t="s">
        <v>331</v>
      </c>
      <c r="M34" s="4" t="s">
        <v>332</v>
      </c>
      <c r="N34" s="4" t="s">
        <v>333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 x14ac:dyDescent="0.15">
      <c r="A35" s="4">
        <v>34</v>
      </c>
      <c r="B35" s="4">
        <v>2</v>
      </c>
      <c r="C35" s="4">
        <v>18</v>
      </c>
      <c r="D35" s="4" t="s">
        <v>86</v>
      </c>
      <c r="E35" s="4">
        <v>0</v>
      </c>
      <c r="F35" s="4" t="s">
        <v>22</v>
      </c>
      <c r="L35" s="4" t="s">
        <v>334</v>
      </c>
      <c r="M35" s="4" t="s">
        <v>335</v>
      </c>
      <c r="N35" s="4" t="s">
        <v>336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 x14ac:dyDescent="0.15">
      <c r="A36" s="4">
        <v>35</v>
      </c>
      <c r="B36" s="4">
        <v>2</v>
      </c>
      <c r="C36" s="4">
        <v>19</v>
      </c>
      <c r="D36" s="4" t="s">
        <v>86</v>
      </c>
      <c r="E36" s="4">
        <v>0</v>
      </c>
      <c r="F36" s="4" t="s">
        <v>22</v>
      </c>
      <c r="L36" s="4" t="s">
        <v>337</v>
      </c>
      <c r="M36" s="4" t="s">
        <v>338</v>
      </c>
      <c r="O36" s="4">
        <v>3</v>
      </c>
      <c r="P36" s="4">
        <v>4</v>
      </c>
      <c r="Q36" s="4">
        <v>5</v>
      </c>
      <c r="X36" s="4" t="s">
        <v>193</v>
      </c>
    </row>
    <row r="37" spans="1:24" s="6" customFormat="1" x14ac:dyDescent="0.15">
      <c r="A37" s="6">
        <v>36</v>
      </c>
      <c r="B37" s="6">
        <v>3</v>
      </c>
      <c r="C37" s="6">
        <v>1</v>
      </c>
      <c r="D37" s="6" t="s">
        <v>81</v>
      </c>
      <c r="E37" s="6">
        <v>3</v>
      </c>
      <c r="F37" s="6" t="s">
        <v>22</v>
      </c>
      <c r="L37" s="6" t="s">
        <v>339</v>
      </c>
      <c r="M37" s="6" t="s">
        <v>340</v>
      </c>
      <c r="N37" s="6" t="s">
        <v>341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 x14ac:dyDescent="0.15">
      <c r="A38" s="3">
        <v>37</v>
      </c>
      <c r="B38" s="3">
        <v>3</v>
      </c>
      <c r="C38" s="3">
        <v>2</v>
      </c>
      <c r="D38" s="3" t="s">
        <v>82</v>
      </c>
      <c r="E38" s="3">
        <v>3</v>
      </c>
      <c r="F38" s="3" t="s">
        <v>22</v>
      </c>
      <c r="L38" s="3" t="s">
        <v>342</v>
      </c>
      <c r="M38" s="3" t="s">
        <v>343</v>
      </c>
      <c r="N38" s="3" t="s">
        <v>344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 x14ac:dyDescent="0.15">
      <c r="A39" s="3">
        <v>38</v>
      </c>
      <c r="B39" s="3">
        <v>3</v>
      </c>
      <c r="C39" s="3">
        <v>3</v>
      </c>
      <c r="D39" s="3" t="s">
        <v>83</v>
      </c>
      <c r="E39" s="3">
        <v>3</v>
      </c>
      <c r="F39" s="3" t="s">
        <v>22</v>
      </c>
      <c r="L39" s="3" t="s">
        <v>345</v>
      </c>
      <c r="M39" s="3" t="s">
        <v>346</v>
      </c>
      <c r="N39" s="3" t="s">
        <v>347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 x14ac:dyDescent="0.15">
      <c r="A40" s="3">
        <v>39</v>
      </c>
      <c r="B40" s="3">
        <v>3</v>
      </c>
      <c r="C40" s="3">
        <v>4</v>
      </c>
      <c r="D40" s="3" t="s">
        <v>89</v>
      </c>
      <c r="E40" s="3">
        <v>3</v>
      </c>
      <c r="F40" s="3" t="s">
        <v>22</v>
      </c>
      <c r="L40" s="3" t="s">
        <v>348</v>
      </c>
      <c r="M40" s="3" t="s">
        <v>349</v>
      </c>
      <c r="N40" s="3" t="s">
        <v>350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 x14ac:dyDescent="0.15">
      <c r="A41" s="3">
        <v>40</v>
      </c>
      <c r="B41" s="3">
        <v>3</v>
      </c>
      <c r="C41" s="3">
        <v>5</v>
      </c>
      <c r="D41" s="3" t="s">
        <v>90</v>
      </c>
      <c r="E41" s="3">
        <v>3</v>
      </c>
      <c r="F41" s="3" t="s">
        <v>22</v>
      </c>
      <c r="L41" s="3" t="s">
        <v>351</v>
      </c>
      <c r="M41" s="3" t="s">
        <v>352</v>
      </c>
      <c r="N41" s="3" t="s">
        <v>353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 x14ac:dyDescent="0.15">
      <c r="A42" s="3">
        <v>41</v>
      </c>
      <c r="B42" s="3">
        <v>3</v>
      </c>
      <c r="C42" s="3">
        <v>6</v>
      </c>
      <c r="D42" s="3" t="s">
        <v>91</v>
      </c>
      <c r="E42" s="3">
        <v>3</v>
      </c>
      <c r="F42" s="3" t="s">
        <v>22</v>
      </c>
      <c r="L42" s="3" t="s">
        <v>354</v>
      </c>
      <c r="M42" s="3" t="s">
        <v>355</v>
      </c>
      <c r="N42" s="3" t="s">
        <v>356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 x14ac:dyDescent="0.15">
      <c r="A43" s="5">
        <v>42</v>
      </c>
      <c r="B43" s="5">
        <v>3</v>
      </c>
      <c r="C43" s="5">
        <v>7</v>
      </c>
      <c r="D43" s="5" t="s">
        <v>46</v>
      </c>
      <c r="E43" s="5">
        <v>3</v>
      </c>
      <c r="F43" s="5" t="s">
        <v>22</v>
      </c>
      <c r="L43" s="5" t="s">
        <v>357</v>
      </c>
      <c r="M43" s="5" t="s">
        <v>358</v>
      </c>
      <c r="N43" s="5" t="s">
        <v>359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 x14ac:dyDescent="0.15">
      <c r="A44">
        <v>43</v>
      </c>
      <c r="B44">
        <v>3</v>
      </c>
      <c r="C44" s="3">
        <v>8</v>
      </c>
      <c r="D44" t="s">
        <v>92</v>
      </c>
      <c r="E44" s="3">
        <v>3</v>
      </c>
      <c r="F44" t="s">
        <v>111</v>
      </c>
      <c r="L44" t="s">
        <v>360</v>
      </c>
      <c r="M44" t="s">
        <v>361</v>
      </c>
      <c r="N44" t="s">
        <v>362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 x14ac:dyDescent="0.15">
      <c r="A45" s="5">
        <v>44</v>
      </c>
      <c r="B45" s="5">
        <v>3</v>
      </c>
      <c r="C45" s="5">
        <v>9</v>
      </c>
      <c r="D45" s="5" t="s">
        <v>93</v>
      </c>
      <c r="E45" s="5">
        <v>3</v>
      </c>
      <c r="F45" s="5" t="s">
        <v>22</v>
      </c>
      <c r="L45" s="5" t="s">
        <v>363</v>
      </c>
      <c r="M45" s="5" t="s">
        <v>364</v>
      </c>
      <c r="N45" s="5" t="s">
        <v>365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 x14ac:dyDescent="0.15">
      <c r="A46" s="5">
        <v>45</v>
      </c>
      <c r="B46" s="5">
        <v>3</v>
      </c>
      <c r="C46" s="5">
        <v>10</v>
      </c>
      <c r="D46" s="5" t="s">
        <v>86</v>
      </c>
      <c r="E46" s="5">
        <v>0</v>
      </c>
      <c r="F46" s="5" t="s">
        <v>22</v>
      </c>
      <c r="L46" s="5" t="s">
        <v>284</v>
      </c>
      <c r="M46" s="5" t="s">
        <v>366</v>
      </c>
      <c r="N46" s="5" t="s">
        <v>367</v>
      </c>
      <c r="O46" s="5">
        <v>3</v>
      </c>
      <c r="P46" s="5">
        <v>3</v>
      </c>
      <c r="Q46" s="5">
        <v>5</v>
      </c>
      <c r="W46" s="5">
        <v>48</v>
      </c>
      <c r="X46" s="5" t="s">
        <v>193</v>
      </c>
    </row>
    <row r="47" spans="1:24" s="4" customFormat="1" x14ac:dyDescent="0.15">
      <c r="A47" s="4">
        <v>46</v>
      </c>
      <c r="B47" s="4">
        <v>3</v>
      </c>
      <c r="C47" s="4">
        <v>11</v>
      </c>
      <c r="D47" s="4" t="s">
        <v>46</v>
      </c>
      <c r="E47" s="4">
        <v>3</v>
      </c>
      <c r="F47" s="4" t="s">
        <v>62</v>
      </c>
      <c r="L47" s="4" t="s">
        <v>368</v>
      </c>
      <c r="M47" s="4" t="s">
        <v>369</v>
      </c>
      <c r="N47" s="4" t="s">
        <v>370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 x14ac:dyDescent="0.15">
      <c r="A48" s="4">
        <v>47</v>
      </c>
      <c r="B48" s="4">
        <v>3</v>
      </c>
      <c r="C48" s="4">
        <v>12</v>
      </c>
      <c r="D48" s="4" t="s">
        <v>46</v>
      </c>
      <c r="E48" s="4">
        <v>3</v>
      </c>
      <c r="F48" s="4" t="s">
        <v>22</v>
      </c>
      <c r="L48" s="4" t="s">
        <v>371</v>
      </c>
      <c r="M48" s="4" t="s">
        <v>372</v>
      </c>
      <c r="N48" s="4" t="s">
        <v>373</v>
      </c>
      <c r="O48" s="4">
        <v>3</v>
      </c>
      <c r="P48" s="4">
        <v>4</v>
      </c>
      <c r="Q48" s="4">
        <v>5</v>
      </c>
      <c r="X48" s="4" t="s">
        <v>193</v>
      </c>
    </row>
    <row r="49" spans="1:24" s="4" customFormat="1" x14ac:dyDescent="0.15">
      <c r="A49" s="4">
        <v>48</v>
      </c>
      <c r="B49" s="4">
        <v>3</v>
      </c>
      <c r="C49" s="4">
        <v>13</v>
      </c>
      <c r="D49" s="4" t="s">
        <v>86</v>
      </c>
      <c r="E49" s="4">
        <v>0</v>
      </c>
      <c r="F49" s="4" t="s">
        <v>112</v>
      </c>
      <c r="L49" s="4" t="s">
        <v>374</v>
      </c>
      <c r="M49" s="4" t="s">
        <v>375</v>
      </c>
      <c r="N49" s="4" t="s">
        <v>376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 x14ac:dyDescent="0.15">
      <c r="A50" s="4">
        <v>49</v>
      </c>
      <c r="B50" s="4">
        <v>3</v>
      </c>
      <c r="C50" s="4">
        <v>14</v>
      </c>
      <c r="D50" s="4" t="s">
        <v>86</v>
      </c>
      <c r="E50" s="4">
        <v>0</v>
      </c>
      <c r="F50" s="4" t="s">
        <v>22</v>
      </c>
      <c r="L50" s="4" t="s">
        <v>377</v>
      </c>
      <c r="M50" s="4" t="s">
        <v>378</v>
      </c>
      <c r="N50" s="4" t="s">
        <v>379</v>
      </c>
      <c r="O50" s="4">
        <v>3</v>
      </c>
      <c r="P50" s="4">
        <v>4</v>
      </c>
      <c r="Q50" s="4">
        <v>5</v>
      </c>
      <c r="X50" s="4" t="s">
        <v>193</v>
      </c>
    </row>
    <row r="51" spans="1:24" s="6" customFormat="1" x14ac:dyDescent="0.15">
      <c r="A51" s="6">
        <v>50</v>
      </c>
      <c r="B51" s="6">
        <v>4</v>
      </c>
      <c r="C51" s="6">
        <v>1</v>
      </c>
      <c r="D51" s="6" t="s">
        <v>94</v>
      </c>
      <c r="E51" s="6">
        <v>3</v>
      </c>
      <c r="F51" s="6" t="s">
        <v>22</v>
      </c>
      <c r="L51" s="6" t="s">
        <v>380</v>
      </c>
      <c r="M51" s="6" t="s">
        <v>381</v>
      </c>
      <c r="N51" s="6" t="s">
        <v>382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 x14ac:dyDescent="0.15">
      <c r="A52" s="3">
        <v>51</v>
      </c>
      <c r="B52" s="3">
        <v>4</v>
      </c>
      <c r="C52" s="3">
        <v>2</v>
      </c>
      <c r="D52" s="3" t="s">
        <v>90</v>
      </c>
      <c r="E52" s="3">
        <v>3</v>
      </c>
      <c r="F52" s="3" t="s">
        <v>22</v>
      </c>
      <c r="L52" s="3" t="s">
        <v>383</v>
      </c>
      <c r="M52" s="3" t="s">
        <v>384</v>
      </c>
      <c r="N52" s="3" t="s">
        <v>385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 x14ac:dyDescent="0.15">
      <c r="A53" s="3">
        <v>52</v>
      </c>
      <c r="B53" s="3">
        <v>4</v>
      </c>
      <c r="C53" s="3">
        <v>3</v>
      </c>
      <c r="D53" s="3" t="s">
        <v>91</v>
      </c>
      <c r="E53" s="3">
        <v>3</v>
      </c>
      <c r="F53" s="3" t="s">
        <v>22</v>
      </c>
      <c r="L53" s="3" t="s">
        <v>386</v>
      </c>
      <c r="M53" s="3" t="s">
        <v>387</v>
      </c>
      <c r="N53" s="3" t="s">
        <v>388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 x14ac:dyDescent="0.15">
      <c r="A54" s="3">
        <v>53</v>
      </c>
      <c r="B54" s="3">
        <v>4</v>
      </c>
      <c r="C54" s="3">
        <v>4</v>
      </c>
      <c r="D54" s="3" t="s">
        <v>95</v>
      </c>
      <c r="E54" s="3">
        <v>3</v>
      </c>
      <c r="F54" s="3" t="s">
        <v>22</v>
      </c>
      <c r="L54" s="3" t="s">
        <v>389</v>
      </c>
      <c r="M54" s="3" t="s">
        <v>390</v>
      </c>
      <c r="N54" s="3" t="s">
        <v>391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 x14ac:dyDescent="0.15">
      <c r="A55" s="3">
        <v>54</v>
      </c>
      <c r="B55" s="3">
        <v>4</v>
      </c>
      <c r="C55" s="3">
        <v>5</v>
      </c>
      <c r="D55" s="3" t="s">
        <v>96</v>
      </c>
      <c r="E55" s="3">
        <v>3</v>
      </c>
      <c r="F55" s="3" t="s">
        <v>111</v>
      </c>
      <c r="L55" s="3" t="s">
        <v>392</v>
      </c>
      <c r="M55" s="3" t="s">
        <v>393</v>
      </c>
      <c r="N55" s="3" t="s">
        <v>394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 x14ac:dyDescent="0.15">
      <c r="A56" s="5">
        <v>55</v>
      </c>
      <c r="B56" s="5">
        <v>4</v>
      </c>
      <c r="C56" s="5">
        <v>6</v>
      </c>
      <c r="D56" s="5" t="s">
        <v>47</v>
      </c>
      <c r="E56" s="5">
        <v>3</v>
      </c>
      <c r="F56" s="5" t="s">
        <v>22</v>
      </c>
      <c r="L56" s="5" t="s">
        <v>395</v>
      </c>
      <c r="M56" s="5" t="s">
        <v>396</v>
      </c>
      <c r="N56" s="5" t="s">
        <v>397</v>
      </c>
      <c r="O56" s="5">
        <v>3</v>
      </c>
      <c r="P56" s="5">
        <v>4</v>
      </c>
      <c r="Q56" s="5">
        <v>5</v>
      </c>
      <c r="X56" s="5">
        <v>56</v>
      </c>
    </row>
    <row r="57" spans="1:24" x14ac:dyDescent="0.15">
      <c r="A57">
        <v>56</v>
      </c>
      <c r="B57" s="3">
        <v>4</v>
      </c>
      <c r="C57" s="3">
        <v>7</v>
      </c>
      <c r="D57" t="s">
        <v>47</v>
      </c>
      <c r="E57" s="3">
        <v>3</v>
      </c>
      <c r="F57" s="3" t="s">
        <v>22</v>
      </c>
      <c r="G57" s="3"/>
      <c r="H57" s="3"/>
      <c r="I57" s="3"/>
      <c r="J57" s="3"/>
      <c r="K57" s="3"/>
      <c r="L57" s="3" t="s">
        <v>398</v>
      </c>
      <c r="M57" t="s">
        <v>399</v>
      </c>
      <c r="N57" t="s">
        <v>400</v>
      </c>
      <c r="O57" s="3">
        <v>3</v>
      </c>
      <c r="P57" s="3">
        <v>4</v>
      </c>
      <c r="Q57" s="3">
        <v>5</v>
      </c>
      <c r="X57" s="3">
        <v>57</v>
      </c>
    </row>
    <row r="58" spans="1:24" x14ac:dyDescent="0.15">
      <c r="A58">
        <v>57</v>
      </c>
      <c r="B58" s="3">
        <v>4</v>
      </c>
      <c r="C58" s="3">
        <v>8</v>
      </c>
      <c r="D58" t="s">
        <v>97</v>
      </c>
      <c r="E58" s="3">
        <v>3</v>
      </c>
      <c r="F58" s="3" t="s">
        <v>22</v>
      </c>
      <c r="G58" s="3"/>
      <c r="H58" s="3"/>
      <c r="I58" s="3"/>
      <c r="J58" s="3"/>
      <c r="K58" s="3"/>
      <c r="L58" s="3" t="s">
        <v>401</v>
      </c>
      <c r="M58" s="3" t="s">
        <v>402</v>
      </c>
      <c r="N58" s="3" t="s">
        <v>403</v>
      </c>
      <c r="O58" s="3">
        <v>3</v>
      </c>
      <c r="P58" s="3">
        <v>4</v>
      </c>
      <c r="Q58" s="3">
        <v>5</v>
      </c>
      <c r="X58" s="3">
        <v>58</v>
      </c>
    </row>
    <row r="59" spans="1:24" x14ac:dyDescent="0.15">
      <c r="A59">
        <v>58</v>
      </c>
      <c r="B59" s="3">
        <v>4</v>
      </c>
      <c r="C59" s="3">
        <v>9</v>
      </c>
      <c r="D59" t="s">
        <v>97</v>
      </c>
      <c r="E59" s="3">
        <v>3</v>
      </c>
      <c r="F59" s="3" t="s">
        <v>22</v>
      </c>
      <c r="G59" s="3"/>
      <c r="H59" s="3"/>
      <c r="I59" s="3"/>
      <c r="J59" s="3"/>
      <c r="K59" s="3"/>
      <c r="L59" s="3" t="s">
        <v>404</v>
      </c>
      <c r="M59" s="3" t="s">
        <v>405</v>
      </c>
      <c r="N59" s="3" t="s">
        <v>406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 x14ac:dyDescent="0.15">
      <c r="A60" s="5">
        <v>59</v>
      </c>
      <c r="B60" s="5">
        <v>4</v>
      </c>
      <c r="C60" s="5">
        <v>10</v>
      </c>
      <c r="D60" s="5" t="s">
        <v>48</v>
      </c>
      <c r="E60" s="5">
        <v>3</v>
      </c>
      <c r="F60" s="5" t="s">
        <v>22</v>
      </c>
      <c r="L60" s="5" t="s">
        <v>407</v>
      </c>
      <c r="M60" s="5" t="s">
        <v>408</v>
      </c>
      <c r="N60" s="5" t="s">
        <v>409</v>
      </c>
      <c r="O60" s="5">
        <v>3</v>
      </c>
      <c r="P60" s="5">
        <v>4</v>
      </c>
      <c r="Q60" s="5">
        <v>6</v>
      </c>
      <c r="X60" s="5" t="s">
        <v>197</v>
      </c>
    </row>
    <row r="61" spans="1:24" s="6" customFormat="1" x14ac:dyDescent="0.15">
      <c r="A61" s="6">
        <v>60</v>
      </c>
      <c r="B61" s="6">
        <v>5</v>
      </c>
      <c r="C61" s="6">
        <v>1</v>
      </c>
      <c r="D61" s="6" t="s">
        <v>80</v>
      </c>
      <c r="E61" s="6">
        <v>0</v>
      </c>
      <c r="F61" s="6" t="s">
        <v>22</v>
      </c>
      <c r="L61" s="6" t="s">
        <v>410</v>
      </c>
      <c r="M61" s="6" t="s">
        <v>411</v>
      </c>
      <c r="N61" s="6" t="s">
        <v>412</v>
      </c>
      <c r="O61" s="6">
        <v>3</v>
      </c>
      <c r="P61" s="6">
        <v>3</v>
      </c>
      <c r="Q61" s="6">
        <v>4</v>
      </c>
      <c r="X61" s="6">
        <v>61</v>
      </c>
    </row>
    <row r="62" spans="1:24" x14ac:dyDescent="0.15">
      <c r="A62">
        <v>61</v>
      </c>
      <c r="B62" s="3">
        <v>5</v>
      </c>
      <c r="C62" s="3">
        <v>2</v>
      </c>
      <c r="D62" s="3" t="s">
        <v>91</v>
      </c>
      <c r="E62" s="3">
        <v>3</v>
      </c>
      <c r="F62" t="s">
        <v>22</v>
      </c>
      <c r="L62" t="s">
        <v>413</v>
      </c>
      <c r="M62" t="s">
        <v>414</v>
      </c>
      <c r="N62" t="s">
        <v>415</v>
      </c>
      <c r="O62" s="3">
        <v>3</v>
      </c>
      <c r="P62" s="3">
        <v>3</v>
      </c>
      <c r="Q62" s="3">
        <v>4</v>
      </c>
      <c r="X62" s="3">
        <v>62</v>
      </c>
    </row>
    <row r="63" spans="1:24" x14ac:dyDescent="0.15">
      <c r="A63">
        <v>62</v>
      </c>
      <c r="B63" s="3">
        <v>5</v>
      </c>
      <c r="C63" s="3">
        <v>3</v>
      </c>
      <c r="D63" s="3" t="s">
        <v>91</v>
      </c>
      <c r="E63" s="3">
        <v>3</v>
      </c>
      <c r="F63" t="s">
        <v>22</v>
      </c>
      <c r="L63" t="s">
        <v>416</v>
      </c>
      <c r="M63" t="s">
        <v>417</v>
      </c>
      <c r="N63" t="s">
        <v>418</v>
      </c>
      <c r="O63" s="3">
        <v>3</v>
      </c>
      <c r="P63" s="3">
        <v>4</v>
      </c>
      <c r="Q63" s="3">
        <v>5</v>
      </c>
      <c r="X63" s="3">
        <v>63</v>
      </c>
    </row>
    <row r="64" spans="1:24" x14ac:dyDescent="0.15">
      <c r="A64">
        <v>63</v>
      </c>
      <c r="B64" s="3">
        <v>5</v>
      </c>
      <c r="C64" s="3">
        <v>4</v>
      </c>
      <c r="D64" t="s">
        <v>83</v>
      </c>
      <c r="E64" s="3">
        <v>3</v>
      </c>
      <c r="F64" t="s">
        <v>22</v>
      </c>
      <c r="L64" t="s">
        <v>419</v>
      </c>
      <c r="M64" t="s">
        <v>420</v>
      </c>
      <c r="N64" t="s">
        <v>421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 x14ac:dyDescent="0.15">
      <c r="A65" s="5">
        <v>64</v>
      </c>
      <c r="B65" s="5">
        <v>5</v>
      </c>
      <c r="C65" s="5">
        <v>5</v>
      </c>
      <c r="D65" s="5" t="s">
        <v>98</v>
      </c>
      <c r="E65" s="5">
        <v>3</v>
      </c>
      <c r="F65" s="5" t="s">
        <v>22</v>
      </c>
      <c r="L65" s="5" t="s">
        <v>422</v>
      </c>
      <c r="M65" s="5" t="s">
        <v>423</v>
      </c>
      <c r="N65" s="5" t="s">
        <v>424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 x14ac:dyDescent="0.15">
      <c r="A66" s="5">
        <v>65</v>
      </c>
      <c r="B66" s="5">
        <v>5</v>
      </c>
      <c r="C66" s="5">
        <v>6</v>
      </c>
      <c r="D66" s="5" t="s">
        <v>99</v>
      </c>
      <c r="E66" s="5">
        <v>3</v>
      </c>
      <c r="F66" s="5" t="s">
        <v>22</v>
      </c>
      <c r="L66" s="5" t="s">
        <v>425</v>
      </c>
      <c r="M66" s="5" t="s">
        <v>426</v>
      </c>
      <c r="N66" s="5" t="s">
        <v>427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 x14ac:dyDescent="0.15">
      <c r="A67">
        <v>66</v>
      </c>
      <c r="B67" s="3">
        <v>5</v>
      </c>
      <c r="C67" s="3">
        <v>7</v>
      </c>
      <c r="D67" t="s">
        <v>100</v>
      </c>
      <c r="E67" s="3">
        <v>0</v>
      </c>
      <c r="F67" t="s">
        <v>111</v>
      </c>
      <c r="L67" t="s">
        <v>428</v>
      </c>
      <c r="M67" t="s">
        <v>429</v>
      </c>
      <c r="N67" t="s">
        <v>430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 x14ac:dyDescent="0.15">
      <c r="A68" s="5">
        <v>67</v>
      </c>
      <c r="B68" s="5">
        <v>5</v>
      </c>
      <c r="C68" s="5">
        <v>8</v>
      </c>
      <c r="D68" s="5" t="s">
        <v>100</v>
      </c>
      <c r="E68" s="5">
        <v>0</v>
      </c>
      <c r="F68" s="5" t="s">
        <v>22</v>
      </c>
      <c r="L68" s="5" t="s">
        <v>431</v>
      </c>
      <c r="M68" s="5" t="s">
        <v>432</v>
      </c>
      <c r="N68" s="5" t="s">
        <v>433</v>
      </c>
      <c r="O68" s="5">
        <v>4</v>
      </c>
      <c r="P68" s="5">
        <v>5</v>
      </c>
      <c r="Q68" s="5">
        <v>7</v>
      </c>
      <c r="X68" s="5" t="s">
        <v>197</v>
      </c>
    </row>
    <row r="69" spans="1:24" s="4" customFormat="1" x14ac:dyDescent="0.15">
      <c r="A69" s="4">
        <v>68</v>
      </c>
      <c r="B69" s="4">
        <v>5</v>
      </c>
      <c r="C69" s="4">
        <v>9</v>
      </c>
      <c r="D69" s="4" t="s">
        <v>98</v>
      </c>
      <c r="E69" s="4">
        <v>3</v>
      </c>
      <c r="F69" s="4" t="s">
        <v>112</v>
      </c>
      <c r="L69" s="4" t="s">
        <v>434</v>
      </c>
      <c r="M69" s="4" t="s">
        <v>435</v>
      </c>
      <c r="N69" s="4" t="s">
        <v>436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 x14ac:dyDescent="0.15">
      <c r="A70" s="4">
        <v>69</v>
      </c>
      <c r="B70" s="4">
        <v>5</v>
      </c>
      <c r="C70" s="4">
        <v>10</v>
      </c>
      <c r="D70" s="4" t="s">
        <v>98</v>
      </c>
      <c r="E70" s="4">
        <v>3</v>
      </c>
      <c r="F70" s="4" t="s">
        <v>22</v>
      </c>
      <c r="L70" s="4" t="s">
        <v>437</v>
      </c>
      <c r="M70" s="4" t="s">
        <v>438</v>
      </c>
      <c r="N70" s="4" t="s">
        <v>439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 x14ac:dyDescent="0.15">
      <c r="A71" s="4">
        <v>70</v>
      </c>
      <c r="B71" s="4">
        <v>5</v>
      </c>
      <c r="C71" s="4">
        <v>11</v>
      </c>
      <c r="D71" s="4" t="s">
        <v>98</v>
      </c>
      <c r="E71" s="4">
        <v>3</v>
      </c>
      <c r="F71" s="4" t="s">
        <v>22</v>
      </c>
      <c r="L71" s="4" t="s">
        <v>440</v>
      </c>
      <c r="M71" s="4" t="s">
        <v>441</v>
      </c>
      <c r="N71" s="4" t="s">
        <v>442</v>
      </c>
      <c r="O71" s="4">
        <v>4</v>
      </c>
      <c r="P71" s="4">
        <v>6</v>
      </c>
      <c r="Q71" s="4">
        <v>8</v>
      </c>
      <c r="X71" s="4" t="s">
        <v>193</v>
      </c>
    </row>
    <row r="72" spans="1:24" s="4" customFormat="1" x14ac:dyDescent="0.15">
      <c r="A72" s="4">
        <v>71</v>
      </c>
      <c r="B72" s="4">
        <v>5</v>
      </c>
      <c r="C72" s="4">
        <v>12</v>
      </c>
      <c r="D72" s="4" t="s">
        <v>99</v>
      </c>
      <c r="E72" s="4">
        <v>3</v>
      </c>
      <c r="F72" s="4" t="s">
        <v>61</v>
      </c>
      <c r="L72" s="4" t="s">
        <v>443</v>
      </c>
      <c r="M72" s="4" t="s">
        <v>444</v>
      </c>
      <c r="N72" s="4" t="s">
        <v>445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 x14ac:dyDescent="0.15">
      <c r="A73" s="4">
        <v>72</v>
      </c>
      <c r="B73" s="4">
        <v>5</v>
      </c>
      <c r="C73" s="4">
        <v>13</v>
      </c>
      <c r="D73" s="4" t="s">
        <v>99</v>
      </c>
      <c r="E73" s="4">
        <v>3</v>
      </c>
      <c r="F73" s="4" t="s">
        <v>111</v>
      </c>
      <c r="L73" s="4" t="s">
        <v>446</v>
      </c>
      <c r="M73" s="4" t="s">
        <v>447</v>
      </c>
      <c r="N73" s="4" t="s">
        <v>448</v>
      </c>
      <c r="O73" s="4">
        <v>4</v>
      </c>
      <c r="P73" s="4">
        <v>5</v>
      </c>
      <c r="Q73" s="4">
        <v>7</v>
      </c>
      <c r="X73" s="4" t="s">
        <v>193</v>
      </c>
    </row>
    <row r="74" spans="1:24" s="6" customFormat="1" x14ac:dyDescent="0.15">
      <c r="A74" s="6">
        <v>73</v>
      </c>
      <c r="B74" s="6">
        <v>6</v>
      </c>
      <c r="C74" s="6">
        <v>1</v>
      </c>
      <c r="D74" s="6" t="s">
        <v>101</v>
      </c>
      <c r="E74" s="6">
        <v>0</v>
      </c>
      <c r="F74" s="6" t="s">
        <v>22</v>
      </c>
      <c r="L74" s="6" t="s">
        <v>449</v>
      </c>
      <c r="M74" s="6" t="s">
        <v>450</v>
      </c>
      <c r="N74" s="6" t="s">
        <v>451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 x14ac:dyDescent="0.15">
      <c r="A75" s="3">
        <v>74</v>
      </c>
      <c r="B75" s="3">
        <v>6</v>
      </c>
      <c r="C75" s="3">
        <v>2</v>
      </c>
      <c r="D75" s="3" t="s">
        <v>102</v>
      </c>
      <c r="E75" s="3">
        <v>3</v>
      </c>
      <c r="F75" s="3" t="s">
        <v>22</v>
      </c>
      <c r="L75" s="3" t="s">
        <v>452</v>
      </c>
      <c r="M75" s="3" t="s">
        <v>453</v>
      </c>
      <c r="N75" s="3" t="s">
        <v>454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 x14ac:dyDescent="0.15">
      <c r="A76" s="3">
        <v>75</v>
      </c>
      <c r="B76" s="3">
        <v>6</v>
      </c>
      <c r="C76" s="3">
        <v>3</v>
      </c>
      <c r="D76" s="3" t="s">
        <v>103</v>
      </c>
      <c r="E76" s="3">
        <v>3</v>
      </c>
      <c r="F76" s="3" t="s">
        <v>22</v>
      </c>
      <c r="L76" s="3" t="s">
        <v>455</v>
      </c>
      <c r="M76" s="3" t="s">
        <v>456</v>
      </c>
      <c r="N76" s="3" t="s">
        <v>457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 x14ac:dyDescent="0.15">
      <c r="A77" s="5">
        <v>76</v>
      </c>
      <c r="B77" s="5">
        <v>6</v>
      </c>
      <c r="C77" s="5">
        <v>4</v>
      </c>
      <c r="D77" s="5" t="s">
        <v>49</v>
      </c>
      <c r="E77" s="5">
        <v>3</v>
      </c>
      <c r="F77" s="5" t="s">
        <v>22</v>
      </c>
      <c r="L77" s="5" t="s">
        <v>458</v>
      </c>
      <c r="M77" s="5" t="s">
        <v>459</v>
      </c>
      <c r="N77" s="5" t="s">
        <v>460</v>
      </c>
      <c r="O77" s="5">
        <v>4</v>
      </c>
      <c r="P77" s="5">
        <v>5</v>
      </c>
      <c r="Q77" s="5">
        <v>7</v>
      </c>
      <c r="X77" s="5">
        <v>77</v>
      </c>
    </row>
    <row r="78" spans="1:24" x14ac:dyDescent="0.15">
      <c r="A78">
        <v>77</v>
      </c>
      <c r="B78">
        <v>6</v>
      </c>
      <c r="C78">
        <v>5</v>
      </c>
      <c r="D78" t="s">
        <v>104</v>
      </c>
      <c r="E78">
        <v>3</v>
      </c>
      <c r="F78" t="s">
        <v>22</v>
      </c>
      <c r="L78" t="s">
        <v>461</v>
      </c>
      <c r="M78" t="s">
        <v>462</v>
      </c>
      <c r="N78" t="s">
        <v>463</v>
      </c>
      <c r="O78">
        <v>4</v>
      </c>
      <c r="P78">
        <v>5</v>
      </c>
      <c r="Q78">
        <v>6</v>
      </c>
      <c r="X78">
        <v>78</v>
      </c>
    </row>
    <row r="79" spans="1:24" x14ac:dyDescent="0.15">
      <c r="A79">
        <v>78</v>
      </c>
      <c r="B79">
        <v>6</v>
      </c>
      <c r="C79">
        <v>6</v>
      </c>
      <c r="D79" t="s">
        <v>105</v>
      </c>
      <c r="E79">
        <v>3</v>
      </c>
      <c r="F79" t="s">
        <v>22</v>
      </c>
      <c r="L79" t="s">
        <v>464</v>
      </c>
      <c r="M79" t="s">
        <v>465</v>
      </c>
      <c r="N79" t="s">
        <v>466</v>
      </c>
      <c r="O79">
        <v>4</v>
      </c>
      <c r="P79">
        <v>5</v>
      </c>
      <c r="Q79">
        <v>6</v>
      </c>
      <c r="X79">
        <v>79</v>
      </c>
    </row>
    <row r="80" spans="1:24" x14ac:dyDescent="0.15">
      <c r="A80">
        <v>79</v>
      </c>
      <c r="B80">
        <v>6</v>
      </c>
      <c r="C80">
        <v>7</v>
      </c>
      <c r="D80" t="s">
        <v>50</v>
      </c>
      <c r="E80">
        <v>3</v>
      </c>
      <c r="F80" t="s">
        <v>111</v>
      </c>
      <c r="L80" t="s">
        <v>467</v>
      </c>
      <c r="M80" t="s">
        <v>468</v>
      </c>
      <c r="N80" t="s">
        <v>469</v>
      </c>
      <c r="O80">
        <v>4</v>
      </c>
      <c r="P80">
        <v>5</v>
      </c>
      <c r="Q80">
        <v>7</v>
      </c>
      <c r="X80">
        <v>80</v>
      </c>
    </row>
    <row r="81" spans="1:24" s="5" customFormat="1" x14ac:dyDescent="0.15">
      <c r="A81" s="5">
        <v>80</v>
      </c>
      <c r="B81" s="5">
        <v>6</v>
      </c>
      <c r="C81" s="5">
        <v>8</v>
      </c>
      <c r="D81" s="5" t="s">
        <v>106</v>
      </c>
      <c r="E81" s="5">
        <v>3</v>
      </c>
      <c r="F81" s="5" t="s">
        <v>22</v>
      </c>
      <c r="L81" s="5" t="s">
        <v>470</v>
      </c>
      <c r="O81" s="5">
        <v>4</v>
      </c>
      <c r="P81" s="5">
        <v>5</v>
      </c>
      <c r="Q81" s="5">
        <v>7</v>
      </c>
      <c r="W81" s="5">
        <v>81</v>
      </c>
      <c r="X81" s="5" t="s">
        <v>193</v>
      </c>
    </row>
    <row r="82" spans="1:24" s="4" customFormat="1" x14ac:dyDescent="0.15">
      <c r="A82" s="4">
        <v>81</v>
      </c>
      <c r="B82" s="4">
        <v>6</v>
      </c>
      <c r="C82" s="4">
        <v>9</v>
      </c>
      <c r="D82" s="4" t="s">
        <v>50</v>
      </c>
      <c r="E82" s="4">
        <v>3</v>
      </c>
      <c r="F82" s="4" t="s">
        <v>61</v>
      </c>
      <c r="L82" s="4" t="s">
        <v>471</v>
      </c>
      <c r="M82" s="4" t="s">
        <v>472</v>
      </c>
      <c r="N82" s="4" t="s">
        <v>473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 x14ac:dyDescent="0.15">
      <c r="A83" s="4">
        <v>82</v>
      </c>
      <c r="B83" s="4">
        <v>6</v>
      </c>
      <c r="C83" s="4">
        <v>10</v>
      </c>
      <c r="D83" s="4" t="s">
        <v>50</v>
      </c>
      <c r="E83" s="4">
        <v>3</v>
      </c>
      <c r="F83" s="4" t="s">
        <v>22</v>
      </c>
      <c r="L83" s="4" t="s">
        <v>474</v>
      </c>
      <c r="M83" s="4" t="s">
        <v>475</v>
      </c>
      <c r="N83" s="4" t="s">
        <v>476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 x14ac:dyDescent="0.15">
      <c r="A84" s="4">
        <v>83</v>
      </c>
      <c r="B84" s="4">
        <v>6</v>
      </c>
      <c r="C84" s="4">
        <v>11</v>
      </c>
      <c r="D84" s="4" t="s">
        <v>50</v>
      </c>
      <c r="E84" s="4">
        <v>3</v>
      </c>
      <c r="F84" s="4" t="s">
        <v>22</v>
      </c>
      <c r="L84" s="4" t="s">
        <v>477</v>
      </c>
      <c r="M84" s="4" t="s">
        <v>478</v>
      </c>
      <c r="N84" s="4" t="s">
        <v>479</v>
      </c>
      <c r="O84" s="4">
        <v>3</v>
      </c>
      <c r="P84" s="4">
        <v>5</v>
      </c>
      <c r="Q84" s="4">
        <v>7</v>
      </c>
      <c r="X84" s="4" t="s">
        <v>193</v>
      </c>
    </row>
    <row r="85" spans="1:24" s="6" customFormat="1" x14ac:dyDescent="0.15">
      <c r="A85" s="6">
        <v>84</v>
      </c>
      <c r="B85" s="6">
        <v>7</v>
      </c>
      <c r="C85" s="6">
        <v>1</v>
      </c>
      <c r="D85" s="6" t="s">
        <v>107</v>
      </c>
      <c r="E85" s="6">
        <v>3</v>
      </c>
      <c r="F85" s="6" t="s">
        <v>22</v>
      </c>
      <c r="L85" s="6" t="s">
        <v>480</v>
      </c>
      <c r="M85" s="6" t="s">
        <v>481</v>
      </c>
      <c r="N85" s="6" t="s">
        <v>482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 x14ac:dyDescent="0.15">
      <c r="A86" s="3">
        <v>85</v>
      </c>
      <c r="B86" s="3">
        <v>7</v>
      </c>
      <c r="C86" s="3">
        <v>2</v>
      </c>
      <c r="D86" s="3" t="s">
        <v>108</v>
      </c>
      <c r="E86" s="3">
        <v>3</v>
      </c>
      <c r="F86" s="3" t="s">
        <v>22</v>
      </c>
      <c r="L86" s="3" t="s">
        <v>483</v>
      </c>
      <c r="M86" s="3" t="s">
        <v>484</v>
      </c>
      <c r="N86" s="3" t="s">
        <v>485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 x14ac:dyDescent="0.15">
      <c r="A87" s="3">
        <v>86</v>
      </c>
      <c r="B87" s="3">
        <v>7</v>
      </c>
      <c r="C87" s="3">
        <v>3</v>
      </c>
      <c r="D87" s="3" t="s">
        <v>109</v>
      </c>
      <c r="E87" s="3">
        <v>3</v>
      </c>
      <c r="F87" s="3" t="s">
        <v>22</v>
      </c>
      <c r="L87" s="3" t="s">
        <v>486</v>
      </c>
      <c r="M87" s="3" t="s">
        <v>487</v>
      </c>
      <c r="N87" s="3" t="s">
        <v>488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 x14ac:dyDescent="0.15">
      <c r="A88" s="3">
        <v>87</v>
      </c>
      <c r="B88" s="3">
        <v>7</v>
      </c>
      <c r="C88" s="3">
        <v>4</v>
      </c>
      <c r="D88" s="3" t="s">
        <v>110</v>
      </c>
      <c r="E88" s="3">
        <v>3</v>
      </c>
      <c r="F88" s="3" t="s">
        <v>22</v>
      </c>
      <c r="L88" s="3" t="s">
        <v>489</v>
      </c>
      <c r="M88" s="3" t="s">
        <v>490</v>
      </c>
      <c r="N88" s="3" t="s">
        <v>491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 x14ac:dyDescent="0.15">
      <c r="A89" s="3">
        <v>88</v>
      </c>
      <c r="B89" s="3">
        <v>7</v>
      </c>
      <c r="C89" s="3">
        <v>5</v>
      </c>
      <c r="D89" s="3" t="s">
        <v>42</v>
      </c>
      <c r="E89" s="3">
        <v>3</v>
      </c>
      <c r="F89" s="3" t="s">
        <v>22</v>
      </c>
      <c r="L89" s="3" t="s">
        <v>492</v>
      </c>
      <c r="M89" s="3" t="s">
        <v>493</v>
      </c>
      <c r="N89" s="3" t="s">
        <v>494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 x14ac:dyDescent="0.15">
      <c r="A90" s="5">
        <v>89</v>
      </c>
      <c r="B90" s="5">
        <v>7</v>
      </c>
      <c r="C90" s="5">
        <v>6</v>
      </c>
      <c r="D90" s="5" t="s">
        <v>42</v>
      </c>
      <c r="E90" s="5">
        <v>3</v>
      </c>
      <c r="F90" s="5" t="s">
        <v>22</v>
      </c>
      <c r="L90" s="5" t="s">
        <v>495</v>
      </c>
      <c r="M90" s="5" t="s">
        <v>496</v>
      </c>
      <c r="N90" s="5" t="s">
        <v>497</v>
      </c>
      <c r="O90" s="5">
        <v>4</v>
      </c>
      <c r="P90" s="5">
        <v>6</v>
      </c>
      <c r="Q90" s="5">
        <v>7</v>
      </c>
      <c r="X90" s="5" t="s">
        <v>197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 tint="-0.499984740745262"/>
  </sheetPr>
  <dimension ref="A1:I26"/>
  <sheetViews>
    <sheetView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[1]唐三藏!$C$2</f>
        <v>50</v>
      </c>
      <c r="C2">
        <f>B2-0</f>
        <v>50</v>
      </c>
      <c r="D2">
        <f>[1]唐三藏!$D$2</f>
        <v>27</v>
      </c>
      <c r="E2">
        <f>[1]唐三藏!$E$2</f>
        <v>9</v>
      </c>
      <c r="F2">
        <f>ROUND([1]唐三藏!$F$2 *1000,0)</f>
        <v>100</v>
      </c>
      <c r="G2">
        <f>ROUND([1]唐三藏!$H$2 *100,0)</f>
        <v>100</v>
      </c>
      <c r="H2">
        <f>[1]唐三藏!$I$2</f>
        <v>6</v>
      </c>
      <c r="I2">
        <f>[1]唐三藏!$J$2</f>
        <v>14</v>
      </c>
    </row>
    <row r="3" spans="1:9" x14ac:dyDescent="0.15">
      <c r="A3">
        <v>2</v>
      </c>
      <c r="B3">
        <f>[1]唐三藏!$C$3</f>
        <v>100</v>
      </c>
      <c r="C3">
        <f>B3-B2</f>
        <v>50</v>
      </c>
      <c r="D3">
        <f>[1]唐三藏!$D$3</f>
        <v>28</v>
      </c>
      <c r="E3">
        <f>[1]唐三藏!$E$3</f>
        <v>16</v>
      </c>
      <c r="F3">
        <f>ROUND([1]唐三藏!$F$3 *1000,0)</f>
        <v>100</v>
      </c>
      <c r="G3">
        <f>ROUND([1]唐三藏!$H$3 *100,0)</f>
        <v>100</v>
      </c>
      <c r="H3">
        <f>[1]唐三藏!$I$3</f>
        <v>11</v>
      </c>
      <c r="I3">
        <f>[1]唐三藏!$J$3</f>
        <v>14</v>
      </c>
    </row>
    <row r="4" spans="1:9" x14ac:dyDescent="0.15">
      <c r="A4">
        <v>3</v>
      </c>
      <c r="B4">
        <f>[1]唐三藏!$C$4</f>
        <v>150</v>
      </c>
      <c r="C4">
        <f t="shared" ref="C4:C26" si="0">B4-B3</f>
        <v>50</v>
      </c>
      <c r="D4">
        <f>[1]唐三藏!$D$4</f>
        <v>35</v>
      </c>
      <c r="E4">
        <f>[1]唐三藏!$E$4</f>
        <v>22</v>
      </c>
      <c r="F4">
        <f>ROUND([1]唐三藏!$F$4 *1000,0)</f>
        <v>100</v>
      </c>
      <c r="G4">
        <f>ROUND([1]唐三藏!$H$4 *100,0)</f>
        <v>100</v>
      </c>
      <c r="H4">
        <f>[1]唐三藏!$I$4</f>
        <v>14</v>
      </c>
      <c r="I4">
        <f>[1]唐三藏!$J$4</f>
        <v>18</v>
      </c>
    </row>
    <row r="5" spans="1:9" x14ac:dyDescent="0.15">
      <c r="A5">
        <v>4</v>
      </c>
      <c r="B5">
        <f>[1]唐三藏!$C$5</f>
        <v>250</v>
      </c>
      <c r="C5">
        <f t="shared" si="0"/>
        <v>100</v>
      </c>
      <c r="D5">
        <f>[1]唐三藏!$D$5</f>
        <v>43</v>
      </c>
      <c r="E5">
        <f>[1]唐三藏!$E$5</f>
        <v>33</v>
      </c>
      <c r="F5">
        <f>ROUND([1]唐三藏!$F$5 *1000,0)</f>
        <v>100</v>
      </c>
      <c r="G5">
        <f>ROUND([1]唐三藏!$H$5 *100,0)</f>
        <v>100</v>
      </c>
      <c r="H5">
        <f>[1]唐三藏!$I$5</f>
        <v>18</v>
      </c>
      <c r="I5">
        <f>[1]唐三藏!$J$5</f>
        <v>22</v>
      </c>
    </row>
    <row r="6" spans="1:9" x14ac:dyDescent="0.15">
      <c r="A6">
        <v>5</v>
      </c>
      <c r="B6">
        <f>[1]唐三藏!$C$6</f>
        <v>350</v>
      </c>
      <c r="C6">
        <f t="shared" si="0"/>
        <v>100</v>
      </c>
      <c r="D6">
        <f>[1]唐三藏!$D$6</f>
        <v>47</v>
      </c>
      <c r="E6">
        <f>[1]唐三藏!$E$6</f>
        <v>45</v>
      </c>
      <c r="F6">
        <f>ROUND([1]唐三藏!$F$6 *1000,0)</f>
        <v>100</v>
      </c>
      <c r="G6">
        <f>ROUND([1]唐三藏!$H$6 *100,0)</f>
        <v>120</v>
      </c>
      <c r="H6">
        <f>[1]唐三藏!$I$6</f>
        <v>23</v>
      </c>
      <c r="I6">
        <f>[1]唐三藏!$J$6</f>
        <v>24</v>
      </c>
    </row>
    <row r="7" spans="1:9" x14ac:dyDescent="0.15">
      <c r="A7">
        <v>6</v>
      </c>
      <c r="B7">
        <f>[1]唐三藏!$C$7</f>
        <v>500</v>
      </c>
      <c r="C7">
        <f t="shared" si="0"/>
        <v>150</v>
      </c>
      <c r="D7">
        <f>[1]唐三藏!$D$7</f>
        <v>59</v>
      </c>
      <c r="E7">
        <f>[1]唐三藏!$E$7</f>
        <v>64</v>
      </c>
      <c r="F7">
        <f>ROUND([1]唐三藏!$F$7 *1000,0)</f>
        <v>100</v>
      </c>
      <c r="G7">
        <f>ROUND([1]唐三藏!$H$7 *100,0)</f>
        <v>120</v>
      </c>
      <c r="H7">
        <f>[1]唐三藏!$I$7</f>
        <v>29</v>
      </c>
      <c r="I7">
        <f>[1]唐三藏!$J$7</f>
        <v>30</v>
      </c>
    </row>
    <row r="8" spans="1:9" x14ac:dyDescent="0.15">
      <c r="A8">
        <v>7</v>
      </c>
      <c r="B8">
        <f>[1]唐三藏!$C$8</f>
        <v>650</v>
      </c>
      <c r="C8">
        <f t="shared" si="0"/>
        <v>150</v>
      </c>
      <c r="D8">
        <f>[1]唐三藏!$D$8</f>
        <v>77</v>
      </c>
      <c r="E8">
        <f>[1]唐三藏!$E$8</f>
        <v>78</v>
      </c>
      <c r="F8">
        <f>ROUND([1]唐三藏!$F$8 *1000,0)</f>
        <v>101</v>
      </c>
      <c r="G8">
        <f>ROUND([1]唐三藏!$H$8 *100,0)</f>
        <v>120</v>
      </c>
      <c r="H8">
        <f>[1]唐三藏!$I$8</f>
        <v>36</v>
      </c>
      <c r="I8">
        <f>[1]唐三藏!$J$8</f>
        <v>39</v>
      </c>
    </row>
    <row r="9" spans="1:9" x14ac:dyDescent="0.15">
      <c r="A9">
        <v>8</v>
      </c>
      <c r="B9">
        <f>[1]唐三藏!$C$9</f>
        <v>850</v>
      </c>
      <c r="C9">
        <f t="shared" si="0"/>
        <v>200</v>
      </c>
      <c r="D9">
        <f>[1]唐三藏!$D$9</f>
        <v>146</v>
      </c>
      <c r="E9">
        <f>[1]唐三藏!$E$9</f>
        <v>94</v>
      </c>
      <c r="F9">
        <f>ROUND([1]唐三藏!$F$9 *1000,0)</f>
        <v>101</v>
      </c>
      <c r="G9">
        <f>ROUND([1]唐三藏!$H$9 *100,0)</f>
        <v>120</v>
      </c>
      <c r="H9">
        <f>[1]唐三藏!$I$9</f>
        <v>44</v>
      </c>
      <c r="I9">
        <f>[1]唐三藏!$J$9</f>
        <v>73</v>
      </c>
    </row>
    <row r="10" spans="1:9" x14ac:dyDescent="0.15">
      <c r="A10">
        <v>9</v>
      </c>
      <c r="B10">
        <f>[1]唐三藏!$C$10</f>
        <v>1050</v>
      </c>
      <c r="C10">
        <f t="shared" si="0"/>
        <v>200</v>
      </c>
      <c r="D10">
        <f>[1]唐三藏!$D$10</f>
        <v>180</v>
      </c>
      <c r="E10">
        <f>[1]唐三藏!$E$10</f>
        <v>112</v>
      </c>
      <c r="F10">
        <f>ROUND([1]唐三藏!$F$10*1000,0)</f>
        <v>101</v>
      </c>
      <c r="G10">
        <f>ROUND([1]唐三藏!$H$10*100,0)</f>
        <v>120</v>
      </c>
      <c r="H10">
        <f>[1]唐三藏!$I$10</f>
        <v>53</v>
      </c>
      <c r="I10">
        <f>[1]唐三藏!$J$10</f>
        <v>90</v>
      </c>
    </row>
    <row r="11" spans="1:9" x14ac:dyDescent="0.15">
      <c r="A11">
        <v>10</v>
      </c>
      <c r="B11">
        <f>[1]唐三藏!$C$11</f>
        <v>1250</v>
      </c>
      <c r="C11">
        <f t="shared" si="0"/>
        <v>200</v>
      </c>
      <c r="D11">
        <f>[1]唐三藏!$D$11</f>
        <v>200</v>
      </c>
      <c r="E11">
        <f>[1]唐三藏!$E$11</f>
        <v>132</v>
      </c>
      <c r="F11">
        <f>ROUND([1]唐三藏!$F$11*1000,0)</f>
        <v>101</v>
      </c>
      <c r="G11">
        <f>ROUND([1]唐三藏!$H$11*100,0)</f>
        <v>130</v>
      </c>
      <c r="H11">
        <f>[1]唐三藏!$I$11</f>
        <v>63</v>
      </c>
      <c r="I11">
        <f>[1]唐三藏!$J$11</f>
        <v>100</v>
      </c>
    </row>
    <row r="12" spans="1:9" x14ac:dyDescent="0.15">
      <c r="A12">
        <v>11</v>
      </c>
      <c r="B12">
        <f>[1]唐三藏!$C$12</f>
        <v>1500</v>
      </c>
      <c r="C12">
        <f t="shared" si="0"/>
        <v>250</v>
      </c>
      <c r="D12">
        <f>[1]唐三藏!$D$12</f>
        <v>309</v>
      </c>
      <c r="E12">
        <f>[1]唐三藏!$E$12</f>
        <v>154</v>
      </c>
      <c r="F12">
        <f>ROUND([1]唐三藏!$F$12*1000,0)</f>
        <v>101</v>
      </c>
      <c r="G12">
        <f>ROUND([1]唐三藏!$H$12*100,0)</f>
        <v>130</v>
      </c>
      <c r="H12">
        <f>[1]唐三藏!$I$12</f>
        <v>74</v>
      </c>
      <c r="I12">
        <f>[1]唐三藏!$J$12</f>
        <v>155</v>
      </c>
    </row>
    <row r="13" spans="1:9" x14ac:dyDescent="0.15">
      <c r="A13">
        <v>12</v>
      </c>
      <c r="B13">
        <f>[1]唐三藏!$C$13</f>
        <v>1750</v>
      </c>
      <c r="C13">
        <f t="shared" si="0"/>
        <v>250</v>
      </c>
      <c r="D13">
        <f>[1]唐三藏!$D$13</f>
        <v>357</v>
      </c>
      <c r="E13">
        <f>[1]唐三藏!$E$13</f>
        <v>178</v>
      </c>
      <c r="F13">
        <f>ROUND([1]唐三藏!$F$13*1000,0)</f>
        <v>102</v>
      </c>
      <c r="G13">
        <f>ROUND([1]唐三藏!$H$13*100,0)</f>
        <v>130</v>
      </c>
      <c r="H13">
        <f>[1]唐三藏!$I$13</f>
        <v>86</v>
      </c>
      <c r="I13">
        <f>[1]唐三藏!$J$13</f>
        <v>179</v>
      </c>
    </row>
    <row r="14" spans="1:9" x14ac:dyDescent="0.15">
      <c r="A14">
        <v>13</v>
      </c>
      <c r="B14">
        <f>[1]唐三藏!$C$14</f>
        <v>2050</v>
      </c>
      <c r="C14">
        <f t="shared" si="0"/>
        <v>300</v>
      </c>
      <c r="D14">
        <f>[1]唐三藏!$D$14</f>
        <v>419</v>
      </c>
      <c r="E14">
        <f>[1]唐三藏!$E$14</f>
        <v>205</v>
      </c>
      <c r="F14">
        <f>ROUND([1]唐三藏!$F$14*1000,0)</f>
        <v>102</v>
      </c>
      <c r="G14">
        <f>ROUND([1]唐三藏!$H$14*100,0)</f>
        <v>130</v>
      </c>
      <c r="H14">
        <f>[1]唐三藏!$I$14</f>
        <v>99</v>
      </c>
      <c r="I14">
        <f>[1]唐三藏!$J$14</f>
        <v>210</v>
      </c>
    </row>
    <row r="15" spans="1:9" x14ac:dyDescent="0.15">
      <c r="A15">
        <v>14</v>
      </c>
      <c r="B15">
        <f>[1]唐三藏!$C$15</f>
        <v>2400</v>
      </c>
      <c r="C15">
        <f t="shared" si="0"/>
        <v>350</v>
      </c>
      <c r="D15">
        <f>[1]唐三藏!$D$15</f>
        <v>600</v>
      </c>
      <c r="E15">
        <f>[1]唐三藏!$E$15</f>
        <v>235</v>
      </c>
      <c r="F15">
        <f>ROUND([1]唐三藏!$F$15*1000,0)</f>
        <v>102</v>
      </c>
      <c r="G15">
        <f>ROUND([1]唐三藏!$H$15*100,0)</f>
        <v>130</v>
      </c>
      <c r="H15">
        <f>[1]唐三藏!$I$15</f>
        <v>114</v>
      </c>
      <c r="I15">
        <f>[1]唐三藏!$J$15</f>
        <v>300</v>
      </c>
    </row>
    <row r="16" spans="1:9" x14ac:dyDescent="0.15">
      <c r="A16">
        <v>15</v>
      </c>
      <c r="B16">
        <f>[1]唐三藏!$C$16</f>
        <v>2850</v>
      </c>
      <c r="C16">
        <f t="shared" si="0"/>
        <v>450</v>
      </c>
      <c r="D16">
        <f>[1]唐三藏!$D$16</f>
        <v>708</v>
      </c>
      <c r="E16">
        <f>[1]唐三藏!$E$16</f>
        <v>268</v>
      </c>
      <c r="F16">
        <f>ROUND([1]唐三藏!$F$16*1000,0)</f>
        <v>103</v>
      </c>
      <c r="G16">
        <f>ROUND([1]唐三藏!$H$16*100,0)</f>
        <v>140</v>
      </c>
      <c r="H16">
        <f>[1]唐三藏!$I$16</f>
        <v>131</v>
      </c>
      <c r="I16">
        <f>[1]唐三藏!$J$16</f>
        <v>354</v>
      </c>
    </row>
    <row r="17" spans="1:9" x14ac:dyDescent="0.15">
      <c r="A17">
        <v>16</v>
      </c>
      <c r="B17">
        <f>[1]唐三藏!$C$17</f>
        <v>3350</v>
      </c>
      <c r="C17">
        <f t="shared" si="0"/>
        <v>500</v>
      </c>
      <c r="D17">
        <f>[1]唐三藏!$D$17</f>
        <v>992</v>
      </c>
      <c r="E17">
        <f>[1]唐三藏!$E$17</f>
        <v>305</v>
      </c>
      <c r="F17">
        <f>ROUND([1]唐三藏!$F$17*1000,0)</f>
        <v>103</v>
      </c>
      <c r="G17">
        <f>ROUND([1]唐三藏!$H$17*100,0)</f>
        <v>140</v>
      </c>
      <c r="H17">
        <f>[1]唐三藏!$I$17</f>
        <v>150</v>
      </c>
      <c r="I17">
        <f>[1]唐三藏!$J$17</f>
        <v>496</v>
      </c>
    </row>
    <row r="18" spans="1:9" x14ac:dyDescent="0.15">
      <c r="A18">
        <v>17</v>
      </c>
      <c r="B18">
        <f>[1]唐三藏!$C$18</f>
        <v>3900</v>
      </c>
      <c r="C18">
        <f t="shared" si="0"/>
        <v>550</v>
      </c>
      <c r="D18">
        <f>[1]唐三藏!$D$18</f>
        <v>1165</v>
      </c>
      <c r="E18">
        <f>[1]唐三藏!$E$18</f>
        <v>346</v>
      </c>
      <c r="F18">
        <f>ROUND([1]唐三藏!$F$18*1000,0)</f>
        <v>104</v>
      </c>
      <c r="G18">
        <f>ROUND([1]唐三藏!$H$18*100,0)</f>
        <v>140</v>
      </c>
      <c r="H18">
        <f>[1]唐三藏!$I$18</f>
        <v>171</v>
      </c>
      <c r="I18">
        <f>[1]唐三藏!$J$18</f>
        <v>583</v>
      </c>
    </row>
    <row r="19" spans="1:9" x14ac:dyDescent="0.15">
      <c r="A19">
        <v>18</v>
      </c>
      <c r="B19">
        <f>[1]唐三藏!$C$19</f>
        <v>4550</v>
      </c>
      <c r="C19">
        <f t="shared" si="0"/>
        <v>650</v>
      </c>
      <c r="D19">
        <f>[1]唐三藏!$D$19</f>
        <v>1374</v>
      </c>
      <c r="E19">
        <f>[1]唐三藏!$E$19</f>
        <v>392</v>
      </c>
      <c r="F19">
        <f>ROUND([1]唐三藏!$F$19*1000,0)</f>
        <v>105</v>
      </c>
      <c r="G19">
        <f>ROUND([1]唐三藏!$H$19*100,0)</f>
        <v>140</v>
      </c>
      <c r="H19">
        <f>[1]唐三藏!$I$19</f>
        <v>195</v>
      </c>
      <c r="I19">
        <f>[1]唐三藏!$J$19</f>
        <v>687</v>
      </c>
    </row>
    <row r="20" spans="1:9" x14ac:dyDescent="0.15">
      <c r="A20">
        <v>19</v>
      </c>
      <c r="B20">
        <f>[1]唐三藏!$C$20</f>
        <v>5500</v>
      </c>
      <c r="C20">
        <f t="shared" si="0"/>
        <v>950</v>
      </c>
      <c r="D20">
        <f>[1]唐三藏!$D$20</f>
        <v>1954</v>
      </c>
      <c r="E20">
        <f>[1]唐三藏!$E$20</f>
        <v>443</v>
      </c>
      <c r="F20">
        <f>ROUND([1]唐三藏!$F$20*1000,0)</f>
        <v>105</v>
      </c>
      <c r="G20">
        <f>ROUND([1]唐三藏!$H$20*100,0)</f>
        <v>140</v>
      </c>
      <c r="H20">
        <f>[1]唐三藏!$I$20</f>
        <v>221</v>
      </c>
      <c r="I20">
        <f>[1]唐三藏!$J$20</f>
        <v>977</v>
      </c>
    </row>
    <row r="21" spans="1:9" x14ac:dyDescent="0.15">
      <c r="A21">
        <v>20</v>
      </c>
      <c r="B21">
        <f>[1]唐三藏!$C$21</f>
        <v>7100</v>
      </c>
      <c r="C21">
        <f t="shared" si="0"/>
        <v>1600</v>
      </c>
      <c r="D21">
        <f>[1]唐三藏!$D$21</f>
        <v>2547</v>
      </c>
      <c r="E21">
        <f>[1]唐三藏!$E$21</f>
        <v>550</v>
      </c>
      <c r="F21">
        <f>ROUND([1]唐三藏!$F$21*1000,0)</f>
        <v>107</v>
      </c>
      <c r="G21">
        <f>ROUND([1]唐三藏!$H$21*100,0)</f>
        <v>150</v>
      </c>
      <c r="H21">
        <f>[1]唐三藏!$I$21</f>
        <v>250</v>
      </c>
      <c r="I21">
        <f>[1]唐三藏!$J$21</f>
        <v>1274</v>
      </c>
    </row>
    <row r="22" spans="1:9" x14ac:dyDescent="0.15">
      <c r="A22">
        <v>21</v>
      </c>
      <c r="B22">
        <f>[1]唐三藏!$C$22</f>
        <v>9450</v>
      </c>
      <c r="C22">
        <f t="shared" si="0"/>
        <v>2350</v>
      </c>
      <c r="D22">
        <f>[1]唐三藏!$D$22</f>
        <v>3375</v>
      </c>
      <c r="E22">
        <f>[1]唐三藏!$E$22</f>
        <v>764</v>
      </c>
      <c r="F22">
        <f>ROUND([1]唐三藏!$F$22*1000,0)</f>
        <v>109</v>
      </c>
      <c r="G22">
        <f>ROUND([1]唐三藏!$H$22*100,0)</f>
        <v>150</v>
      </c>
      <c r="H22">
        <f>[1]唐三藏!$I$22</f>
        <v>288</v>
      </c>
      <c r="I22">
        <f>[1]唐三藏!$J$22</f>
        <v>1688</v>
      </c>
    </row>
    <row r="23" spans="1:9" x14ac:dyDescent="0.15">
      <c r="A23">
        <v>22</v>
      </c>
      <c r="B23">
        <f>[1]唐三藏!$C$23</f>
        <v>12800</v>
      </c>
      <c r="C23">
        <f t="shared" si="0"/>
        <v>3350</v>
      </c>
      <c r="D23">
        <f>[1]唐三藏!$D$23</f>
        <v>5167</v>
      </c>
      <c r="E23">
        <f>[1]唐三藏!$E$23</f>
        <v>1032</v>
      </c>
      <c r="F23">
        <f>ROUND([1]唐三藏!$F$23*1000,0)</f>
        <v>113</v>
      </c>
      <c r="G23">
        <f>ROUND([1]唐三藏!$H$23*100,0)</f>
        <v>150</v>
      </c>
      <c r="H23">
        <f>[1]唐三藏!$I$23</f>
        <v>337</v>
      </c>
      <c r="I23">
        <f>[1]唐三藏!$J$23</f>
        <v>2584</v>
      </c>
    </row>
    <row r="24" spans="1:9" x14ac:dyDescent="0.15">
      <c r="A24">
        <v>23</v>
      </c>
      <c r="B24">
        <f>[1]唐三藏!$C$24</f>
        <v>17400</v>
      </c>
      <c r="C24">
        <f t="shared" si="0"/>
        <v>4600</v>
      </c>
      <c r="D24">
        <f>[1]唐三藏!$D$24</f>
        <v>7078</v>
      </c>
      <c r="E24">
        <f>[1]唐三藏!$E$24</f>
        <v>1400</v>
      </c>
      <c r="F24">
        <f>ROUND([1]唐三藏!$F$24*1000,0)</f>
        <v>117</v>
      </c>
      <c r="G24">
        <f>ROUND([1]唐三藏!$H$24*100,0)</f>
        <v>150</v>
      </c>
      <c r="H24">
        <f>[1]唐三藏!$I$24</f>
        <v>401</v>
      </c>
      <c r="I24">
        <f>[1]唐三藏!$J$24</f>
        <v>3539</v>
      </c>
    </row>
    <row r="25" spans="1:9" x14ac:dyDescent="0.15">
      <c r="A25">
        <v>24</v>
      </c>
      <c r="B25">
        <f>[1]唐三藏!$C$25</f>
        <v>23250</v>
      </c>
      <c r="C25">
        <f t="shared" si="0"/>
        <v>5850</v>
      </c>
      <c r="D25">
        <f>[1]唐三藏!$D$25</f>
        <v>9384</v>
      </c>
      <c r="E25">
        <f>[1]唐三藏!$E$25</f>
        <v>1868</v>
      </c>
      <c r="F25">
        <f>ROUND([1]唐三藏!$F$25*1000,0)</f>
        <v>123</v>
      </c>
      <c r="G25">
        <f>ROUND([1]唐三藏!$H$25*100,0)</f>
        <v>160</v>
      </c>
      <c r="H25">
        <f>[1]唐三藏!$I$25</f>
        <v>484</v>
      </c>
      <c r="I25">
        <f>[1]唐三藏!$J$25</f>
        <v>4692</v>
      </c>
    </row>
    <row r="26" spans="1:9" x14ac:dyDescent="0.15">
      <c r="A26">
        <v>25</v>
      </c>
      <c r="B26">
        <f>[1]唐三藏!$C$26</f>
        <v>30750</v>
      </c>
      <c r="C26">
        <f t="shared" si="0"/>
        <v>7500</v>
      </c>
      <c r="D26">
        <f>[1]唐三藏!$D$26</f>
        <v>12458</v>
      </c>
      <c r="E26">
        <f>[1]唐三藏!$E$26</f>
        <v>2468</v>
      </c>
      <c r="F26">
        <f>ROUND([1]唐三藏!$F$26*1000,0)</f>
        <v>131</v>
      </c>
      <c r="G26">
        <f>ROUND([1]唐三藏!$H$26*100,0)</f>
        <v>160</v>
      </c>
      <c r="H26">
        <f>[1]唐三藏!$I$26</f>
        <v>592</v>
      </c>
      <c r="I26">
        <f>[1]唐三藏!$J$26</f>
        <v>6229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[1]孙悟空!$C$2</f>
        <v>50</v>
      </c>
      <c r="C2">
        <f>B2-0</f>
        <v>50</v>
      </c>
      <c r="D2">
        <f>[1]孙悟空!$D$2</f>
        <v>35</v>
      </c>
      <c r="E2">
        <f>[1]孙悟空!$E$2</f>
        <v>14</v>
      </c>
      <c r="F2">
        <f>ROUND([1]孙悟空!$F$2 *1000,0)</f>
        <v>0</v>
      </c>
      <c r="G2">
        <f>ROUND([1]孙悟空!$H$2 *100,0)</f>
        <v>100</v>
      </c>
      <c r="H2">
        <f>[1]孙悟空!$I$2</f>
        <v>5</v>
      </c>
      <c r="I2">
        <f>[1]孙悟空!$J$2</f>
        <v>7</v>
      </c>
    </row>
    <row r="3" spans="1:9" x14ac:dyDescent="0.15">
      <c r="A3">
        <v>2</v>
      </c>
      <c r="B3">
        <f>[1]孙悟空!$C$3</f>
        <v>100</v>
      </c>
      <c r="C3">
        <f>B3-B2</f>
        <v>50</v>
      </c>
      <c r="D3">
        <f>[1]孙悟空!$D$3</f>
        <v>40</v>
      </c>
      <c r="E3">
        <f>[1]孙悟空!$E$3</f>
        <v>23</v>
      </c>
      <c r="F3">
        <f>ROUND([1]孙悟空!$F$3 *1000,0)</f>
        <v>0</v>
      </c>
      <c r="G3">
        <f>ROUND([1]孙悟空!$H$3 *100,0)</f>
        <v>100</v>
      </c>
      <c r="H3">
        <f>[1]孙悟空!$I$3</f>
        <v>7</v>
      </c>
      <c r="I3">
        <f>[1]孙悟空!$J$3</f>
        <v>8</v>
      </c>
    </row>
    <row r="4" spans="1:9" x14ac:dyDescent="0.15">
      <c r="A4">
        <v>3</v>
      </c>
      <c r="B4">
        <f>[1]孙悟空!$C$4</f>
        <v>150</v>
      </c>
      <c r="C4">
        <f t="shared" ref="C4:C26" si="0">B4-B3</f>
        <v>50</v>
      </c>
      <c r="D4">
        <f>[1]孙悟空!$D$4</f>
        <v>47</v>
      </c>
      <c r="E4">
        <f>[1]孙悟空!$E$4</f>
        <v>28</v>
      </c>
      <c r="F4">
        <f>ROUND([1]孙悟空!$F$4 *1000,0)</f>
        <v>3</v>
      </c>
      <c r="G4">
        <f>ROUND([1]孙悟空!$H$4 *100,0)</f>
        <v>100</v>
      </c>
      <c r="H4">
        <f>[1]孙悟空!$I$4</f>
        <v>11</v>
      </c>
      <c r="I4">
        <f>[1]孙悟空!$J$4</f>
        <v>9</v>
      </c>
    </row>
    <row r="5" spans="1:9" x14ac:dyDescent="0.15">
      <c r="A5">
        <v>4</v>
      </c>
      <c r="B5">
        <f>[1]孙悟空!$C$5</f>
        <v>250</v>
      </c>
      <c r="C5">
        <f t="shared" si="0"/>
        <v>100</v>
      </c>
      <c r="D5">
        <f>[1]孙悟空!$D$5</f>
        <v>68</v>
      </c>
      <c r="E5">
        <f>[1]孙悟空!$E$5</f>
        <v>37</v>
      </c>
      <c r="F5">
        <f>ROUND([1]孙悟空!$F$5 *1000,0)</f>
        <v>3</v>
      </c>
      <c r="G5">
        <f>ROUND([1]孙悟空!$H$5 *100,0)</f>
        <v>100</v>
      </c>
      <c r="H5">
        <f>[1]孙悟空!$I$5</f>
        <v>16</v>
      </c>
      <c r="I5">
        <f>[1]孙悟空!$J$5</f>
        <v>14</v>
      </c>
    </row>
    <row r="6" spans="1:9" x14ac:dyDescent="0.15">
      <c r="A6">
        <v>5</v>
      </c>
      <c r="B6">
        <f>[1]孙悟空!$C$6</f>
        <v>350</v>
      </c>
      <c r="C6">
        <f t="shared" si="0"/>
        <v>100</v>
      </c>
      <c r="D6">
        <f>[1]孙悟空!$D$6</f>
        <v>82</v>
      </c>
      <c r="E6">
        <f>[1]孙悟空!$E$6</f>
        <v>49</v>
      </c>
      <c r="F6">
        <f>ROUND([1]孙悟空!$F$6 *1000,0)</f>
        <v>5</v>
      </c>
      <c r="G6">
        <f>ROUND([1]孙悟空!$H$6 *100,0)</f>
        <v>100</v>
      </c>
      <c r="H6">
        <f>[1]孙悟空!$I$6</f>
        <v>23</v>
      </c>
      <c r="I6">
        <f>[1]孙悟空!$J$6</f>
        <v>16</v>
      </c>
    </row>
    <row r="7" spans="1:9" x14ac:dyDescent="0.15">
      <c r="A7">
        <v>6</v>
      </c>
      <c r="B7">
        <f>[1]孙悟空!$C$7</f>
        <v>500</v>
      </c>
      <c r="C7">
        <f t="shared" si="0"/>
        <v>150</v>
      </c>
      <c r="D7">
        <f>[1]孙悟空!$D$7</f>
        <v>100</v>
      </c>
      <c r="E7">
        <f>[1]孙悟空!$E$7</f>
        <v>68</v>
      </c>
      <c r="F7">
        <f>ROUND([1]孙悟空!$F$7 *1000,0)</f>
        <v>10</v>
      </c>
      <c r="G7">
        <f>ROUND([1]孙悟空!$H$7 *100,0)</f>
        <v>100</v>
      </c>
      <c r="H7">
        <f>[1]孙悟空!$I$7</f>
        <v>33</v>
      </c>
      <c r="I7">
        <f>[1]孙悟空!$J$7</f>
        <v>20</v>
      </c>
    </row>
    <row r="8" spans="1:9" x14ac:dyDescent="0.15">
      <c r="A8">
        <v>7</v>
      </c>
      <c r="B8">
        <f>[1]孙悟空!$C$8</f>
        <v>650</v>
      </c>
      <c r="C8">
        <f t="shared" si="0"/>
        <v>150</v>
      </c>
      <c r="D8">
        <f>[1]孙悟空!$D$8</f>
        <v>123</v>
      </c>
      <c r="E8">
        <f>[1]孙悟空!$E$8</f>
        <v>90</v>
      </c>
      <c r="F8">
        <f>ROUND([1]孙悟空!$F$8 *1000,0)</f>
        <v>15</v>
      </c>
      <c r="G8">
        <f>ROUND([1]孙悟空!$H$8 *100,0)</f>
        <v>100</v>
      </c>
      <c r="H8">
        <f>[1]孙悟空!$I$8</f>
        <v>37</v>
      </c>
      <c r="I8">
        <f>[1]孙悟空!$J$8</f>
        <v>25</v>
      </c>
    </row>
    <row r="9" spans="1:9" x14ac:dyDescent="0.15">
      <c r="A9">
        <v>8</v>
      </c>
      <c r="B9">
        <f>[1]孙悟空!$C$9</f>
        <v>850</v>
      </c>
      <c r="C9">
        <f t="shared" si="0"/>
        <v>200</v>
      </c>
      <c r="D9">
        <f>[1]孙悟空!$D$9</f>
        <v>174</v>
      </c>
      <c r="E9">
        <f>[1]孙悟空!$E$9</f>
        <v>131</v>
      </c>
      <c r="F9">
        <f>ROUND([1]孙悟空!$F$9 *1000,0)</f>
        <v>25</v>
      </c>
      <c r="G9">
        <f>ROUND([1]孙悟空!$H$9 *100,0)</f>
        <v>100</v>
      </c>
      <c r="H9">
        <f>[1]孙悟空!$I$9</f>
        <v>54</v>
      </c>
      <c r="I9">
        <f>[1]孙悟空!$J$9</f>
        <v>35</v>
      </c>
    </row>
    <row r="10" spans="1:9" x14ac:dyDescent="0.15">
      <c r="A10">
        <v>9</v>
      </c>
      <c r="B10">
        <f>[1]孙悟空!$C$10</f>
        <v>1050</v>
      </c>
      <c r="C10">
        <f t="shared" si="0"/>
        <v>200</v>
      </c>
      <c r="D10">
        <f>[1]孙悟空!$D$10</f>
        <v>201</v>
      </c>
      <c r="E10">
        <f>[1]孙悟空!$E$10</f>
        <v>165</v>
      </c>
      <c r="F10">
        <f>ROUND([1]孙悟空!$F$10*1000,0)</f>
        <v>29</v>
      </c>
      <c r="G10">
        <f>ROUND([1]孙悟空!$H$10*100,0)</f>
        <v>100</v>
      </c>
      <c r="H10">
        <f>[1]孙悟空!$I$10</f>
        <v>65</v>
      </c>
      <c r="I10">
        <f>[1]孙悟空!$J$10</f>
        <v>40</v>
      </c>
    </row>
    <row r="11" spans="1:9" x14ac:dyDescent="0.15">
      <c r="A11">
        <v>10</v>
      </c>
      <c r="B11">
        <f>[1]孙悟空!$C$11</f>
        <v>1250</v>
      </c>
      <c r="C11">
        <f t="shared" si="0"/>
        <v>200</v>
      </c>
      <c r="D11">
        <f>[1]孙悟空!$D$11</f>
        <v>230</v>
      </c>
      <c r="E11">
        <f>[1]孙悟空!$E$11</f>
        <v>195</v>
      </c>
      <c r="F11">
        <f>ROUND([1]孙悟空!$F$11*1000,0)</f>
        <v>37</v>
      </c>
      <c r="G11">
        <f>ROUND([1]孙悟空!$H$11*100,0)</f>
        <v>100</v>
      </c>
      <c r="H11">
        <f>[1]孙悟空!$I$11</f>
        <v>77</v>
      </c>
      <c r="I11">
        <f>[1]孙悟空!$J$11</f>
        <v>46</v>
      </c>
    </row>
    <row r="12" spans="1:9" x14ac:dyDescent="0.15">
      <c r="A12">
        <v>11</v>
      </c>
      <c r="B12">
        <f>[1]孙悟空!$C$12</f>
        <v>1500</v>
      </c>
      <c r="C12">
        <f t="shared" si="0"/>
        <v>250</v>
      </c>
      <c r="D12">
        <f>[1]孙悟空!$D$12</f>
        <v>342</v>
      </c>
      <c r="E12">
        <f>[1]孙悟空!$E$12</f>
        <v>245</v>
      </c>
      <c r="F12">
        <f>ROUND([1]孙悟空!$F$12*1000,0)</f>
        <v>46</v>
      </c>
      <c r="G12">
        <f>ROUND([1]孙悟空!$H$12*100,0)</f>
        <v>100</v>
      </c>
      <c r="H12">
        <f>[1]孙悟空!$I$12</f>
        <v>90</v>
      </c>
      <c r="I12">
        <f>[1]孙悟空!$J$12</f>
        <v>68</v>
      </c>
    </row>
    <row r="13" spans="1:9" x14ac:dyDescent="0.15">
      <c r="A13">
        <v>12</v>
      </c>
      <c r="B13">
        <f>[1]孙悟空!$C$13</f>
        <v>1750</v>
      </c>
      <c r="C13">
        <f t="shared" si="0"/>
        <v>250</v>
      </c>
      <c r="D13">
        <f>[1]孙悟空!$D$13</f>
        <v>389</v>
      </c>
      <c r="E13">
        <f>[1]孙悟空!$E$13</f>
        <v>285</v>
      </c>
      <c r="F13">
        <f>ROUND([1]孙悟空!$F$13*1000,0)</f>
        <v>55</v>
      </c>
      <c r="G13">
        <f>ROUND([1]孙悟空!$H$13*100,0)</f>
        <v>100</v>
      </c>
      <c r="H13">
        <f>[1]孙悟空!$I$13</f>
        <v>104</v>
      </c>
      <c r="I13">
        <f>[1]孙悟空!$J$13</f>
        <v>78</v>
      </c>
    </row>
    <row r="14" spans="1:9" x14ac:dyDescent="0.15">
      <c r="A14">
        <v>13</v>
      </c>
      <c r="B14">
        <f>[1]孙悟空!$C$14</f>
        <v>2050</v>
      </c>
      <c r="C14">
        <f t="shared" si="0"/>
        <v>300</v>
      </c>
      <c r="D14">
        <f>[1]孙悟空!$D$14</f>
        <v>450</v>
      </c>
      <c r="E14">
        <f>[1]孙悟空!$E$14</f>
        <v>330</v>
      </c>
      <c r="F14">
        <f>ROUND([1]孙悟空!$F$14*1000,0)</f>
        <v>65</v>
      </c>
      <c r="G14">
        <f>ROUND([1]孙悟空!$H$14*100,0)</f>
        <v>100</v>
      </c>
      <c r="H14">
        <f>[1]孙悟空!$I$14</f>
        <v>120</v>
      </c>
      <c r="I14">
        <f>[1]孙悟空!$J$14</f>
        <v>90</v>
      </c>
    </row>
    <row r="15" spans="1:9" x14ac:dyDescent="0.15">
      <c r="A15">
        <v>14</v>
      </c>
      <c r="B15">
        <f>[1]孙悟空!$C$15</f>
        <v>2400</v>
      </c>
      <c r="C15">
        <f t="shared" si="0"/>
        <v>350</v>
      </c>
      <c r="D15">
        <f>[1]孙悟空!$D$15</f>
        <v>667</v>
      </c>
      <c r="E15">
        <f>[1]孙悟空!$E$15</f>
        <v>380</v>
      </c>
      <c r="F15">
        <f>ROUND([1]孙悟空!$F$15*1000,0)</f>
        <v>76</v>
      </c>
      <c r="G15">
        <f>ROUND([1]孙悟空!$H$15*100,0)</f>
        <v>100</v>
      </c>
      <c r="H15">
        <f>[1]孙悟空!$I$15</f>
        <v>138</v>
      </c>
      <c r="I15">
        <f>[1]孙悟空!$J$15</f>
        <v>133</v>
      </c>
    </row>
    <row r="16" spans="1:9" x14ac:dyDescent="0.15">
      <c r="A16">
        <v>15</v>
      </c>
      <c r="B16">
        <f>[1]孙悟空!$C$16</f>
        <v>2850</v>
      </c>
      <c r="C16">
        <f t="shared" si="0"/>
        <v>450</v>
      </c>
      <c r="D16">
        <f>[1]孙悟空!$D$16</f>
        <v>805</v>
      </c>
      <c r="E16">
        <f>[1]孙悟空!$E$16</f>
        <v>436</v>
      </c>
      <c r="F16">
        <f>ROUND([1]孙悟空!$F$16*1000,0)</f>
        <v>89</v>
      </c>
      <c r="G16">
        <f>ROUND([1]孙悟空!$H$16*100,0)</f>
        <v>100</v>
      </c>
      <c r="H16">
        <f>[1]孙悟空!$I$16</f>
        <v>158</v>
      </c>
      <c r="I16">
        <f>[1]孙悟空!$J$16</f>
        <v>161</v>
      </c>
    </row>
    <row r="17" spans="1:9" x14ac:dyDescent="0.15">
      <c r="A17">
        <v>16</v>
      </c>
      <c r="B17">
        <f>[1]孙悟空!$C$17</f>
        <v>3350</v>
      </c>
      <c r="C17">
        <f t="shared" si="0"/>
        <v>500</v>
      </c>
      <c r="D17">
        <f>[1]孙悟空!$D$17</f>
        <v>1155</v>
      </c>
      <c r="E17">
        <f>[1]孙悟空!$E$17</f>
        <v>498</v>
      </c>
      <c r="F17">
        <f>ROUND([1]孙悟空!$F$17*1000,0)</f>
        <v>100</v>
      </c>
      <c r="G17">
        <f>ROUND([1]孙悟空!$H$17*100,0)</f>
        <v>100</v>
      </c>
      <c r="H17">
        <f>[1]孙悟空!$I$17</f>
        <v>180</v>
      </c>
      <c r="I17">
        <f>[1]孙悟空!$J$17</f>
        <v>231</v>
      </c>
    </row>
    <row r="18" spans="1:9" x14ac:dyDescent="0.15">
      <c r="A18">
        <v>17</v>
      </c>
      <c r="B18">
        <f>[1]孙悟空!$C$18</f>
        <v>3900</v>
      </c>
      <c r="C18">
        <f t="shared" si="0"/>
        <v>550</v>
      </c>
      <c r="D18">
        <f>[1]孙悟空!$D$18</f>
        <v>1350</v>
      </c>
      <c r="E18">
        <f>[1]孙悟空!$E$18</f>
        <v>567</v>
      </c>
      <c r="F18">
        <f>ROUND([1]孙悟空!$F$18*1000,0)</f>
        <v>111</v>
      </c>
      <c r="G18">
        <f>ROUND([1]孙悟空!$H$18*100,0)</f>
        <v>100</v>
      </c>
      <c r="H18">
        <f>[1]孙悟空!$I$18</f>
        <v>205</v>
      </c>
      <c r="I18">
        <f>[1]孙悟空!$J$18</f>
        <v>270</v>
      </c>
    </row>
    <row r="19" spans="1:9" x14ac:dyDescent="0.15">
      <c r="A19">
        <v>18</v>
      </c>
      <c r="B19">
        <f>[1]孙悟空!$C$19</f>
        <v>4550</v>
      </c>
      <c r="C19">
        <f t="shared" si="0"/>
        <v>650</v>
      </c>
      <c r="D19">
        <f>[1]孙悟空!$D$19</f>
        <v>1590</v>
      </c>
      <c r="E19">
        <f>[1]孙悟空!$E$19</f>
        <v>644</v>
      </c>
      <c r="F19">
        <f>ROUND([1]孙悟空!$F$19*1000,0)</f>
        <v>125</v>
      </c>
      <c r="G19">
        <f>ROUND([1]孙悟空!$H$19*100,0)</f>
        <v>100</v>
      </c>
      <c r="H19">
        <f>[1]孙悟空!$I$19</f>
        <v>233</v>
      </c>
      <c r="I19">
        <f>[1]孙悟空!$J$19</f>
        <v>318</v>
      </c>
    </row>
    <row r="20" spans="1:9" x14ac:dyDescent="0.15">
      <c r="A20">
        <v>19</v>
      </c>
      <c r="B20">
        <f>[1]孙悟空!$C$20</f>
        <v>5500</v>
      </c>
      <c r="C20">
        <f t="shared" si="0"/>
        <v>950</v>
      </c>
      <c r="D20">
        <f>[1]孙悟空!$D$20</f>
        <v>2324</v>
      </c>
      <c r="E20">
        <f>[1]孙悟空!$E$20</f>
        <v>730</v>
      </c>
      <c r="F20">
        <f>ROUND([1]孙悟空!$F$20*1000,0)</f>
        <v>130</v>
      </c>
      <c r="G20">
        <f>ROUND([1]孙悟空!$H$20*100,0)</f>
        <v>100</v>
      </c>
      <c r="H20">
        <f>[1]孙悟空!$I$20</f>
        <v>265</v>
      </c>
      <c r="I20">
        <f>[1]孙悟空!$J$20</f>
        <v>465</v>
      </c>
    </row>
    <row r="21" spans="1:9" x14ac:dyDescent="0.15">
      <c r="A21">
        <v>20</v>
      </c>
      <c r="B21">
        <f>[1]孙悟空!$C$21</f>
        <v>6600</v>
      </c>
      <c r="C21">
        <f t="shared" si="0"/>
        <v>1100</v>
      </c>
      <c r="D21">
        <f>[1]孙悟空!$D$21</f>
        <v>3078</v>
      </c>
      <c r="E21">
        <f>[1]孙悟空!$E$21</f>
        <v>880</v>
      </c>
      <c r="F21">
        <f>ROUND([1]孙悟空!$F$21*1000,0)</f>
        <v>180</v>
      </c>
      <c r="G21">
        <f>ROUND([1]孙悟空!$H$21*100,0)</f>
        <v>100</v>
      </c>
      <c r="H21">
        <f>[1]孙悟空!$I$21</f>
        <v>300</v>
      </c>
      <c r="I21">
        <f>[1]孙悟空!$J$21</f>
        <v>616</v>
      </c>
    </row>
    <row r="22" spans="1:9" x14ac:dyDescent="0.15">
      <c r="A22">
        <v>21</v>
      </c>
      <c r="B22">
        <f>[1]孙悟空!$C$22</f>
        <v>9450</v>
      </c>
      <c r="C22">
        <f t="shared" si="0"/>
        <v>2850</v>
      </c>
      <c r="D22">
        <f>[1]孙悟空!$D$22</f>
        <v>4293</v>
      </c>
      <c r="E22">
        <f>[1]孙悟空!$E$22</f>
        <v>1083</v>
      </c>
      <c r="F22">
        <f>ROUND([1]孙悟空!$F$22*1000,0)</f>
        <v>180</v>
      </c>
      <c r="G22">
        <f>ROUND([1]孙悟空!$H$22*100,0)</f>
        <v>100</v>
      </c>
      <c r="H22">
        <f>[1]孙悟空!$I$22</f>
        <v>353</v>
      </c>
      <c r="I22">
        <f>[1]孙悟空!$J$22</f>
        <v>859</v>
      </c>
    </row>
    <row r="23" spans="1:9" x14ac:dyDescent="0.15">
      <c r="A23">
        <v>22</v>
      </c>
      <c r="B23">
        <f>[1]孙悟空!$C$23</f>
        <v>12800</v>
      </c>
      <c r="C23">
        <f t="shared" si="0"/>
        <v>3350</v>
      </c>
      <c r="D23">
        <f>[1]孙悟空!$D$23</f>
        <v>6778</v>
      </c>
      <c r="E23">
        <f>[1]孙悟空!$E$23</f>
        <v>1357</v>
      </c>
      <c r="F23">
        <f>ROUND([1]孙悟空!$F$23*1000,0)</f>
        <v>180</v>
      </c>
      <c r="G23">
        <f>ROUND([1]孙悟空!$H$23*100,0)</f>
        <v>100</v>
      </c>
      <c r="H23">
        <f>[1]孙悟空!$I$23</f>
        <v>433</v>
      </c>
      <c r="I23">
        <f>[1]孙悟空!$J$23</f>
        <v>1356</v>
      </c>
    </row>
    <row r="24" spans="1:9" x14ac:dyDescent="0.15">
      <c r="A24">
        <v>23</v>
      </c>
      <c r="B24">
        <f>[1]孙悟空!$C$24</f>
        <v>17400</v>
      </c>
      <c r="C24">
        <f t="shared" si="0"/>
        <v>4600</v>
      </c>
      <c r="D24">
        <f>[1]孙悟空!$D$24</f>
        <v>9400</v>
      </c>
      <c r="E24">
        <f>[1]孙悟空!$E$24</f>
        <v>1727</v>
      </c>
      <c r="F24">
        <f>ROUND([1]孙悟空!$F$24*1000,0)</f>
        <v>200</v>
      </c>
      <c r="G24">
        <f>ROUND([1]孙悟空!$H$24*100,0)</f>
        <v>100</v>
      </c>
      <c r="H24">
        <f>[1]孙悟空!$I$24</f>
        <v>553</v>
      </c>
      <c r="I24">
        <f>[1]孙悟空!$J$24</f>
        <v>1880</v>
      </c>
    </row>
    <row r="25" spans="1:9" x14ac:dyDescent="0.15">
      <c r="A25">
        <v>24</v>
      </c>
      <c r="B25">
        <f>[1]孙悟空!$C$25</f>
        <v>23250</v>
      </c>
      <c r="C25">
        <f t="shared" si="0"/>
        <v>5850</v>
      </c>
      <c r="D25">
        <f>[1]孙悟空!$D$25</f>
        <v>12707</v>
      </c>
      <c r="E25">
        <f>[1]孙悟空!$E$25</f>
        <v>2227</v>
      </c>
      <c r="F25">
        <f>ROUND([1]孙悟空!$F$25*1000,0)</f>
        <v>200</v>
      </c>
      <c r="G25">
        <f>ROUND([1]孙悟空!$H$25*100,0)</f>
        <v>100</v>
      </c>
      <c r="H25">
        <f>[1]孙悟空!$I$25</f>
        <v>733</v>
      </c>
      <c r="I25">
        <f>[1]孙悟空!$J$25</f>
        <v>2541</v>
      </c>
    </row>
    <row r="26" spans="1:9" x14ac:dyDescent="0.15">
      <c r="A26">
        <v>25</v>
      </c>
      <c r="B26">
        <f>[1]孙悟空!$C$26</f>
        <v>30750</v>
      </c>
      <c r="C26">
        <f t="shared" si="0"/>
        <v>7500</v>
      </c>
      <c r="D26">
        <f>[1]孙悟空!$D$26</f>
        <v>16851</v>
      </c>
      <c r="E26">
        <f>[1]孙悟空!$E$26</f>
        <v>2902</v>
      </c>
      <c r="F26">
        <f>ROUND([1]孙悟空!$F$26*1000,0)</f>
        <v>200</v>
      </c>
      <c r="G26">
        <f>ROUND([1]孙悟空!$H$26*100,0)</f>
        <v>100</v>
      </c>
      <c r="H26">
        <f>[1]孙悟空!$I$26</f>
        <v>1003</v>
      </c>
      <c r="I26">
        <f>[1]孙悟空!$J$26</f>
        <v>3370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499984740745262"/>
  </sheetPr>
  <dimension ref="A1:I26"/>
  <sheetViews>
    <sheetView workbookViewId="0">
      <selection activeCell="K22" sqref="K22"/>
    </sheetView>
  </sheetViews>
  <sheetFormatPr defaultRowHeight="13.5" x14ac:dyDescent="0.15"/>
  <cols>
    <col min="6" max="7" width="10.25" customWidth="1"/>
    <col min="10" max="10" width="13.1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[1]猪八戒!$C$2</f>
        <v>50</v>
      </c>
      <c r="C2">
        <f>B2-0</f>
        <v>50</v>
      </c>
      <c r="D2">
        <f>[1]猪八戒!$D$2</f>
        <v>30</v>
      </c>
      <c r="E2">
        <f>[1]猪八戒!$E$2</f>
        <v>9</v>
      </c>
      <c r="F2">
        <f>ROUND([1]猪八戒!$F$2 *1000,0)</f>
        <v>0</v>
      </c>
      <c r="G2">
        <f>ROUND([1]猪八戒!$H$2 *100,0)</f>
        <v>70</v>
      </c>
      <c r="H2">
        <f>[1]猪八戒!$I$2</f>
        <v>9</v>
      </c>
      <c r="I2">
        <f>[1]猪八戒!$J$2</f>
        <v>9</v>
      </c>
    </row>
    <row r="3" spans="1:9" x14ac:dyDescent="0.15">
      <c r="A3">
        <v>2</v>
      </c>
      <c r="B3">
        <f>[1]猪八戒!$C$3</f>
        <v>100</v>
      </c>
      <c r="C3">
        <f>B3-B2</f>
        <v>50</v>
      </c>
      <c r="D3">
        <f>[1]猪八戒!$D$3</f>
        <v>34</v>
      </c>
      <c r="E3">
        <f>[1]猪八戒!$E$3</f>
        <v>17</v>
      </c>
      <c r="F3">
        <f>ROUND([1]猪八戒!$F$3 *1000,0)</f>
        <v>0</v>
      </c>
      <c r="G3">
        <f>ROUND([1]猪八戒!$H$3 *100,0)</f>
        <v>70</v>
      </c>
      <c r="H3">
        <f>[1]猪八戒!$I$3</f>
        <v>12</v>
      </c>
      <c r="I3">
        <f>[1]猪八戒!$J$3</f>
        <v>10</v>
      </c>
    </row>
    <row r="4" spans="1:9" x14ac:dyDescent="0.15">
      <c r="A4">
        <v>3</v>
      </c>
      <c r="B4">
        <f>[1]猪八戒!$C$4</f>
        <v>150</v>
      </c>
      <c r="C4">
        <f t="shared" ref="C4:C26" si="0">B4-B3</f>
        <v>50</v>
      </c>
      <c r="D4">
        <f>[1]猪八戒!$D$4</f>
        <v>38</v>
      </c>
      <c r="E4">
        <f>[1]猪八戒!$E$4</f>
        <v>26</v>
      </c>
      <c r="F4">
        <f>ROUND([1]猪八戒!$F$4 *1000,0)</f>
        <v>0</v>
      </c>
      <c r="G4">
        <f>ROUND([1]猪八戒!$H$4 *100,0)</f>
        <v>70</v>
      </c>
      <c r="H4">
        <f>[1]猪八戒!$I$4</f>
        <v>15</v>
      </c>
      <c r="I4">
        <f>[1]猪八戒!$J$4</f>
        <v>11</v>
      </c>
    </row>
    <row r="5" spans="1:9" x14ac:dyDescent="0.15">
      <c r="A5">
        <v>4</v>
      </c>
      <c r="B5">
        <f>[1]猪八戒!$C$5</f>
        <v>250</v>
      </c>
      <c r="C5">
        <f t="shared" si="0"/>
        <v>100</v>
      </c>
      <c r="D5">
        <f>[1]猪八戒!$D$5</f>
        <v>48</v>
      </c>
      <c r="E5">
        <f>[1]猪八戒!$E$5</f>
        <v>40</v>
      </c>
      <c r="F5">
        <f>ROUND([1]猪八戒!$F$5 *1000,0)</f>
        <v>0</v>
      </c>
      <c r="G5">
        <f>ROUND([1]猪八戒!$H$5 *100,0)</f>
        <v>70</v>
      </c>
      <c r="H5">
        <f>[1]猪八戒!$I$5</f>
        <v>21</v>
      </c>
      <c r="I5">
        <f>[1]猪八戒!$J$5</f>
        <v>14</v>
      </c>
    </row>
    <row r="6" spans="1:9" x14ac:dyDescent="0.15">
      <c r="A6">
        <v>5</v>
      </c>
      <c r="B6">
        <f>[1]猪八戒!$C$6</f>
        <v>350</v>
      </c>
      <c r="C6">
        <f t="shared" si="0"/>
        <v>100</v>
      </c>
      <c r="D6">
        <f>[1]猪八戒!$D$6</f>
        <v>53</v>
      </c>
      <c r="E6">
        <f>[1]猪八戒!$E$6</f>
        <v>58</v>
      </c>
      <c r="F6">
        <f>ROUND([1]猪八戒!$F$6 *1000,0)</f>
        <v>0</v>
      </c>
      <c r="G6">
        <f>ROUND([1]猪八戒!$H$6 *100,0)</f>
        <v>70</v>
      </c>
      <c r="H6">
        <f>[1]猪八戒!$I$6</f>
        <v>28</v>
      </c>
      <c r="I6">
        <f>[1]猪八戒!$J$6</f>
        <v>16</v>
      </c>
    </row>
    <row r="7" spans="1:9" x14ac:dyDescent="0.15">
      <c r="A7">
        <v>6</v>
      </c>
      <c r="B7">
        <f>[1]猪八戒!$C$7</f>
        <v>500</v>
      </c>
      <c r="C7">
        <f t="shared" si="0"/>
        <v>150</v>
      </c>
      <c r="D7">
        <f>[1]猪八戒!$D$7</f>
        <v>65</v>
      </c>
      <c r="E7">
        <f>[1]猪八戒!$E$7</f>
        <v>84</v>
      </c>
      <c r="F7">
        <f>ROUND([1]猪八戒!$F$7 *1000,0)</f>
        <v>0</v>
      </c>
      <c r="G7">
        <f>ROUND([1]猪八戒!$H$7 *100,0)</f>
        <v>70</v>
      </c>
      <c r="H7">
        <f>[1]猪八戒!$I$7</f>
        <v>36</v>
      </c>
      <c r="I7">
        <f>[1]猪八戒!$J$7</f>
        <v>20</v>
      </c>
    </row>
    <row r="8" spans="1:9" x14ac:dyDescent="0.15">
      <c r="A8">
        <v>7</v>
      </c>
      <c r="B8">
        <f>[1]猪八戒!$C$8</f>
        <v>650</v>
      </c>
      <c r="C8">
        <f t="shared" si="0"/>
        <v>150</v>
      </c>
      <c r="D8">
        <f>[1]猪八戒!$D$8</f>
        <v>81</v>
      </c>
      <c r="E8">
        <f>[1]猪八戒!$E$8</f>
        <v>106</v>
      </c>
      <c r="F8">
        <f>ROUND([1]猪八戒!$F$8 *1000,0)</f>
        <v>0</v>
      </c>
      <c r="G8">
        <f>ROUND([1]猪八戒!$H$8 *100,0)</f>
        <v>70</v>
      </c>
      <c r="H8">
        <f>[1]猪八戒!$I$8</f>
        <v>45</v>
      </c>
      <c r="I8">
        <f>[1]猪八戒!$J$8</f>
        <v>24</v>
      </c>
    </row>
    <row r="9" spans="1:9" x14ac:dyDescent="0.15">
      <c r="A9">
        <v>8</v>
      </c>
      <c r="B9">
        <f>[1]猪八戒!$C$9</f>
        <v>850</v>
      </c>
      <c r="C9">
        <f t="shared" si="0"/>
        <v>200</v>
      </c>
      <c r="D9">
        <f>[1]猪八戒!$D$9</f>
        <v>155</v>
      </c>
      <c r="E9">
        <f>[1]猪八戒!$E$9</f>
        <v>130</v>
      </c>
      <c r="F9">
        <f>ROUND([1]猪八戒!$F$9 *1000,0)</f>
        <v>0</v>
      </c>
      <c r="G9">
        <f>ROUND([1]猪八戒!$H$9 *100,0)</f>
        <v>70</v>
      </c>
      <c r="H9">
        <f>[1]猪八戒!$I$9</f>
        <v>55</v>
      </c>
      <c r="I9">
        <f>[1]猪八戒!$J$9</f>
        <v>47</v>
      </c>
    </row>
    <row r="10" spans="1:9" x14ac:dyDescent="0.15">
      <c r="A10">
        <v>9</v>
      </c>
      <c r="B10">
        <f>[1]猪八戒!$C$10</f>
        <v>1050</v>
      </c>
      <c r="C10">
        <f t="shared" si="0"/>
        <v>200</v>
      </c>
      <c r="D10">
        <f>[1]猪八戒!$D$10</f>
        <v>189</v>
      </c>
      <c r="E10">
        <f>[1]猪八戒!$E$10</f>
        <v>157</v>
      </c>
      <c r="F10">
        <f>ROUND([1]猪八戒!$F$10*1000,0)</f>
        <v>0</v>
      </c>
      <c r="G10">
        <f>ROUND([1]猪八戒!$H$10*100,0)</f>
        <v>70</v>
      </c>
      <c r="H10">
        <f>[1]猪八戒!$I$10</f>
        <v>66</v>
      </c>
      <c r="I10">
        <f>[1]猪八戒!$J$10</f>
        <v>57</v>
      </c>
    </row>
    <row r="11" spans="1:9" x14ac:dyDescent="0.15">
      <c r="A11">
        <v>10</v>
      </c>
      <c r="B11">
        <f>[1]猪八戒!$C$11</f>
        <v>1250</v>
      </c>
      <c r="C11">
        <f t="shared" si="0"/>
        <v>200</v>
      </c>
      <c r="D11">
        <f>[1]猪八戒!$D$11</f>
        <v>218</v>
      </c>
      <c r="E11">
        <f>[1]猪八戒!$E$11</f>
        <v>187</v>
      </c>
      <c r="F11">
        <f>ROUND([1]猪八戒!$F$11*1000,0)</f>
        <v>0</v>
      </c>
      <c r="G11">
        <f>ROUND([1]猪八戒!$H$11*100,0)</f>
        <v>70</v>
      </c>
      <c r="H11">
        <f>[1]猪八戒!$I$11</f>
        <v>78</v>
      </c>
      <c r="I11">
        <f>[1]猪八戒!$J$11</f>
        <v>65</v>
      </c>
    </row>
    <row r="12" spans="1:9" x14ac:dyDescent="0.15">
      <c r="A12">
        <v>11</v>
      </c>
      <c r="B12">
        <f>[1]猪八戒!$C$12</f>
        <v>1500</v>
      </c>
      <c r="C12">
        <f t="shared" si="0"/>
        <v>250</v>
      </c>
      <c r="D12">
        <f>[1]猪八戒!$D$12</f>
        <v>339</v>
      </c>
      <c r="E12">
        <f>[1]猪八戒!$E$12</f>
        <v>220</v>
      </c>
      <c r="F12">
        <f>ROUND([1]猪八戒!$F$12*1000,0)</f>
        <v>0</v>
      </c>
      <c r="G12">
        <f>ROUND([1]猪八戒!$H$12*100,0)</f>
        <v>70</v>
      </c>
      <c r="H12">
        <f>[1]猪八戒!$I$12</f>
        <v>91</v>
      </c>
      <c r="I12">
        <f>[1]猪八戒!$J$12</f>
        <v>102</v>
      </c>
    </row>
    <row r="13" spans="1:9" x14ac:dyDescent="0.15">
      <c r="A13">
        <v>12</v>
      </c>
      <c r="B13">
        <f>[1]猪八戒!$C$13</f>
        <v>1750</v>
      </c>
      <c r="C13">
        <f t="shared" si="0"/>
        <v>250</v>
      </c>
      <c r="D13">
        <f>[1]猪八戒!$D$13</f>
        <v>389</v>
      </c>
      <c r="E13">
        <f>[1]猪八戒!$E$13</f>
        <v>257</v>
      </c>
      <c r="F13">
        <f>ROUND([1]猪八戒!$F$13*1000,0)</f>
        <v>0</v>
      </c>
      <c r="G13">
        <f>ROUND([1]猪八戒!$H$13*100,0)</f>
        <v>70</v>
      </c>
      <c r="H13">
        <f>[1]猪八戒!$I$13</f>
        <v>105</v>
      </c>
      <c r="I13">
        <f>[1]猪八戒!$J$13</f>
        <v>117</v>
      </c>
    </row>
    <row r="14" spans="1:9" x14ac:dyDescent="0.15">
      <c r="A14">
        <v>13</v>
      </c>
      <c r="B14">
        <f>[1]猪八戒!$C$14</f>
        <v>2050</v>
      </c>
      <c r="C14">
        <f t="shared" si="0"/>
        <v>300</v>
      </c>
      <c r="D14">
        <f>[1]猪八戒!$D$14</f>
        <v>454</v>
      </c>
      <c r="E14">
        <f>[1]猪八戒!$E$14</f>
        <v>298</v>
      </c>
      <c r="F14">
        <f>ROUND([1]猪八戒!$F$14*1000,0)</f>
        <v>0</v>
      </c>
      <c r="G14">
        <f>ROUND([1]猪八戒!$H$14*100,0)</f>
        <v>70</v>
      </c>
      <c r="H14">
        <f>[1]猪八戒!$I$14</f>
        <v>121</v>
      </c>
      <c r="I14">
        <f>[1]猪八戒!$J$14</f>
        <v>136</v>
      </c>
    </row>
    <row r="15" spans="1:9" x14ac:dyDescent="0.15">
      <c r="A15">
        <v>14</v>
      </c>
      <c r="B15">
        <f>[1]猪八戒!$C$15</f>
        <v>2400</v>
      </c>
      <c r="C15">
        <f t="shared" si="0"/>
        <v>350</v>
      </c>
      <c r="D15">
        <f>[1]猪八戒!$D$15</f>
        <v>653</v>
      </c>
      <c r="E15">
        <f>[1]猪八戒!$E$15</f>
        <v>344</v>
      </c>
      <c r="F15">
        <f>ROUND([1]猪八戒!$F$15*1000,0)</f>
        <v>0</v>
      </c>
      <c r="G15">
        <f>ROUND([1]猪八戒!$H$15*100,0)</f>
        <v>70</v>
      </c>
      <c r="H15">
        <f>[1]猪八戒!$I$15</f>
        <v>139</v>
      </c>
      <c r="I15">
        <f>[1]猪八戒!$J$15</f>
        <v>196</v>
      </c>
    </row>
    <row r="16" spans="1:9" x14ac:dyDescent="0.15">
      <c r="A16">
        <v>15</v>
      </c>
      <c r="B16">
        <f>[1]猪八戒!$C$16</f>
        <v>2850</v>
      </c>
      <c r="C16">
        <f t="shared" si="0"/>
        <v>450</v>
      </c>
      <c r="D16">
        <f>[1]猪八戒!$D$16</f>
        <v>790</v>
      </c>
      <c r="E16">
        <f>[1]猪八戒!$E$16</f>
        <v>395</v>
      </c>
      <c r="F16">
        <f>ROUND([1]猪八戒!$F$16*1000,0)</f>
        <v>0</v>
      </c>
      <c r="G16">
        <f>ROUND([1]猪八戒!$H$16*100,0)</f>
        <v>70</v>
      </c>
      <c r="H16">
        <f>[1]猪八戒!$I$16</f>
        <v>159</v>
      </c>
      <c r="I16">
        <f>[1]猪八戒!$J$16</f>
        <v>237</v>
      </c>
    </row>
    <row r="17" spans="1:9" x14ac:dyDescent="0.15">
      <c r="A17">
        <v>16</v>
      </c>
      <c r="B17">
        <f>[1]猪八戒!$C$17</f>
        <v>3350</v>
      </c>
      <c r="C17">
        <f t="shared" si="0"/>
        <v>500</v>
      </c>
      <c r="D17">
        <f>[1]猪八戒!$D$17</f>
        <v>1108</v>
      </c>
      <c r="E17">
        <f>[1]猪八戒!$E$17</f>
        <v>452</v>
      </c>
      <c r="F17">
        <f>ROUND([1]猪八戒!$F$17*1000,0)</f>
        <v>0</v>
      </c>
      <c r="G17">
        <f>ROUND([1]猪八戒!$H$17*100,0)</f>
        <v>70</v>
      </c>
      <c r="H17">
        <f>[1]猪八戒!$I$17</f>
        <v>181</v>
      </c>
      <c r="I17">
        <f>[1]猪八戒!$J$17</f>
        <v>332</v>
      </c>
    </row>
    <row r="18" spans="1:9" x14ac:dyDescent="0.15">
      <c r="A18">
        <v>17</v>
      </c>
      <c r="B18">
        <f>[1]猪八戒!$C$18</f>
        <v>3900</v>
      </c>
      <c r="C18">
        <f t="shared" si="0"/>
        <v>550</v>
      </c>
      <c r="D18">
        <f>[1]猪八戒!$D$18</f>
        <v>1300</v>
      </c>
      <c r="E18">
        <f>[1]猪八戒!$E$18</f>
        <v>515</v>
      </c>
      <c r="F18">
        <f>ROUND([1]猪八戒!$F$18*1000,0)</f>
        <v>0</v>
      </c>
      <c r="G18">
        <f>ROUND([1]猪八戒!$H$18*100,0)</f>
        <v>70</v>
      </c>
      <c r="H18">
        <f>[1]猪八戒!$I$18</f>
        <v>206</v>
      </c>
      <c r="I18">
        <f>[1]猪八戒!$J$18</f>
        <v>390</v>
      </c>
    </row>
    <row r="19" spans="1:9" x14ac:dyDescent="0.15">
      <c r="A19">
        <v>18</v>
      </c>
      <c r="B19">
        <f>[1]猪八戒!$C$19</f>
        <v>4550</v>
      </c>
      <c r="C19">
        <f t="shared" si="0"/>
        <v>650</v>
      </c>
      <c r="D19">
        <f>[1]猪八戒!$D$19</f>
        <v>1535</v>
      </c>
      <c r="E19">
        <f>[1]猪八戒!$E$19</f>
        <v>585</v>
      </c>
      <c r="F19">
        <f>ROUND([1]猪八戒!$F$19*1000,0)</f>
        <v>0</v>
      </c>
      <c r="G19">
        <f>ROUND([1]猪八戒!$H$19*100,0)</f>
        <v>70</v>
      </c>
      <c r="H19">
        <f>[1]猪八戒!$I$19</f>
        <v>234</v>
      </c>
      <c r="I19">
        <f>[1]猪八戒!$J$19</f>
        <v>461</v>
      </c>
    </row>
    <row r="20" spans="1:9" x14ac:dyDescent="0.15">
      <c r="A20">
        <v>19</v>
      </c>
      <c r="B20">
        <f>[1]猪八戒!$C$20</f>
        <v>5500</v>
      </c>
      <c r="C20">
        <f t="shared" si="0"/>
        <v>950</v>
      </c>
      <c r="D20">
        <f>[1]猪八戒!$D$20</f>
        <v>2188</v>
      </c>
      <c r="E20">
        <f>[1]猪八戒!$E$20</f>
        <v>663</v>
      </c>
      <c r="F20">
        <f>ROUND([1]猪八戒!$F$20*1000,0)</f>
        <v>0</v>
      </c>
      <c r="G20">
        <f>ROUND([1]猪八戒!$H$20*100,0)</f>
        <v>70</v>
      </c>
      <c r="H20">
        <f>[1]猪八戒!$I$20</f>
        <v>265</v>
      </c>
      <c r="I20">
        <f>[1]猪八戒!$J$20</f>
        <v>656</v>
      </c>
    </row>
    <row r="21" spans="1:9" x14ac:dyDescent="0.15">
      <c r="A21">
        <v>20</v>
      </c>
      <c r="B21">
        <f>[1]猪八戒!$C$21</f>
        <v>6600</v>
      </c>
      <c r="C21">
        <f t="shared" si="0"/>
        <v>1100</v>
      </c>
      <c r="D21">
        <f>[1]猪八戒!$D$21</f>
        <v>2928</v>
      </c>
      <c r="E21">
        <f>[1]猪八戒!$E$21</f>
        <v>800</v>
      </c>
      <c r="F21">
        <f>ROUND([1]猪八戒!$F$21*1000,0)</f>
        <v>0</v>
      </c>
      <c r="G21">
        <f>ROUND([1]猪八戒!$H$21*100,0)</f>
        <v>70</v>
      </c>
      <c r="H21">
        <f>[1]猪八戒!$I$21</f>
        <v>300</v>
      </c>
      <c r="I21">
        <f>[1]猪八戒!$J$21</f>
        <v>878</v>
      </c>
    </row>
    <row r="22" spans="1:9" x14ac:dyDescent="0.15">
      <c r="A22">
        <v>21</v>
      </c>
      <c r="B22">
        <f>[1]猪八戒!$C$22</f>
        <v>9450</v>
      </c>
      <c r="C22">
        <f t="shared" si="0"/>
        <v>2850</v>
      </c>
      <c r="D22">
        <f>[1]猪八戒!$D$22</f>
        <v>4053</v>
      </c>
      <c r="E22">
        <f>[1]猪八戒!$E$22</f>
        <v>971</v>
      </c>
      <c r="F22">
        <f>ROUND([1]猪八戒!$F$22*1000,0)</f>
        <v>0</v>
      </c>
      <c r="G22">
        <f>ROUND([1]猪八戒!$H$22*100,0)</f>
        <v>70</v>
      </c>
      <c r="H22">
        <f>[1]猪八戒!$I$22</f>
        <v>349</v>
      </c>
      <c r="I22">
        <f>[1]猪八戒!$J$22</f>
        <v>1216</v>
      </c>
    </row>
    <row r="23" spans="1:9" x14ac:dyDescent="0.15">
      <c r="A23">
        <v>22</v>
      </c>
      <c r="B23">
        <f>[1]猪八戒!$C$23</f>
        <v>12800</v>
      </c>
      <c r="C23">
        <f t="shared" si="0"/>
        <v>3350</v>
      </c>
      <c r="D23">
        <f>[1]猪八戒!$D$23</f>
        <v>6315</v>
      </c>
      <c r="E23">
        <f>[1]猪八戒!$E$23</f>
        <v>1185</v>
      </c>
      <c r="F23">
        <f>ROUND([1]猪八戒!$F$23*1000,0)</f>
        <v>0</v>
      </c>
      <c r="G23">
        <f>ROUND([1]猪八戒!$H$23*100,0)</f>
        <v>70</v>
      </c>
      <c r="H23">
        <f>[1]猪八戒!$I$23</f>
        <v>418</v>
      </c>
      <c r="I23">
        <f>[1]猪八戒!$J$23</f>
        <v>1895</v>
      </c>
    </row>
    <row r="24" spans="1:9" x14ac:dyDescent="0.15">
      <c r="A24">
        <v>23</v>
      </c>
      <c r="B24">
        <f>[1]猪八戒!$C$24</f>
        <v>17400</v>
      </c>
      <c r="C24">
        <f t="shared" si="0"/>
        <v>4600</v>
      </c>
      <c r="D24">
        <f>[1]猪八戒!$D$24</f>
        <v>8824</v>
      </c>
      <c r="E24">
        <f>[1]猪八戒!$E$24</f>
        <v>1453</v>
      </c>
      <c r="F24">
        <f>ROUND([1]猪八戒!$F$24*1000,0)</f>
        <v>0</v>
      </c>
      <c r="G24">
        <f>ROUND([1]猪八戒!$H$24*100,0)</f>
        <v>70</v>
      </c>
      <c r="H24">
        <f>[1]猪八戒!$I$24</f>
        <v>515</v>
      </c>
      <c r="I24">
        <f>[1]猪八戒!$J$24</f>
        <v>2647</v>
      </c>
    </row>
    <row r="25" spans="1:9" x14ac:dyDescent="0.15">
      <c r="A25">
        <v>24</v>
      </c>
      <c r="B25">
        <f>[1]猪八戒!$C$25</f>
        <v>23250</v>
      </c>
      <c r="C25">
        <f t="shared" si="0"/>
        <v>5850</v>
      </c>
      <c r="D25">
        <f>[1]猪八戒!$D$25</f>
        <v>12014</v>
      </c>
      <c r="E25">
        <f>[1]猪八戒!$E$25</f>
        <v>1788</v>
      </c>
      <c r="F25">
        <f>ROUND([1]猪八戒!$F$25*1000,0)</f>
        <v>0</v>
      </c>
      <c r="G25">
        <f>ROUND([1]猪八戒!$H$25*100,0)</f>
        <v>70</v>
      </c>
      <c r="H25">
        <f>[1]猪八戒!$I$25</f>
        <v>651</v>
      </c>
      <c r="I25">
        <f>[1]猪八戒!$J$25</f>
        <v>3604</v>
      </c>
    </row>
    <row r="26" spans="1:9" x14ac:dyDescent="0.15">
      <c r="A26">
        <v>25</v>
      </c>
      <c r="B26">
        <f>[1]猪八戒!$C$26</f>
        <v>30750</v>
      </c>
      <c r="C26">
        <f t="shared" si="0"/>
        <v>7500</v>
      </c>
      <c r="D26">
        <f>[1]猪八戒!$D$26</f>
        <v>16110</v>
      </c>
      <c r="E26">
        <f>[1]猪八戒!$E$26</f>
        <v>2207</v>
      </c>
      <c r="F26">
        <f>ROUND([1]猪八戒!$F$26*1000,0)</f>
        <v>0</v>
      </c>
      <c r="G26">
        <f>ROUND([1]猪八戒!$H$26*100,0)</f>
        <v>70</v>
      </c>
      <c r="H26">
        <f>[1]猪八戒!$I$26</f>
        <v>841</v>
      </c>
      <c r="I26">
        <f>[1]猪八戒!$J$26</f>
        <v>4833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[1]沙和尚!$C$2</f>
        <v>50</v>
      </c>
      <c r="C2">
        <f>B2-0</f>
        <v>50</v>
      </c>
      <c r="D2">
        <f>[1]沙和尚!$D$2</f>
        <v>30</v>
      </c>
      <c r="E2">
        <f>[1]沙和尚!$E$2</f>
        <v>9</v>
      </c>
      <c r="F2">
        <f>ROUND([1]沙和尚!$F$2 *1000,0)</f>
        <v>0</v>
      </c>
      <c r="G2">
        <f>ROUND([1]沙和尚!$H$2 *100,0)</f>
        <v>100</v>
      </c>
      <c r="H2">
        <f>[1]沙和尚!$I$2</f>
        <v>8</v>
      </c>
      <c r="I2">
        <f>[1]沙和尚!$J$2</f>
        <v>9</v>
      </c>
    </row>
    <row r="3" spans="1:9" x14ac:dyDescent="0.15">
      <c r="A3">
        <v>2</v>
      </c>
      <c r="B3">
        <f>[1]沙和尚!$C$3</f>
        <v>100</v>
      </c>
      <c r="C3">
        <f>B3-B2</f>
        <v>50</v>
      </c>
      <c r="D3">
        <f>[1]沙和尚!$D$3</f>
        <v>33</v>
      </c>
      <c r="E3">
        <f>[1]沙和尚!$E$3</f>
        <v>15</v>
      </c>
      <c r="F3">
        <f>ROUND([1]沙和尚!$F$3 *1000,0)</f>
        <v>0</v>
      </c>
      <c r="G3">
        <f>ROUND([1]沙和尚!$H$3 *100,0)</f>
        <v>100</v>
      </c>
      <c r="H3">
        <f>[1]沙和尚!$I$3</f>
        <v>13</v>
      </c>
      <c r="I3">
        <f>[1]沙和尚!$J$3</f>
        <v>10</v>
      </c>
    </row>
    <row r="4" spans="1:9" x14ac:dyDescent="0.15">
      <c r="A4">
        <v>3</v>
      </c>
      <c r="B4">
        <f>[1]沙和尚!$C$4</f>
        <v>150</v>
      </c>
      <c r="C4">
        <f t="shared" ref="C4:C26" si="0">B4-B3</f>
        <v>50</v>
      </c>
      <c r="D4">
        <f>[1]沙和尚!$D$4</f>
        <v>35</v>
      </c>
      <c r="E4">
        <f>[1]沙和尚!$E$4</f>
        <v>19</v>
      </c>
      <c r="F4">
        <f>ROUND([1]沙和尚!$F$4 *1000,0)</f>
        <v>0</v>
      </c>
      <c r="G4">
        <f>ROUND([1]沙和尚!$H$4 *100,0)</f>
        <v>100</v>
      </c>
      <c r="H4">
        <f>[1]沙和尚!$I$4</f>
        <v>20</v>
      </c>
      <c r="I4">
        <f>[1]沙和尚!$J$4</f>
        <v>11</v>
      </c>
    </row>
    <row r="5" spans="1:9" x14ac:dyDescent="0.15">
      <c r="A5">
        <v>4</v>
      </c>
      <c r="B5">
        <f>[1]沙和尚!$C$5</f>
        <v>250</v>
      </c>
      <c r="C5">
        <f t="shared" si="0"/>
        <v>100</v>
      </c>
      <c r="D5">
        <f>[1]沙和尚!$D$5</f>
        <v>43</v>
      </c>
      <c r="E5">
        <f>[1]沙和尚!$E$5</f>
        <v>31</v>
      </c>
      <c r="F5">
        <f>ROUND([1]沙和尚!$F$5 *1000,0)</f>
        <v>0</v>
      </c>
      <c r="G5">
        <f>ROUND([1]沙和尚!$H$5 *100,0)</f>
        <v>100</v>
      </c>
      <c r="H5">
        <f>[1]沙和尚!$I$5</f>
        <v>28</v>
      </c>
      <c r="I5">
        <f>[1]沙和尚!$J$5</f>
        <v>13</v>
      </c>
    </row>
    <row r="6" spans="1:9" x14ac:dyDescent="0.15">
      <c r="A6">
        <v>5</v>
      </c>
      <c r="B6">
        <f>[1]沙和尚!$C$6</f>
        <v>350</v>
      </c>
      <c r="C6">
        <f t="shared" si="0"/>
        <v>100</v>
      </c>
      <c r="D6">
        <f>[1]沙和尚!$D$6</f>
        <v>52</v>
      </c>
      <c r="E6">
        <f>[1]沙和尚!$E$6</f>
        <v>40</v>
      </c>
      <c r="F6">
        <f>ROUND([1]沙和尚!$F$6 *1000,0)</f>
        <v>0</v>
      </c>
      <c r="G6">
        <f>ROUND([1]沙和尚!$H$6 *100,0)</f>
        <v>100</v>
      </c>
      <c r="H6">
        <f>[1]沙和尚!$I$6</f>
        <v>38</v>
      </c>
      <c r="I6">
        <f>[1]沙和尚!$J$6</f>
        <v>16</v>
      </c>
    </row>
    <row r="7" spans="1:9" x14ac:dyDescent="0.15">
      <c r="A7">
        <v>6</v>
      </c>
      <c r="B7">
        <f>[1]沙和尚!$C$7</f>
        <v>500</v>
      </c>
      <c r="C7">
        <f t="shared" si="0"/>
        <v>150</v>
      </c>
      <c r="D7">
        <f>[1]沙和尚!$D$7</f>
        <v>62</v>
      </c>
      <c r="E7">
        <f>[1]沙和尚!$E$7</f>
        <v>60</v>
      </c>
      <c r="F7">
        <f>ROUND([1]沙和尚!$F$7 *1000,0)</f>
        <v>0</v>
      </c>
      <c r="G7">
        <f>ROUND([1]沙和尚!$H$7 *100,0)</f>
        <v>100</v>
      </c>
      <c r="H7">
        <f>[1]沙和尚!$I$7</f>
        <v>50</v>
      </c>
      <c r="I7">
        <f>[1]沙和尚!$J$7</f>
        <v>19</v>
      </c>
    </row>
    <row r="8" spans="1:9" x14ac:dyDescent="0.15">
      <c r="A8">
        <v>7</v>
      </c>
      <c r="B8">
        <f>[1]沙和尚!$C$8</f>
        <v>650</v>
      </c>
      <c r="C8">
        <f t="shared" si="0"/>
        <v>150</v>
      </c>
      <c r="D8">
        <f>[1]沙和尚!$D$8</f>
        <v>78</v>
      </c>
      <c r="E8">
        <f>[1]沙和尚!$E$8</f>
        <v>75</v>
      </c>
      <c r="F8">
        <f>ROUND([1]沙和尚!$F$8 *1000,0)</f>
        <v>0</v>
      </c>
      <c r="G8">
        <f>ROUND([1]沙和尚!$H$8 *100,0)</f>
        <v>100</v>
      </c>
      <c r="H8">
        <f>[1]沙和尚!$I$8</f>
        <v>62</v>
      </c>
      <c r="I8">
        <f>[1]沙和尚!$J$8</f>
        <v>23</v>
      </c>
    </row>
    <row r="9" spans="1:9" x14ac:dyDescent="0.15">
      <c r="A9">
        <v>8</v>
      </c>
      <c r="B9">
        <f>[1]沙和尚!$C$9</f>
        <v>850</v>
      </c>
      <c r="C9">
        <f t="shared" si="0"/>
        <v>200</v>
      </c>
      <c r="D9">
        <f>[1]沙和尚!$D$9</f>
        <v>119</v>
      </c>
      <c r="E9">
        <f>[1]沙和尚!$E$9</f>
        <v>117</v>
      </c>
      <c r="F9">
        <f>ROUND([1]沙和尚!$F$9 *1000,0)</f>
        <v>0</v>
      </c>
      <c r="G9">
        <f>ROUND([1]沙和尚!$H$9 *100,0)</f>
        <v>100</v>
      </c>
      <c r="H9">
        <f>[1]沙和尚!$I$9</f>
        <v>75</v>
      </c>
      <c r="I9">
        <f>[1]沙和尚!$J$9</f>
        <v>36</v>
      </c>
    </row>
    <row r="10" spans="1:9" x14ac:dyDescent="0.15">
      <c r="A10">
        <v>9</v>
      </c>
      <c r="B10">
        <f>[1]沙和尚!$C$10</f>
        <v>1050</v>
      </c>
      <c r="C10">
        <f t="shared" si="0"/>
        <v>200</v>
      </c>
      <c r="D10">
        <f>[1]沙和尚!$D$10</f>
        <v>142</v>
      </c>
      <c r="E10">
        <f>[1]沙和尚!$E$10</f>
        <v>140</v>
      </c>
      <c r="F10">
        <f>ROUND([1]沙和尚!$F$10*1000,0)</f>
        <v>0</v>
      </c>
      <c r="G10">
        <f>ROUND([1]沙和尚!$H$10*100,0)</f>
        <v>100</v>
      </c>
      <c r="H10">
        <f>[1]沙和尚!$I$10</f>
        <v>95</v>
      </c>
      <c r="I10">
        <f>[1]沙和尚!$J$10</f>
        <v>43</v>
      </c>
    </row>
    <row r="11" spans="1:9" x14ac:dyDescent="0.15">
      <c r="A11">
        <v>10</v>
      </c>
      <c r="B11">
        <f>[1]沙和尚!$C$11</f>
        <v>1250</v>
      </c>
      <c r="C11">
        <f t="shared" si="0"/>
        <v>200</v>
      </c>
      <c r="D11">
        <f>[1]沙和尚!$D$11</f>
        <v>174</v>
      </c>
      <c r="E11">
        <f>[1]沙和尚!$E$11</f>
        <v>160</v>
      </c>
      <c r="F11">
        <f>ROUND([1]沙和尚!$F$11*1000,0)</f>
        <v>0</v>
      </c>
      <c r="G11">
        <f>ROUND([1]沙和尚!$H$11*100,0)</f>
        <v>100</v>
      </c>
      <c r="H11">
        <f>[1]沙和尚!$I$11</f>
        <v>110</v>
      </c>
      <c r="I11">
        <f>[1]沙和尚!$J$11</f>
        <v>52</v>
      </c>
    </row>
    <row r="12" spans="1:9" x14ac:dyDescent="0.15">
      <c r="A12">
        <v>11</v>
      </c>
      <c r="B12">
        <f>[1]沙和尚!$C$12</f>
        <v>1500</v>
      </c>
      <c r="C12">
        <f t="shared" si="0"/>
        <v>250</v>
      </c>
      <c r="D12">
        <f>[1]沙和尚!$D$12</f>
        <v>276</v>
      </c>
      <c r="E12">
        <f>[1]沙和尚!$E$12</f>
        <v>195</v>
      </c>
      <c r="F12">
        <f>ROUND([1]沙和尚!$F$12*1000,0)</f>
        <v>0</v>
      </c>
      <c r="G12">
        <f>ROUND([1]沙和尚!$H$12*100,0)</f>
        <v>100</v>
      </c>
      <c r="H12">
        <f>[1]沙和尚!$I$12</f>
        <v>130</v>
      </c>
      <c r="I12">
        <f>[1]沙和尚!$J$12</f>
        <v>83</v>
      </c>
    </row>
    <row r="13" spans="1:9" x14ac:dyDescent="0.15">
      <c r="A13">
        <v>12</v>
      </c>
      <c r="B13">
        <f>[1]沙和尚!$C$13</f>
        <v>1750</v>
      </c>
      <c r="C13">
        <f t="shared" si="0"/>
        <v>250</v>
      </c>
      <c r="D13">
        <f>[1]沙和尚!$D$13</f>
        <v>311</v>
      </c>
      <c r="E13">
        <f>[1]沙和尚!$E$13</f>
        <v>227</v>
      </c>
      <c r="F13">
        <f>ROUND([1]沙和尚!$F$13*1000,0)</f>
        <v>0</v>
      </c>
      <c r="G13">
        <f>ROUND([1]沙和尚!$H$13*100,0)</f>
        <v>100</v>
      </c>
      <c r="H13">
        <f>[1]沙和尚!$I$13</f>
        <v>155</v>
      </c>
      <c r="I13">
        <f>[1]沙和尚!$J$13</f>
        <v>93</v>
      </c>
    </row>
    <row r="14" spans="1:9" x14ac:dyDescent="0.15">
      <c r="A14">
        <v>13</v>
      </c>
      <c r="B14">
        <f>[1]沙和尚!$C$14</f>
        <v>2050</v>
      </c>
      <c r="C14">
        <f t="shared" si="0"/>
        <v>300</v>
      </c>
      <c r="D14">
        <f>[1]沙和尚!$D$14</f>
        <v>360</v>
      </c>
      <c r="E14">
        <f>[1]沙和尚!$E$14</f>
        <v>260</v>
      </c>
      <c r="F14">
        <f>ROUND([1]沙和尚!$F$14*1000,0)</f>
        <v>0</v>
      </c>
      <c r="G14">
        <f>ROUND([1]沙和尚!$H$14*100,0)</f>
        <v>100</v>
      </c>
      <c r="H14">
        <f>[1]沙和尚!$I$14</f>
        <v>185</v>
      </c>
      <c r="I14">
        <f>[1]沙和尚!$J$14</f>
        <v>108</v>
      </c>
    </row>
    <row r="15" spans="1:9" x14ac:dyDescent="0.15">
      <c r="A15">
        <v>14</v>
      </c>
      <c r="B15">
        <f>[1]沙和尚!$C$15</f>
        <v>2400</v>
      </c>
      <c r="C15">
        <f t="shared" si="0"/>
        <v>350</v>
      </c>
      <c r="D15">
        <f>[1]沙和尚!$D$15</f>
        <v>542</v>
      </c>
      <c r="E15">
        <f>[1]沙和尚!$E$15</f>
        <v>303</v>
      </c>
      <c r="F15">
        <f>ROUND([1]沙和尚!$F$15*1000,0)</f>
        <v>0</v>
      </c>
      <c r="G15">
        <f>ROUND([1]沙和尚!$H$15*100,0)</f>
        <v>100</v>
      </c>
      <c r="H15">
        <f>[1]沙和尚!$I$15</f>
        <v>212</v>
      </c>
      <c r="I15">
        <f>[1]沙和尚!$J$15</f>
        <v>163</v>
      </c>
    </row>
    <row r="16" spans="1:9" x14ac:dyDescent="0.15">
      <c r="A16">
        <v>15</v>
      </c>
      <c r="B16">
        <f>[1]沙和尚!$C$16</f>
        <v>2850</v>
      </c>
      <c r="C16">
        <f t="shared" si="0"/>
        <v>450</v>
      </c>
      <c r="D16">
        <f>[1]沙和尚!$D$16</f>
        <v>674</v>
      </c>
      <c r="E16">
        <f>[1]沙和尚!$E$16</f>
        <v>340</v>
      </c>
      <c r="F16">
        <f>ROUND([1]沙和尚!$F$16*1000,0)</f>
        <v>0</v>
      </c>
      <c r="G16">
        <f>ROUND([1]沙和尚!$H$16*100,0)</f>
        <v>100</v>
      </c>
      <c r="H16">
        <f>[1]沙和尚!$I$16</f>
        <v>242</v>
      </c>
      <c r="I16">
        <f>[1]沙和尚!$J$16</f>
        <v>202</v>
      </c>
    </row>
    <row r="17" spans="1:9" x14ac:dyDescent="0.15">
      <c r="A17">
        <v>16</v>
      </c>
      <c r="B17">
        <f>[1]沙和尚!$C$17</f>
        <v>3350</v>
      </c>
      <c r="C17">
        <f t="shared" si="0"/>
        <v>500</v>
      </c>
      <c r="D17">
        <f>[1]沙和尚!$D$17</f>
        <v>970</v>
      </c>
      <c r="E17">
        <f>[1]沙和尚!$E$17</f>
        <v>394</v>
      </c>
      <c r="F17">
        <f>ROUND([1]沙和尚!$F$17*1000,0)</f>
        <v>0</v>
      </c>
      <c r="G17">
        <f>ROUND([1]沙和尚!$H$17*100,0)</f>
        <v>100</v>
      </c>
      <c r="H17">
        <f>[1]沙和尚!$I$17</f>
        <v>275</v>
      </c>
      <c r="I17">
        <f>[1]沙和尚!$J$17</f>
        <v>291</v>
      </c>
    </row>
    <row r="18" spans="1:9" x14ac:dyDescent="0.15">
      <c r="A18">
        <v>17</v>
      </c>
      <c r="B18">
        <f>[1]沙和尚!$C$18</f>
        <v>3900</v>
      </c>
      <c r="C18">
        <f t="shared" si="0"/>
        <v>550</v>
      </c>
      <c r="D18">
        <f>[1]沙和尚!$D$18</f>
        <v>1160</v>
      </c>
      <c r="E18">
        <f>[1]沙和尚!$E$18</f>
        <v>437</v>
      </c>
      <c r="F18">
        <f>ROUND([1]沙和尚!$F$18*1000,0)</f>
        <v>0</v>
      </c>
      <c r="G18">
        <f>ROUND([1]沙和尚!$H$18*100,0)</f>
        <v>100</v>
      </c>
      <c r="H18">
        <f>[1]沙和尚!$I$18</f>
        <v>312</v>
      </c>
      <c r="I18">
        <f>[1]沙和尚!$J$18</f>
        <v>348</v>
      </c>
    </row>
    <row r="19" spans="1:9" x14ac:dyDescent="0.15">
      <c r="A19">
        <v>18</v>
      </c>
      <c r="B19">
        <f>[1]沙和尚!$C$19</f>
        <v>4550</v>
      </c>
      <c r="C19">
        <f t="shared" si="0"/>
        <v>650</v>
      </c>
      <c r="D19">
        <f>[1]沙和尚!$D$19</f>
        <v>1373</v>
      </c>
      <c r="E19">
        <f>[1]沙和尚!$E$19</f>
        <v>500</v>
      </c>
      <c r="F19">
        <f>ROUND([1]沙和尚!$F$19*1000,0)</f>
        <v>0</v>
      </c>
      <c r="G19">
        <f>ROUND([1]沙和尚!$H$19*100,0)</f>
        <v>100</v>
      </c>
      <c r="H19">
        <f>[1]沙和尚!$I$19</f>
        <v>353</v>
      </c>
      <c r="I19">
        <f>[1]沙和尚!$J$19</f>
        <v>412</v>
      </c>
    </row>
    <row r="20" spans="1:9" x14ac:dyDescent="0.15">
      <c r="A20">
        <v>19</v>
      </c>
      <c r="B20">
        <f>[1]沙和尚!$C$20</f>
        <v>5500</v>
      </c>
      <c r="C20">
        <f t="shared" si="0"/>
        <v>950</v>
      </c>
      <c r="D20">
        <f>[1]沙和尚!$D$20</f>
        <v>2000</v>
      </c>
      <c r="E20">
        <f>[1]沙和尚!$E$20</f>
        <v>571</v>
      </c>
      <c r="F20">
        <f>ROUND([1]沙和尚!$F$20*1000,0)</f>
        <v>0</v>
      </c>
      <c r="G20">
        <f>ROUND([1]沙和尚!$H$20*100,0)</f>
        <v>100</v>
      </c>
      <c r="H20">
        <f>[1]沙和尚!$I$20</f>
        <v>399</v>
      </c>
      <c r="I20">
        <f>[1]沙和尚!$J$20</f>
        <v>600</v>
      </c>
    </row>
    <row r="21" spans="1:9" x14ac:dyDescent="0.15">
      <c r="A21">
        <v>20</v>
      </c>
      <c r="B21">
        <f>[1]沙和尚!$C$21</f>
        <v>6600</v>
      </c>
      <c r="C21">
        <f t="shared" si="0"/>
        <v>1100</v>
      </c>
      <c r="D21">
        <f>[1]沙和尚!$D$21</f>
        <v>2688</v>
      </c>
      <c r="E21">
        <f>[1]沙和尚!$E$21</f>
        <v>690</v>
      </c>
      <c r="F21">
        <f>ROUND([1]沙和尚!$F$21*1000,0)</f>
        <v>0</v>
      </c>
      <c r="G21">
        <f>ROUND([1]沙和尚!$H$21*100,0)</f>
        <v>100</v>
      </c>
      <c r="H21">
        <f>[1]沙和尚!$I$21</f>
        <v>470</v>
      </c>
      <c r="I21">
        <f>[1]沙和尚!$J$21</f>
        <v>806</v>
      </c>
    </row>
    <row r="22" spans="1:9" x14ac:dyDescent="0.15">
      <c r="A22">
        <v>21</v>
      </c>
      <c r="B22">
        <f>[1]沙和尚!$C$22</f>
        <v>9450</v>
      </c>
      <c r="C22">
        <f t="shared" si="0"/>
        <v>2850</v>
      </c>
      <c r="D22">
        <f>[1]沙和尚!$D$22</f>
        <v>3846</v>
      </c>
      <c r="E22">
        <f>[1]沙和尚!$E$22</f>
        <v>764</v>
      </c>
      <c r="F22">
        <f>ROUND([1]沙和尚!$F$22*1000,0)</f>
        <v>0</v>
      </c>
      <c r="G22">
        <f>ROUND([1]沙和尚!$H$22*100,0)</f>
        <v>100</v>
      </c>
      <c r="H22">
        <f>[1]沙和尚!$I$22</f>
        <v>566</v>
      </c>
      <c r="I22">
        <f>[1]沙和尚!$J$22</f>
        <v>1154</v>
      </c>
    </row>
    <row r="23" spans="1:9" x14ac:dyDescent="0.15">
      <c r="A23">
        <v>22</v>
      </c>
      <c r="B23">
        <f>[1]沙和尚!$C$23</f>
        <v>12800</v>
      </c>
      <c r="C23">
        <f t="shared" si="0"/>
        <v>3350</v>
      </c>
      <c r="D23">
        <f>[1]沙和尚!$D$23</f>
        <v>5913</v>
      </c>
      <c r="E23">
        <f>[1]沙和尚!$E$23</f>
        <v>1032</v>
      </c>
      <c r="F23">
        <f>ROUND([1]沙和尚!$F$23*1000,0)</f>
        <v>0</v>
      </c>
      <c r="G23">
        <f>ROUND([1]沙和尚!$H$23*100,0)</f>
        <v>100</v>
      </c>
      <c r="H23">
        <f>[1]沙和尚!$I$23</f>
        <v>696</v>
      </c>
      <c r="I23">
        <f>[1]沙和尚!$J$23</f>
        <v>1774</v>
      </c>
    </row>
    <row r="24" spans="1:9" x14ac:dyDescent="0.15">
      <c r="A24">
        <v>23</v>
      </c>
      <c r="B24">
        <f>[1]沙和尚!$C$24</f>
        <v>17400</v>
      </c>
      <c r="C24">
        <f t="shared" si="0"/>
        <v>4600</v>
      </c>
      <c r="D24">
        <f>[1]沙和尚!$D$24</f>
        <v>8130</v>
      </c>
      <c r="E24">
        <f>[1]沙和尚!$E$24</f>
        <v>1400</v>
      </c>
      <c r="F24">
        <f>ROUND([1]沙和尚!$F$24*1000,0)</f>
        <v>0</v>
      </c>
      <c r="G24">
        <f>ROUND([1]沙和尚!$H$24*100,0)</f>
        <v>100</v>
      </c>
      <c r="H24">
        <f>[1]沙和尚!$I$24</f>
        <v>872</v>
      </c>
      <c r="I24">
        <f>[1]沙和尚!$J$24</f>
        <v>2439</v>
      </c>
    </row>
    <row r="25" spans="1:9" x14ac:dyDescent="0.15">
      <c r="A25">
        <v>24</v>
      </c>
      <c r="B25">
        <f>[1]沙和尚!$C$25</f>
        <v>23250</v>
      </c>
      <c r="C25">
        <f t="shared" si="0"/>
        <v>5850</v>
      </c>
      <c r="D25">
        <f>[1]沙和尚!$D$25</f>
        <v>10941</v>
      </c>
      <c r="E25">
        <f>[1]沙和尚!$E$25</f>
        <v>1868</v>
      </c>
      <c r="F25">
        <f>ROUND([1]沙和尚!$F$25*1000,0)</f>
        <v>0</v>
      </c>
      <c r="G25">
        <f>ROUND([1]沙和尚!$H$25*100,0)</f>
        <v>100</v>
      </c>
      <c r="H25">
        <f>[1]沙和尚!$I$25</f>
        <v>1110</v>
      </c>
      <c r="I25">
        <f>[1]沙和尚!$J$25</f>
        <v>3282</v>
      </c>
    </row>
    <row r="26" spans="1:9" x14ac:dyDescent="0.15">
      <c r="A26">
        <v>25</v>
      </c>
      <c r="B26">
        <f>[1]沙和尚!$C$26</f>
        <v>30750</v>
      </c>
      <c r="C26">
        <f t="shared" si="0"/>
        <v>7500</v>
      </c>
      <c r="D26">
        <f>[1]沙和尚!$D$26</f>
        <v>14540</v>
      </c>
      <c r="E26">
        <f>[1]沙和尚!$E$26</f>
        <v>2468</v>
      </c>
      <c r="F26">
        <f>ROUND([1]沙和尚!$F$26*1000,0)</f>
        <v>0</v>
      </c>
      <c r="G26">
        <f>ROUND([1]沙和尚!$H$26*100,0)</f>
        <v>100</v>
      </c>
      <c r="H26">
        <f>[1]沙和尚!$I$26</f>
        <v>1431</v>
      </c>
      <c r="I26">
        <f>[1]沙和尚!$J$26</f>
        <v>4362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-0.499984740745262"/>
  </sheetPr>
  <dimension ref="A1:I26"/>
  <sheetViews>
    <sheetView topLeftCell="A13" workbookViewId="0">
      <selection activeCell="M35" sqref="M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[1]白龙马!$C$2</f>
        <v>50</v>
      </c>
      <c r="C2">
        <f>B2-0</f>
        <v>50</v>
      </c>
      <c r="D2">
        <f>[1]白龙马!$D$2</f>
        <v>32</v>
      </c>
      <c r="E2">
        <f>[1]白龙马!$E$2</f>
        <v>9</v>
      </c>
      <c r="F2">
        <f>ROUND([1]白龙马!$F$2 *1000,0)</f>
        <v>0</v>
      </c>
      <c r="G2">
        <f>ROUND([1]白龙马!$H$2 *100,0)</f>
        <v>100</v>
      </c>
      <c r="H2">
        <f>[1]白龙马!$I$2</f>
        <v>6</v>
      </c>
      <c r="I2">
        <f>[1]白龙马!$J$2</f>
        <v>10</v>
      </c>
    </row>
    <row r="3" spans="1:9" x14ac:dyDescent="0.15">
      <c r="A3">
        <v>2</v>
      </c>
      <c r="B3">
        <f>[1]白龙马!$C$3</f>
        <v>100</v>
      </c>
      <c r="C3">
        <f>B3-B2</f>
        <v>50</v>
      </c>
      <c r="D3">
        <f>[1]白龙马!$D$3</f>
        <v>39</v>
      </c>
      <c r="E3">
        <f>[1]白龙马!$E$3</f>
        <v>17</v>
      </c>
      <c r="F3">
        <f>ROUND([1]白龙马!$F$3 *1000,0)</f>
        <v>0</v>
      </c>
      <c r="G3">
        <f>ROUND([1]白龙马!$H$3 *100,0)</f>
        <v>100</v>
      </c>
      <c r="H3">
        <f>[1]白龙马!$I$3</f>
        <v>6</v>
      </c>
      <c r="I3">
        <f>[1]白龙马!$J$3</f>
        <v>12</v>
      </c>
    </row>
    <row r="4" spans="1:9" x14ac:dyDescent="0.15">
      <c r="A4">
        <v>3</v>
      </c>
      <c r="B4">
        <f>[1]白龙马!$C$4</f>
        <v>150</v>
      </c>
      <c r="C4">
        <f t="shared" ref="C4:C26" si="0">B4-B3</f>
        <v>50</v>
      </c>
      <c r="D4">
        <f>[1]白龙马!$D$4</f>
        <v>43</v>
      </c>
      <c r="E4">
        <f>[1]白龙马!$E$4</f>
        <v>25</v>
      </c>
      <c r="F4">
        <f>ROUND([1]白龙马!$F$4 *1000,0)</f>
        <v>3</v>
      </c>
      <c r="G4">
        <f>ROUND([1]白龙马!$H$4 *100,0)</f>
        <v>100</v>
      </c>
      <c r="H4">
        <f>[1]白龙马!$I$4</f>
        <v>8</v>
      </c>
      <c r="I4">
        <f>[1]白龙马!$J$4</f>
        <v>13</v>
      </c>
    </row>
    <row r="5" spans="1:9" x14ac:dyDescent="0.15">
      <c r="A5">
        <v>4</v>
      </c>
      <c r="B5">
        <f>[1]白龙马!$C$5</f>
        <v>250</v>
      </c>
      <c r="C5">
        <f t="shared" si="0"/>
        <v>100</v>
      </c>
      <c r="D5">
        <f>[1]白龙马!$D$5</f>
        <v>53</v>
      </c>
      <c r="E5">
        <f>[1]白龙马!$E$5</f>
        <v>37</v>
      </c>
      <c r="F5">
        <f>ROUND([1]白龙马!$F$5 *1000,0)</f>
        <v>3</v>
      </c>
      <c r="G5">
        <f>ROUND([1]白龙马!$H$5 *100,0)</f>
        <v>100</v>
      </c>
      <c r="H5">
        <f>[1]白龙马!$I$5</f>
        <v>14</v>
      </c>
      <c r="I5">
        <f>[1]白龙马!$J$5</f>
        <v>16</v>
      </c>
    </row>
    <row r="6" spans="1:9" x14ac:dyDescent="0.15">
      <c r="A6">
        <v>5</v>
      </c>
      <c r="B6">
        <f>[1]白龙马!$C$6</f>
        <v>350</v>
      </c>
      <c r="C6">
        <f t="shared" si="0"/>
        <v>100</v>
      </c>
      <c r="D6">
        <f>[1]白龙马!$D$6</f>
        <v>58</v>
      </c>
      <c r="E6">
        <f>[1]白龙马!$E$6</f>
        <v>50</v>
      </c>
      <c r="F6">
        <f>ROUND([1]白龙马!$F$6 *1000,0)</f>
        <v>5</v>
      </c>
      <c r="G6">
        <f>ROUND([1]白龙马!$H$6 *100,0)</f>
        <v>120</v>
      </c>
      <c r="H6">
        <f>[1]白龙马!$I$6</f>
        <v>19</v>
      </c>
      <c r="I6">
        <f>[1]白龙马!$J$6</f>
        <v>17</v>
      </c>
    </row>
    <row r="7" spans="1:9" x14ac:dyDescent="0.15">
      <c r="A7">
        <v>6</v>
      </c>
      <c r="B7">
        <f>[1]白龙马!$C$7</f>
        <v>500</v>
      </c>
      <c r="C7">
        <f t="shared" si="0"/>
        <v>150</v>
      </c>
      <c r="D7">
        <f>[1]白龙马!$D$7</f>
        <v>72</v>
      </c>
      <c r="E7">
        <f>[1]白龙马!$E$7</f>
        <v>70</v>
      </c>
      <c r="F7">
        <f>ROUND([1]白龙马!$F$7 *1000,0)</f>
        <v>10</v>
      </c>
      <c r="G7">
        <f>ROUND([1]白龙马!$H$7 *100,0)</f>
        <v>120</v>
      </c>
      <c r="H7">
        <f>[1]白龙马!$I$7</f>
        <v>24</v>
      </c>
      <c r="I7">
        <f>[1]白龙马!$J$7</f>
        <v>22</v>
      </c>
    </row>
    <row r="8" spans="1:9" x14ac:dyDescent="0.15">
      <c r="A8">
        <v>7</v>
      </c>
      <c r="B8">
        <f>[1]白龙马!$C$8</f>
        <v>650</v>
      </c>
      <c r="C8">
        <f t="shared" si="0"/>
        <v>150</v>
      </c>
      <c r="D8">
        <f>[1]白龙马!$D$8</f>
        <v>78</v>
      </c>
      <c r="E8">
        <f>[1]白龙马!$E$8</f>
        <v>96</v>
      </c>
      <c r="F8">
        <f>ROUND([1]白龙马!$F$8 *1000,0)</f>
        <v>15</v>
      </c>
      <c r="G8">
        <f>ROUND([1]白龙马!$H$8 *100,0)</f>
        <v>120</v>
      </c>
      <c r="H8">
        <f>[1]白龙马!$I$8</f>
        <v>30</v>
      </c>
      <c r="I8">
        <f>[1]白龙马!$J$8</f>
        <v>23</v>
      </c>
    </row>
    <row r="9" spans="1:9" x14ac:dyDescent="0.15">
      <c r="A9">
        <v>8</v>
      </c>
      <c r="B9">
        <f>[1]白龙马!$C$9</f>
        <v>850</v>
      </c>
      <c r="C9">
        <f t="shared" si="0"/>
        <v>200</v>
      </c>
      <c r="D9">
        <f>[1]白龙马!$D$9</f>
        <v>150</v>
      </c>
      <c r="E9">
        <f>[1]白龙马!$E$9</f>
        <v>117</v>
      </c>
      <c r="F9">
        <f>ROUND([1]白龙马!$F$9 *1000,0)</f>
        <v>25</v>
      </c>
      <c r="G9">
        <f>ROUND([1]白龙马!$H$9 *100,0)</f>
        <v>120</v>
      </c>
      <c r="H9">
        <f>[1]白龙马!$I$9</f>
        <v>37</v>
      </c>
      <c r="I9">
        <f>[1]白龙马!$J$9</f>
        <v>45</v>
      </c>
    </row>
    <row r="10" spans="1:9" x14ac:dyDescent="0.15">
      <c r="A10">
        <v>9</v>
      </c>
      <c r="B10">
        <f>[1]白龙马!$C$10</f>
        <v>1050</v>
      </c>
      <c r="C10">
        <f t="shared" si="0"/>
        <v>200</v>
      </c>
      <c r="D10">
        <f>[1]白龙马!$D$10</f>
        <v>183</v>
      </c>
      <c r="E10">
        <f>[1]白龙马!$E$10</f>
        <v>140</v>
      </c>
      <c r="F10">
        <f>ROUND([1]白龙马!$F$10*1000,0)</f>
        <v>29</v>
      </c>
      <c r="G10">
        <f>ROUND([1]白龙马!$H$10*100,0)</f>
        <v>120</v>
      </c>
      <c r="H10">
        <f>[1]白龙马!$I$10</f>
        <v>45</v>
      </c>
      <c r="I10">
        <f>[1]白龙马!$J$10</f>
        <v>55</v>
      </c>
    </row>
    <row r="11" spans="1:9" x14ac:dyDescent="0.15">
      <c r="A11">
        <v>10</v>
      </c>
      <c r="B11">
        <f>[1]白龙马!$C$11</f>
        <v>1250</v>
      </c>
      <c r="C11">
        <f t="shared" si="0"/>
        <v>200</v>
      </c>
      <c r="D11">
        <f>[1]白龙马!$D$11</f>
        <v>198</v>
      </c>
      <c r="E11">
        <f>[1]白龙马!$E$11</f>
        <v>166</v>
      </c>
      <c r="F11">
        <f>ROUND([1]白龙马!$F$11*1000,0)</f>
        <v>37</v>
      </c>
      <c r="G11">
        <f>ROUND([1]白龙马!$H$11*100,0)</f>
        <v>130</v>
      </c>
      <c r="H11">
        <f>[1]白龙马!$I$11</f>
        <v>54</v>
      </c>
      <c r="I11">
        <f>[1]白龙马!$J$11</f>
        <v>59</v>
      </c>
    </row>
    <row r="12" spans="1:9" x14ac:dyDescent="0.15">
      <c r="A12">
        <v>11</v>
      </c>
      <c r="B12">
        <f>[1]白龙马!$C$12</f>
        <v>1500</v>
      </c>
      <c r="C12">
        <f t="shared" si="0"/>
        <v>250</v>
      </c>
      <c r="D12">
        <f>[1]白龙马!$D$12</f>
        <v>311</v>
      </c>
      <c r="E12">
        <f>[1]白龙马!$E$12</f>
        <v>195</v>
      </c>
      <c r="F12">
        <f>ROUND([1]白龙马!$F$12*1000,0)</f>
        <v>46</v>
      </c>
      <c r="G12">
        <f>ROUND([1]白龙马!$H$12*100,0)</f>
        <v>130</v>
      </c>
      <c r="H12">
        <f>[1]白龙马!$I$12</f>
        <v>64</v>
      </c>
      <c r="I12">
        <f>[1]白龙马!$J$12</f>
        <v>93</v>
      </c>
    </row>
    <row r="13" spans="1:9" x14ac:dyDescent="0.15">
      <c r="A13">
        <v>12</v>
      </c>
      <c r="B13">
        <f>[1]白龙马!$C$13</f>
        <v>1750</v>
      </c>
      <c r="C13">
        <f t="shared" si="0"/>
        <v>250</v>
      </c>
      <c r="D13">
        <f>[1]白龙马!$D$13</f>
        <v>354</v>
      </c>
      <c r="E13">
        <f>[1]白龙马!$E$13</f>
        <v>227</v>
      </c>
      <c r="F13">
        <f>ROUND([1]白龙马!$F$13*1000,0)</f>
        <v>55</v>
      </c>
      <c r="G13">
        <f>ROUND([1]白龙马!$H$13*100,0)</f>
        <v>130</v>
      </c>
      <c r="H13">
        <f>[1]白龙马!$I$13</f>
        <v>75</v>
      </c>
      <c r="I13">
        <f>[1]白龙马!$J$13</f>
        <v>106</v>
      </c>
    </row>
    <row r="14" spans="1:9" x14ac:dyDescent="0.15">
      <c r="A14">
        <v>13</v>
      </c>
      <c r="B14">
        <f>[1]白龙马!$C$14</f>
        <v>2050</v>
      </c>
      <c r="C14">
        <f t="shared" si="0"/>
        <v>300</v>
      </c>
      <c r="D14">
        <f>[1]白龙马!$D$14</f>
        <v>408</v>
      </c>
      <c r="E14">
        <f>[1]白龙马!$E$14</f>
        <v>263</v>
      </c>
      <c r="F14">
        <f>ROUND([1]白龙马!$F$14*1000,0)</f>
        <v>65</v>
      </c>
      <c r="G14">
        <f>ROUND([1]白龙马!$H$14*100,0)</f>
        <v>130</v>
      </c>
      <c r="H14">
        <f>[1]白龙马!$I$14</f>
        <v>87</v>
      </c>
      <c r="I14">
        <f>[1]白龙马!$J$14</f>
        <v>122</v>
      </c>
    </row>
    <row r="15" spans="1:9" x14ac:dyDescent="0.15">
      <c r="A15">
        <v>14</v>
      </c>
      <c r="B15">
        <f>[1]白龙马!$C$15</f>
        <v>2400</v>
      </c>
      <c r="C15">
        <f t="shared" si="0"/>
        <v>350</v>
      </c>
      <c r="D15">
        <f>[1]白龙马!$D$15</f>
        <v>595</v>
      </c>
      <c r="E15">
        <f>[1]白龙马!$E$15</f>
        <v>303</v>
      </c>
      <c r="F15">
        <f>ROUND([1]白龙马!$F$15*1000,0)</f>
        <v>76</v>
      </c>
      <c r="G15">
        <f>ROUND([1]白龙马!$H$15*100,0)</f>
        <v>130</v>
      </c>
      <c r="H15">
        <f>[1]白龙马!$I$15</f>
        <v>100</v>
      </c>
      <c r="I15">
        <f>[1]白龙马!$J$15</f>
        <v>179</v>
      </c>
    </row>
    <row r="16" spans="1:9" x14ac:dyDescent="0.15">
      <c r="A16">
        <v>15</v>
      </c>
      <c r="B16">
        <f>[1]白龙马!$C$16</f>
        <v>2850</v>
      </c>
      <c r="C16">
        <f t="shared" si="0"/>
        <v>450</v>
      </c>
      <c r="D16">
        <f>[1]白龙马!$D$16</f>
        <v>693</v>
      </c>
      <c r="E16">
        <f>[1]白龙马!$E$16</f>
        <v>347</v>
      </c>
      <c r="F16">
        <f>ROUND([1]白龙马!$F$16*1000,0)</f>
        <v>89</v>
      </c>
      <c r="G16">
        <f>ROUND([1]白龙马!$H$16*100,0)</f>
        <v>140</v>
      </c>
      <c r="H16">
        <f>[1]白龙马!$I$16</f>
        <v>114</v>
      </c>
      <c r="I16">
        <f>[1]白龙马!$J$16</f>
        <v>208</v>
      </c>
    </row>
    <row r="17" spans="1:9" x14ac:dyDescent="0.15">
      <c r="A17">
        <v>16</v>
      </c>
      <c r="B17">
        <f>[1]白龙马!$C$17</f>
        <v>3350</v>
      </c>
      <c r="C17">
        <f t="shared" si="0"/>
        <v>500</v>
      </c>
      <c r="D17">
        <f>[1]白龙马!$D$17</f>
        <v>992</v>
      </c>
      <c r="E17">
        <f>[1]白龙马!$E$17</f>
        <v>396</v>
      </c>
      <c r="F17">
        <f>ROUND([1]白龙马!$F$17*1000,0)</f>
        <v>100</v>
      </c>
      <c r="G17">
        <f>ROUND([1]白龙马!$H$17*100,0)</f>
        <v>140</v>
      </c>
      <c r="H17">
        <f>[1]白龙马!$I$17</f>
        <v>130</v>
      </c>
      <c r="I17">
        <f>[1]白龙马!$J$17</f>
        <v>298</v>
      </c>
    </row>
    <row r="18" spans="1:9" x14ac:dyDescent="0.15">
      <c r="A18">
        <v>17</v>
      </c>
      <c r="B18">
        <f>[1]白龙马!$C$18</f>
        <v>3900</v>
      </c>
      <c r="C18">
        <f t="shared" si="0"/>
        <v>550</v>
      </c>
      <c r="D18">
        <f>[1]白龙马!$D$18</f>
        <v>1162</v>
      </c>
      <c r="E18">
        <f>[1]白龙马!$E$18</f>
        <v>450</v>
      </c>
      <c r="F18">
        <f>ROUND([1]白龙马!$F$18*1000,0)</f>
        <v>111</v>
      </c>
      <c r="G18">
        <f>ROUND([1]白龙马!$H$18*100,0)</f>
        <v>140</v>
      </c>
      <c r="H18">
        <f>[1]白龙马!$I$18</f>
        <v>148</v>
      </c>
      <c r="I18">
        <f>[1]白龙马!$J$18</f>
        <v>349</v>
      </c>
    </row>
    <row r="19" spans="1:9" x14ac:dyDescent="0.15">
      <c r="A19">
        <v>18</v>
      </c>
      <c r="B19">
        <f>[1]白龙马!$C$19</f>
        <v>4550</v>
      </c>
      <c r="C19">
        <f t="shared" si="0"/>
        <v>650</v>
      </c>
      <c r="D19">
        <f>[1]白龙马!$D$19</f>
        <v>1368</v>
      </c>
      <c r="E19">
        <f>[1]白龙马!$E$19</f>
        <v>510</v>
      </c>
      <c r="F19">
        <f>ROUND([1]白龙马!$F$19*1000,0)</f>
        <v>125</v>
      </c>
      <c r="G19">
        <f>ROUND([1]白龙马!$H$19*100,0)</f>
        <v>140</v>
      </c>
      <c r="H19">
        <f>[1]白龙马!$I$19</f>
        <v>168</v>
      </c>
      <c r="I19">
        <f>[1]白龙马!$J$19</f>
        <v>410</v>
      </c>
    </row>
    <row r="20" spans="1:9" x14ac:dyDescent="0.15">
      <c r="A20">
        <v>19</v>
      </c>
      <c r="B20">
        <f>[1]白龙马!$C$20</f>
        <v>5500</v>
      </c>
      <c r="C20">
        <f t="shared" si="0"/>
        <v>950</v>
      </c>
      <c r="D20">
        <f>[1]白龙马!$D$20</f>
        <v>1996</v>
      </c>
      <c r="E20">
        <f>[1]白龙马!$E$20</f>
        <v>577</v>
      </c>
      <c r="F20">
        <f>ROUND([1]白龙马!$F$20*1000,0)</f>
        <v>130</v>
      </c>
      <c r="G20">
        <f>ROUND([1]白龙马!$H$20*100,0)</f>
        <v>140</v>
      </c>
      <c r="H20">
        <f>[1]白龙马!$I$20</f>
        <v>190</v>
      </c>
      <c r="I20">
        <f>[1]白龙马!$J$20</f>
        <v>599</v>
      </c>
    </row>
    <row r="21" spans="1:9" x14ac:dyDescent="0.15">
      <c r="A21">
        <v>20</v>
      </c>
      <c r="B21">
        <f>[1]白龙马!$C$21</f>
        <v>6600</v>
      </c>
      <c r="C21">
        <f t="shared" si="0"/>
        <v>1100</v>
      </c>
      <c r="D21">
        <f>[1]白龙马!$D$21</f>
        <v>2465</v>
      </c>
      <c r="E21">
        <f>[1]白龙马!$E$21</f>
        <v>690</v>
      </c>
      <c r="F21">
        <f>ROUND([1]白龙马!$F$21*1000,0)</f>
        <v>180</v>
      </c>
      <c r="G21">
        <f>ROUND([1]白龙马!$H$21*100,0)</f>
        <v>150</v>
      </c>
      <c r="H21">
        <f>[1]白龙马!$I$21</f>
        <v>250</v>
      </c>
      <c r="I21">
        <f>[1]白龙马!$J$21</f>
        <v>740</v>
      </c>
    </row>
    <row r="22" spans="1:9" x14ac:dyDescent="0.15">
      <c r="A22">
        <v>21</v>
      </c>
      <c r="B22">
        <f>[1]白龙马!$C$22</f>
        <v>9450</v>
      </c>
      <c r="C22">
        <f t="shared" si="0"/>
        <v>2850</v>
      </c>
      <c r="D22">
        <f>[1]白龙马!$D$22</f>
        <v>3680</v>
      </c>
      <c r="E22">
        <f>[1]白龙马!$E$22</f>
        <v>764</v>
      </c>
      <c r="F22">
        <f>ROUND([1]白龙马!$F$22*1000,0)</f>
        <v>180</v>
      </c>
      <c r="G22">
        <f>ROUND([1]白龙马!$H$22*100,0)</f>
        <v>150</v>
      </c>
      <c r="H22">
        <f>[1]白龙马!$I$22</f>
        <v>328</v>
      </c>
      <c r="I22">
        <f>[1]白龙马!$J$22</f>
        <v>1104</v>
      </c>
    </row>
    <row r="23" spans="1:9" x14ac:dyDescent="0.15">
      <c r="A23">
        <v>22</v>
      </c>
      <c r="B23">
        <f>[1]白龙马!$C$23</f>
        <v>12800</v>
      </c>
      <c r="C23">
        <f t="shared" si="0"/>
        <v>3350</v>
      </c>
      <c r="D23">
        <f>[1]白龙马!$D$23</f>
        <v>5616</v>
      </c>
      <c r="E23">
        <f>[1]白龙马!$E$23</f>
        <v>1032</v>
      </c>
      <c r="F23">
        <f>ROUND([1]白龙马!$F$23*1000,0)</f>
        <v>180</v>
      </c>
      <c r="G23">
        <f>ROUND([1]白龙马!$H$23*100,0)</f>
        <v>150</v>
      </c>
      <c r="H23">
        <f>[1]白龙马!$I$23</f>
        <v>429</v>
      </c>
      <c r="I23">
        <f>[1]白龙马!$J$23</f>
        <v>1685</v>
      </c>
    </row>
    <row r="24" spans="1:9" x14ac:dyDescent="0.15">
      <c r="A24">
        <v>23</v>
      </c>
      <c r="B24">
        <f>[1]白龙马!$C$24</f>
        <v>17400</v>
      </c>
      <c r="C24">
        <f t="shared" si="0"/>
        <v>4600</v>
      </c>
      <c r="D24">
        <f>[1]白龙马!$D$24</f>
        <v>7614</v>
      </c>
      <c r="E24">
        <f>[1]白龙马!$E$24</f>
        <v>1400</v>
      </c>
      <c r="F24">
        <f>ROUND([1]白龙马!$F$24*1000,0)</f>
        <v>200</v>
      </c>
      <c r="G24">
        <f>ROUND([1]白龙马!$H$24*100,0)</f>
        <v>150</v>
      </c>
      <c r="H24">
        <f>[1]白龙马!$I$24</f>
        <v>560</v>
      </c>
      <c r="I24">
        <f>[1]白龙马!$J$24</f>
        <v>2284</v>
      </c>
    </row>
    <row r="25" spans="1:9" x14ac:dyDescent="0.15">
      <c r="A25">
        <v>24</v>
      </c>
      <c r="B25">
        <f>[1]白龙马!$C$25</f>
        <v>23250</v>
      </c>
      <c r="C25">
        <f t="shared" si="0"/>
        <v>5850</v>
      </c>
      <c r="D25">
        <f>[1]白龙马!$D$25</f>
        <v>10055</v>
      </c>
      <c r="E25">
        <f>[1]白龙马!$E$25</f>
        <v>1868</v>
      </c>
      <c r="F25">
        <f>ROUND([1]白龙马!$F$25*1000,0)</f>
        <v>200</v>
      </c>
      <c r="G25">
        <f>ROUND([1]白龙马!$H$25*100,0)</f>
        <v>160</v>
      </c>
      <c r="H25">
        <f>[1]白龙马!$I$25</f>
        <v>730</v>
      </c>
      <c r="I25">
        <f>[1]白龙马!$J$25</f>
        <v>3017</v>
      </c>
    </row>
    <row r="26" spans="1:9" x14ac:dyDescent="0.15">
      <c r="A26">
        <v>25</v>
      </c>
      <c r="B26">
        <f>[1]白龙马!$C$26</f>
        <v>30750</v>
      </c>
      <c r="C26">
        <f t="shared" si="0"/>
        <v>7500</v>
      </c>
      <c r="D26">
        <f>[1]白龙马!$D$26</f>
        <v>13340</v>
      </c>
      <c r="E26">
        <f>[1]白龙马!$E$26</f>
        <v>2468</v>
      </c>
      <c r="F26">
        <f>ROUND([1]白龙马!$F$26*1000,0)</f>
        <v>200</v>
      </c>
      <c r="G26">
        <f>ROUND([1]白龙马!$H$26*100,0)</f>
        <v>160</v>
      </c>
      <c r="H26">
        <f>[1]白龙马!$I$26</f>
        <v>951</v>
      </c>
      <c r="I26">
        <f>[1]白龙马!$J$26</f>
        <v>4002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[1]猎户刘伯钦!$C$2</f>
        <v>50</v>
      </c>
      <c r="C2">
        <f>B2-0</f>
        <v>50</v>
      </c>
      <c r="D2">
        <f>[1]猎户刘伯钦!$D$2</f>
        <v>30</v>
      </c>
      <c r="E2">
        <f>[1]猎户刘伯钦!$E$2</f>
        <v>7</v>
      </c>
      <c r="F2">
        <f>ROUND([1]猎户刘伯钦!$F$2 *1000,0)</f>
        <v>0</v>
      </c>
      <c r="G2">
        <f>ROUND([1]猎户刘伯钦!$H$2 *100,0)</f>
        <v>100</v>
      </c>
      <c r="H2">
        <f>[1]猎户刘伯钦!$I$2</f>
        <v>6</v>
      </c>
      <c r="I2">
        <f>[1]猎户刘伯钦!$J$2</f>
        <v>9</v>
      </c>
    </row>
    <row r="3" spans="1:9" x14ac:dyDescent="0.15">
      <c r="A3">
        <v>2</v>
      </c>
      <c r="B3">
        <f>[1]猎户刘伯钦!$C$3</f>
        <v>100</v>
      </c>
      <c r="C3">
        <f>B3-B2</f>
        <v>50</v>
      </c>
      <c r="D3">
        <f>[1]猎户刘伯钦!$D$3</f>
        <v>32</v>
      </c>
      <c r="E3">
        <f>[1]猎户刘伯钦!$E$3</f>
        <v>13</v>
      </c>
      <c r="F3">
        <f>ROUND([1]猎户刘伯钦!$F$3 *1000,0)</f>
        <v>0</v>
      </c>
      <c r="G3">
        <f>ROUND([1]猎户刘伯钦!$H$3 *100,0)</f>
        <v>100</v>
      </c>
      <c r="H3">
        <f>[1]猎户刘伯钦!$I$3</f>
        <v>10</v>
      </c>
      <c r="I3">
        <f>[1]猎户刘伯钦!$J$3</f>
        <v>10</v>
      </c>
    </row>
    <row r="4" spans="1:9" x14ac:dyDescent="0.15">
      <c r="A4">
        <v>3</v>
      </c>
      <c r="B4">
        <f>[1]猎户刘伯钦!$C$4</f>
        <v>150</v>
      </c>
      <c r="C4">
        <f t="shared" ref="C4:C26" si="0">B4-B3</f>
        <v>50</v>
      </c>
      <c r="D4">
        <f>[1]猎户刘伯钦!$D$4</f>
        <v>32</v>
      </c>
      <c r="E4">
        <f>[1]猎户刘伯钦!$E$4</f>
        <v>20</v>
      </c>
      <c r="F4">
        <f>ROUND([1]猎户刘伯钦!$F$4 *1000,0)</f>
        <v>0</v>
      </c>
      <c r="G4">
        <f>ROUND([1]猎户刘伯钦!$H$4 *100,0)</f>
        <v>100</v>
      </c>
      <c r="H4">
        <f>[1]猎户刘伯钦!$I$4</f>
        <v>15</v>
      </c>
      <c r="I4">
        <f>[1]猎户刘伯钦!$J$4</f>
        <v>10</v>
      </c>
    </row>
    <row r="5" spans="1:9" x14ac:dyDescent="0.15">
      <c r="A5">
        <v>4</v>
      </c>
      <c r="B5">
        <f>[1]猎户刘伯钦!$C$5</f>
        <v>250</v>
      </c>
      <c r="C5">
        <f t="shared" si="0"/>
        <v>100</v>
      </c>
      <c r="D5">
        <f>[1]猎户刘伯钦!$D$5</f>
        <v>36</v>
      </c>
      <c r="E5">
        <f>[1]猎户刘伯钦!$E$5</f>
        <v>33</v>
      </c>
      <c r="F5">
        <f>ROUND([1]猎户刘伯钦!$F$5 *1000,0)</f>
        <v>0</v>
      </c>
      <c r="G5">
        <f>ROUND([1]猎户刘伯钦!$H$5 *100,0)</f>
        <v>100</v>
      </c>
      <c r="H5">
        <f>[1]猎户刘伯钦!$I$5</f>
        <v>22</v>
      </c>
      <c r="I5">
        <f>[1]猎户刘伯钦!$J$5</f>
        <v>11</v>
      </c>
    </row>
    <row r="6" spans="1:9" x14ac:dyDescent="0.15">
      <c r="A6">
        <v>5</v>
      </c>
      <c r="B6">
        <f>[1]猎户刘伯钦!$C$6</f>
        <v>350</v>
      </c>
      <c r="C6">
        <f t="shared" si="0"/>
        <v>100</v>
      </c>
      <c r="D6">
        <f>[1]猎户刘伯钦!$D$6</f>
        <v>39</v>
      </c>
      <c r="E6">
        <f>[1]猎户刘伯钦!$E$6</f>
        <v>47</v>
      </c>
      <c r="F6">
        <f>ROUND([1]猎户刘伯钦!$F$6 *1000,0)</f>
        <v>0</v>
      </c>
      <c r="G6">
        <f>ROUND([1]猎户刘伯钦!$H$6 *100,0)</f>
        <v>100</v>
      </c>
      <c r="H6">
        <f>[1]猎户刘伯钦!$I$6</f>
        <v>30</v>
      </c>
      <c r="I6">
        <f>[1]猎户刘伯钦!$J$6</f>
        <v>12</v>
      </c>
    </row>
    <row r="7" spans="1:9" x14ac:dyDescent="0.15">
      <c r="A7">
        <v>6</v>
      </c>
      <c r="B7">
        <f>[1]猎户刘伯钦!$C$7</f>
        <v>500</v>
      </c>
      <c r="C7">
        <f t="shared" si="0"/>
        <v>150</v>
      </c>
      <c r="D7">
        <f>[1]猎户刘伯钦!$D$7</f>
        <v>43</v>
      </c>
      <c r="E7">
        <f>[1]猎户刘伯钦!$E$7</f>
        <v>65</v>
      </c>
      <c r="F7">
        <f>ROUND([1]猎户刘伯钦!$F$7 *1000,0)</f>
        <v>0</v>
      </c>
      <c r="G7">
        <f>ROUND([1]猎户刘伯钦!$H$7 *100,0)</f>
        <v>100</v>
      </c>
      <c r="H7">
        <f>[1]猎户刘伯钦!$I$7</f>
        <v>44</v>
      </c>
      <c r="I7">
        <f>[1]猎户刘伯钦!$J$7</f>
        <v>13</v>
      </c>
    </row>
    <row r="8" spans="1:9" x14ac:dyDescent="0.15">
      <c r="A8">
        <v>7</v>
      </c>
      <c r="B8">
        <f>[1]猎户刘伯钦!$C$8</f>
        <v>650</v>
      </c>
      <c r="C8">
        <f t="shared" si="0"/>
        <v>150</v>
      </c>
      <c r="D8">
        <f>[1]猎户刘伯钦!$D$8</f>
        <v>43</v>
      </c>
      <c r="E8">
        <f>[1]猎户刘伯钦!$E$8</f>
        <v>87</v>
      </c>
      <c r="F8">
        <f>ROUND([1]猎户刘伯钦!$F$8 *1000,0)</f>
        <v>0</v>
      </c>
      <c r="G8">
        <f>ROUND([1]猎户刘伯钦!$H$8 *100,0)</f>
        <v>100</v>
      </c>
      <c r="H8">
        <f>[1]猎户刘伯钦!$I$8</f>
        <v>57</v>
      </c>
      <c r="I8">
        <f>[1]猎户刘伯钦!$J$8</f>
        <v>13</v>
      </c>
    </row>
    <row r="9" spans="1:9" x14ac:dyDescent="0.15">
      <c r="A9">
        <v>8</v>
      </c>
      <c r="B9">
        <f>[1]猎户刘伯钦!$C$9</f>
        <v>850</v>
      </c>
      <c r="C9">
        <f t="shared" si="0"/>
        <v>200</v>
      </c>
      <c r="D9">
        <f>[1]猎户刘伯钦!$D$9</f>
        <v>95</v>
      </c>
      <c r="E9">
        <f>[1]猎户刘伯钦!$E$9</f>
        <v>110</v>
      </c>
      <c r="F9">
        <f>ROUND([1]猎户刘伯钦!$F$9 *1000,0)</f>
        <v>0</v>
      </c>
      <c r="G9">
        <f>ROUND([1]猎户刘伯钦!$H$9 *100,0)</f>
        <v>100</v>
      </c>
      <c r="H9">
        <f>[1]猎户刘伯钦!$I$9</f>
        <v>72</v>
      </c>
      <c r="I9">
        <f>[1]猎户刘伯钦!$J$9</f>
        <v>29</v>
      </c>
    </row>
    <row r="10" spans="1:9" x14ac:dyDescent="0.15">
      <c r="A10">
        <v>9</v>
      </c>
      <c r="B10">
        <f>[1]猎户刘伯钦!$C$10</f>
        <v>1050</v>
      </c>
      <c r="C10">
        <f t="shared" si="0"/>
        <v>200</v>
      </c>
      <c r="D10">
        <f>[1]猎户刘伯钦!$D$10</f>
        <v>111</v>
      </c>
      <c r="E10">
        <f>[1]猎户刘伯钦!$E$10</f>
        <v>138</v>
      </c>
      <c r="F10">
        <f>ROUND([1]猎户刘伯钦!$F$10*1000,0)</f>
        <v>0</v>
      </c>
      <c r="G10">
        <f>ROUND([1]猎户刘伯钦!$H$10*100,0)</f>
        <v>100</v>
      </c>
      <c r="H10">
        <f>[1]猎户刘伯钦!$I$10</f>
        <v>86</v>
      </c>
      <c r="I10">
        <f>[1]猎户刘伯钦!$J$10</f>
        <v>33</v>
      </c>
    </row>
    <row r="11" spans="1:9" x14ac:dyDescent="0.15">
      <c r="A11">
        <v>10</v>
      </c>
      <c r="B11">
        <f>[1]猎户刘伯钦!$C$11</f>
        <v>1250</v>
      </c>
      <c r="C11">
        <f t="shared" si="0"/>
        <v>200</v>
      </c>
      <c r="D11">
        <f>[1]猎户刘伯钦!$D$11</f>
        <v>126</v>
      </c>
      <c r="E11">
        <f>[1]猎户刘伯钦!$E$11</f>
        <v>164</v>
      </c>
      <c r="F11">
        <f>ROUND([1]猎户刘伯钦!$F$11*1000,0)</f>
        <v>0</v>
      </c>
      <c r="G11">
        <f>ROUND([1]猎户刘伯钦!$H$11*100,0)</f>
        <v>100</v>
      </c>
      <c r="H11">
        <f>[1]猎户刘伯钦!$I$11</f>
        <v>102</v>
      </c>
      <c r="I11">
        <f>[1]猎户刘伯钦!$J$11</f>
        <v>38</v>
      </c>
    </row>
    <row r="12" spans="1:9" x14ac:dyDescent="0.15">
      <c r="A12">
        <v>11</v>
      </c>
      <c r="B12">
        <f>[1]猎户刘伯钦!$C$12</f>
        <v>1500</v>
      </c>
      <c r="C12">
        <f t="shared" si="0"/>
        <v>250</v>
      </c>
      <c r="D12">
        <f>[1]猎户刘伯钦!$D$12</f>
        <v>221</v>
      </c>
      <c r="E12">
        <f>[1]猎户刘伯钦!$E$12</f>
        <v>193</v>
      </c>
      <c r="F12">
        <f>ROUND([1]猎户刘伯钦!$F$12*1000,0)</f>
        <v>0</v>
      </c>
      <c r="G12">
        <f>ROUND([1]猎户刘伯钦!$H$12*100,0)</f>
        <v>100</v>
      </c>
      <c r="H12">
        <f>[1]猎户刘伯钦!$I$12</f>
        <v>120</v>
      </c>
      <c r="I12">
        <f>[1]猎户刘伯钦!$J$12</f>
        <v>66</v>
      </c>
    </row>
    <row r="13" spans="1:9" x14ac:dyDescent="0.15">
      <c r="A13">
        <v>12</v>
      </c>
      <c r="B13">
        <f>[1]猎户刘伯钦!$C$13</f>
        <v>1750</v>
      </c>
      <c r="C13">
        <f t="shared" si="0"/>
        <v>250</v>
      </c>
      <c r="D13">
        <f>[1]猎户刘伯钦!$D$13</f>
        <v>252</v>
      </c>
      <c r="E13">
        <f>[1]猎户刘伯钦!$E$13</f>
        <v>225</v>
      </c>
      <c r="F13">
        <f>ROUND([1]猎户刘伯钦!$F$13*1000,0)</f>
        <v>0</v>
      </c>
      <c r="G13">
        <f>ROUND([1]猎户刘伯钦!$H$13*100,0)</f>
        <v>100</v>
      </c>
      <c r="H13">
        <f>[1]猎户刘伯钦!$I$13</f>
        <v>140</v>
      </c>
      <c r="I13">
        <f>[1]猎户刘伯钦!$J$13</f>
        <v>76</v>
      </c>
    </row>
    <row r="14" spans="1:9" x14ac:dyDescent="0.15">
      <c r="A14">
        <v>13</v>
      </c>
      <c r="B14">
        <f>[1]猎户刘伯钦!$C$14</f>
        <v>2050</v>
      </c>
      <c r="C14">
        <f t="shared" si="0"/>
        <v>300</v>
      </c>
      <c r="D14">
        <f>[1]猎户刘伯钦!$D$14</f>
        <v>294</v>
      </c>
      <c r="E14">
        <f>[1]猎户刘伯钦!$E$14</f>
        <v>261</v>
      </c>
      <c r="F14">
        <f>ROUND([1]猎户刘伯钦!$F$14*1000,0)</f>
        <v>0</v>
      </c>
      <c r="G14">
        <f>ROUND([1]猎户刘伯钦!$H$14*100,0)</f>
        <v>100</v>
      </c>
      <c r="H14">
        <f>[1]猎户刘伯钦!$I$14</f>
        <v>162</v>
      </c>
      <c r="I14">
        <f>[1]猎户刘伯钦!$J$14</f>
        <v>88</v>
      </c>
    </row>
    <row r="15" spans="1:9" x14ac:dyDescent="0.15">
      <c r="A15">
        <v>14</v>
      </c>
      <c r="B15">
        <f>[1]猎户刘伯钦!$C$15</f>
        <v>2400</v>
      </c>
      <c r="C15">
        <f t="shared" si="0"/>
        <v>350</v>
      </c>
      <c r="D15">
        <f>[1]猎户刘伯钦!$D$15</f>
        <v>457</v>
      </c>
      <c r="E15">
        <f>[1]猎户刘伯钦!$E$15</f>
        <v>301</v>
      </c>
      <c r="F15">
        <f>ROUND([1]猎户刘伯钦!$F$15*1000,0)</f>
        <v>0</v>
      </c>
      <c r="G15">
        <f>ROUND([1]猎户刘伯钦!$H$15*100,0)</f>
        <v>100</v>
      </c>
      <c r="H15">
        <f>[1]猎户刘伯钦!$I$15</f>
        <v>186</v>
      </c>
      <c r="I15">
        <f>[1]猎户刘伯钦!$J$15</f>
        <v>137</v>
      </c>
    </row>
    <row r="16" spans="1:9" x14ac:dyDescent="0.15">
      <c r="A16">
        <v>15</v>
      </c>
      <c r="B16">
        <f>[1]猎户刘伯钦!$C$16</f>
        <v>2850</v>
      </c>
      <c r="C16">
        <f t="shared" si="0"/>
        <v>450</v>
      </c>
      <c r="D16">
        <f>[1]猎户刘伯钦!$D$16</f>
        <v>561</v>
      </c>
      <c r="E16">
        <f>[1]猎户刘伯钦!$E$16</f>
        <v>345</v>
      </c>
      <c r="F16">
        <f>ROUND([1]猎户刘伯钦!$F$16*1000,0)</f>
        <v>0</v>
      </c>
      <c r="G16">
        <f>ROUND([1]猎户刘伯钦!$H$16*100,0)</f>
        <v>100</v>
      </c>
      <c r="H16">
        <f>[1]猎户刘伯钦!$I$16</f>
        <v>213</v>
      </c>
      <c r="I16">
        <f>[1]猎户刘伯钦!$J$16</f>
        <v>168</v>
      </c>
    </row>
    <row r="17" spans="1:9" x14ac:dyDescent="0.15">
      <c r="A17">
        <v>16</v>
      </c>
      <c r="B17">
        <f>[1]猎户刘伯钦!$C$17</f>
        <v>3350</v>
      </c>
      <c r="C17">
        <f t="shared" si="0"/>
        <v>500</v>
      </c>
      <c r="D17">
        <f>[1]猎户刘伯钦!$D$17</f>
        <v>826</v>
      </c>
      <c r="E17">
        <f>[1]猎户刘伯钦!$E$17</f>
        <v>394</v>
      </c>
      <c r="F17">
        <f>ROUND([1]猎户刘伯钦!$F$17*1000,0)</f>
        <v>0</v>
      </c>
      <c r="G17">
        <f>ROUND([1]猎户刘伯钦!$H$17*100,0)</f>
        <v>100</v>
      </c>
      <c r="H17">
        <f>[1]猎户刘伯钦!$I$17</f>
        <v>243</v>
      </c>
      <c r="I17">
        <f>[1]猎户刘伯钦!$J$17</f>
        <v>248</v>
      </c>
    </row>
    <row r="18" spans="1:9" x14ac:dyDescent="0.15">
      <c r="A18">
        <v>17</v>
      </c>
      <c r="B18">
        <f>[1]猎户刘伯钦!$C$18</f>
        <v>3900</v>
      </c>
      <c r="C18">
        <f t="shared" si="0"/>
        <v>550</v>
      </c>
      <c r="D18">
        <f>[1]猎户刘伯钦!$D$18</f>
        <v>978</v>
      </c>
      <c r="E18">
        <f>[1]猎户刘伯钦!$E$18</f>
        <v>448</v>
      </c>
      <c r="F18">
        <f>ROUND([1]猎户刘伯钦!$F$18*1000,0)</f>
        <v>0</v>
      </c>
      <c r="G18">
        <f>ROUND([1]猎户刘伯钦!$H$18*100,0)</f>
        <v>100</v>
      </c>
      <c r="H18">
        <f>[1]猎户刘伯钦!$I$18</f>
        <v>276</v>
      </c>
      <c r="I18">
        <f>[1]猎户刘伯钦!$J$18</f>
        <v>293</v>
      </c>
    </row>
    <row r="19" spans="1:9" x14ac:dyDescent="0.15">
      <c r="A19">
        <v>18</v>
      </c>
      <c r="B19">
        <f>[1]猎户刘伯钦!$C$19</f>
        <v>4550</v>
      </c>
      <c r="C19">
        <f t="shared" si="0"/>
        <v>650</v>
      </c>
      <c r="D19">
        <f>[1]猎户刘伯钦!$D$19</f>
        <v>1165</v>
      </c>
      <c r="E19">
        <f>[1]猎户刘伯钦!$E$19</f>
        <v>508</v>
      </c>
      <c r="F19">
        <f>ROUND([1]猎户刘伯钦!$F$19*1000,0)</f>
        <v>0</v>
      </c>
      <c r="G19">
        <f>ROUND([1]猎户刘伯钦!$H$19*100,0)</f>
        <v>100</v>
      </c>
      <c r="H19">
        <f>[1]猎户刘伯钦!$I$19</f>
        <v>313</v>
      </c>
      <c r="I19">
        <f>[1]猎户刘伯钦!$J$19</f>
        <v>350</v>
      </c>
    </row>
    <row r="20" spans="1:9" x14ac:dyDescent="0.15">
      <c r="A20">
        <v>19</v>
      </c>
      <c r="B20">
        <f>[1]猎户刘伯钦!$C$20</f>
        <v>5500</v>
      </c>
      <c r="C20">
        <f t="shared" si="0"/>
        <v>950</v>
      </c>
      <c r="D20">
        <f>[1]猎户刘伯钦!$D$20</f>
        <v>1725</v>
      </c>
      <c r="E20">
        <f>[1]猎户刘伯钦!$E$20</f>
        <v>575</v>
      </c>
      <c r="F20">
        <f>ROUND([1]猎户刘伯钦!$F$20*1000,0)</f>
        <v>0</v>
      </c>
      <c r="G20">
        <f>ROUND([1]猎户刘伯钦!$H$20*100,0)</f>
        <v>100</v>
      </c>
      <c r="H20">
        <f>[1]猎户刘伯钦!$I$20</f>
        <v>354</v>
      </c>
      <c r="I20">
        <f>[1]猎户刘伯钦!$J$20</f>
        <v>518</v>
      </c>
    </row>
    <row r="21" spans="1:9" x14ac:dyDescent="0.15">
      <c r="A21">
        <v>20</v>
      </c>
      <c r="B21">
        <f>[1]猎户刘伯钦!$C$21</f>
        <v>6600</v>
      </c>
      <c r="C21">
        <f t="shared" si="0"/>
        <v>1100</v>
      </c>
      <c r="D21">
        <f>[1]猎户刘伯钦!$D$21</f>
        <v>2107</v>
      </c>
      <c r="E21">
        <f>[1]猎户刘伯钦!$E$21</f>
        <v>680</v>
      </c>
      <c r="F21">
        <f>ROUND([1]猎户刘伯钦!$F$21*1000,0)</f>
        <v>0</v>
      </c>
      <c r="G21">
        <f>ROUND([1]猎户刘伯钦!$H$21*100,0)</f>
        <v>100</v>
      </c>
      <c r="H21">
        <f>[1]猎户刘伯钦!$I$21</f>
        <v>440</v>
      </c>
      <c r="I21">
        <f>[1]猎户刘伯钦!$J$21</f>
        <v>632</v>
      </c>
    </row>
    <row r="22" spans="1:9" x14ac:dyDescent="0.15">
      <c r="A22">
        <v>21</v>
      </c>
      <c r="B22">
        <f>[1]猎户刘伯钦!$C$22</f>
        <v>9450</v>
      </c>
      <c r="C22">
        <f t="shared" si="0"/>
        <v>2850</v>
      </c>
      <c r="D22">
        <f>[1]猎户刘伯钦!$D$22</f>
        <v>3035</v>
      </c>
      <c r="E22">
        <f>[1]猎户刘伯钦!$E$22</f>
        <v>764</v>
      </c>
      <c r="F22">
        <f>ROUND([1]猎户刘伯钦!$F$22*1000,0)</f>
        <v>0</v>
      </c>
      <c r="G22">
        <f>ROUND([1]猎户刘伯钦!$H$22*100,0)</f>
        <v>100</v>
      </c>
      <c r="H22">
        <f>[1]猎户刘伯钦!$I$22</f>
        <v>543</v>
      </c>
      <c r="I22">
        <f>[1]猎户刘伯钦!$J$22</f>
        <v>911</v>
      </c>
    </row>
    <row r="23" spans="1:9" x14ac:dyDescent="0.15">
      <c r="A23">
        <v>22</v>
      </c>
      <c r="B23">
        <f>[1]猎户刘伯钦!$C$23</f>
        <v>12800</v>
      </c>
      <c r="C23">
        <f t="shared" si="0"/>
        <v>3350</v>
      </c>
      <c r="D23">
        <f>[1]猎户刘伯钦!$D$23</f>
        <v>4720</v>
      </c>
      <c r="E23">
        <f>[1]猎户刘伯钦!$E$23</f>
        <v>1032</v>
      </c>
      <c r="F23">
        <f>ROUND([1]猎户刘伯钦!$F$23*1000,0)</f>
        <v>0</v>
      </c>
      <c r="G23">
        <f>ROUND([1]猎户刘伯钦!$H$23*100,0)</f>
        <v>100</v>
      </c>
      <c r="H23">
        <f>[1]猎户刘伯钦!$I$23</f>
        <v>667</v>
      </c>
      <c r="I23">
        <f>[1]猎户刘伯钦!$J$23</f>
        <v>1416</v>
      </c>
    </row>
    <row r="24" spans="1:9" x14ac:dyDescent="0.15">
      <c r="A24">
        <v>23</v>
      </c>
      <c r="B24">
        <f>[1]猎户刘伯钦!$C$24</f>
        <v>17400</v>
      </c>
      <c r="C24">
        <f t="shared" si="0"/>
        <v>4600</v>
      </c>
      <c r="D24">
        <f>[1]猎户刘伯钦!$D$24</f>
        <v>6533</v>
      </c>
      <c r="E24">
        <f>[1]猎户刘伯钦!$E$24</f>
        <v>1400</v>
      </c>
      <c r="F24">
        <f>ROUND([1]猎户刘伯钦!$F$24*1000,0)</f>
        <v>0</v>
      </c>
      <c r="G24">
        <f>ROUND([1]猎户刘伯钦!$H$24*100,0)</f>
        <v>100</v>
      </c>
      <c r="H24">
        <f>[1]猎户刘伯钦!$I$24</f>
        <v>816</v>
      </c>
      <c r="I24">
        <f>[1]猎户刘伯钦!$J$24</f>
        <v>1960</v>
      </c>
    </row>
    <row r="25" spans="1:9" x14ac:dyDescent="0.15">
      <c r="A25">
        <v>24</v>
      </c>
      <c r="B25">
        <f>[1]猎户刘伯钦!$C$25</f>
        <v>23250</v>
      </c>
      <c r="C25">
        <f t="shared" si="0"/>
        <v>5850</v>
      </c>
      <c r="D25">
        <f>[1]猎户刘伯钦!$D$25</f>
        <v>8859</v>
      </c>
      <c r="E25">
        <f>[1]猎户刘伯钦!$E$25</f>
        <v>1868</v>
      </c>
      <c r="F25">
        <f>ROUND([1]猎户刘伯钦!$F$25*1000,0)</f>
        <v>0</v>
      </c>
      <c r="G25">
        <f>ROUND([1]猎户刘伯钦!$H$25*100,0)</f>
        <v>100</v>
      </c>
      <c r="H25">
        <f>[1]猎户刘伯钦!$I$25</f>
        <v>995</v>
      </c>
      <c r="I25">
        <f>[1]猎户刘伯钦!$J$25</f>
        <v>2658</v>
      </c>
    </row>
    <row r="26" spans="1:9" x14ac:dyDescent="0.15">
      <c r="A26">
        <v>25</v>
      </c>
      <c r="B26">
        <f>[1]猎户刘伯钦!$C$26</f>
        <v>30750</v>
      </c>
      <c r="C26">
        <f t="shared" si="0"/>
        <v>7500</v>
      </c>
      <c r="D26">
        <f>[1]猎户刘伯钦!$D$26</f>
        <v>11875</v>
      </c>
      <c r="E26">
        <f>[1]猎户刘伯钦!$E$26</f>
        <v>2468</v>
      </c>
      <c r="F26">
        <f>ROUND([1]猎户刘伯钦!$F$26*1000,0)</f>
        <v>0</v>
      </c>
      <c r="G26">
        <f>ROUND([1]猎户刘伯钦!$H$26*100,0)</f>
        <v>100</v>
      </c>
      <c r="H26">
        <f>[1]猎户刘伯钦!$I$26</f>
        <v>1210</v>
      </c>
      <c r="I26">
        <f>[1]猎户刘伯钦!$J$26</f>
        <v>3563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[1]悟空六意!$C$2</f>
        <v>50</v>
      </c>
      <c r="C2">
        <f>B2-0</f>
        <v>50</v>
      </c>
      <c r="D2">
        <f>[1]悟空六意!$D$2</f>
        <v>27</v>
      </c>
      <c r="E2">
        <f>[1]悟空六意!$E$2</f>
        <v>10</v>
      </c>
      <c r="F2">
        <f>ROUND([1]悟空六意!$F$2 *1000,0)</f>
        <v>0</v>
      </c>
      <c r="G2">
        <f>ROUND([1]悟空六意!$H$2 *100,0)</f>
        <v>100</v>
      </c>
      <c r="H2">
        <f>[1]悟空六意!$I$2</f>
        <v>9</v>
      </c>
      <c r="I2">
        <f>[1]悟空六意!$J$2</f>
        <v>8</v>
      </c>
    </row>
    <row r="3" spans="1:9" x14ac:dyDescent="0.15">
      <c r="A3">
        <v>2</v>
      </c>
      <c r="B3">
        <f>[1]悟空六意!$C$3</f>
        <v>100</v>
      </c>
      <c r="C3">
        <f>B3-B2</f>
        <v>50</v>
      </c>
      <c r="D3">
        <f>[1]悟空六意!$D$3</f>
        <v>27</v>
      </c>
      <c r="E3">
        <f>[1]悟空六意!$E$3</f>
        <v>19</v>
      </c>
      <c r="F3">
        <f>ROUND([1]悟空六意!$F$3 *1000,0)</f>
        <v>0</v>
      </c>
      <c r="G3">
        <f>ROUND([1]悟空六意!$H$3 *100,0)</f>
        <v>100</v>
      </c>
      <c r="H3">
        <f>[1]悟空六意!$I$3</f>
        <v>13</v>
      </c>
      <c r="I3">
        <f>[1]悟空六意!$J$3</f>
        <v>8</v>
      </c>
    </row>
    <row r="4" spans="1:9" x14ac:dyDescent="0.15">
      <c r="A4">
        <v>3</v>
      </c>
      <c r="B4">
        <f>[1]悟空六意!$C$4</f>
        <v>150</v>
      </c>
      <c r="C4">
        <f t="shared" ref="C4:C26" si="0">B4-B3</f>
        <v>50</v>
      </c>
      <c r="D4">
        <f>[1]悟空六意!$D$4</f>
        <v>28</v>
      </c>
      <c r="E4">
        <f>[1]悟空六意!$E$4</f>
        <v>29</v>
      </c>
      <c r="F4">
        <f>ROUND([1]悟空六意!$F$4 *1000,0)</f>
        <v>3</v>
      </c>
      <c r="G4">
        <f>ROUND([1]悟空六意!$H$4 *100,0)</f>
        <v>100</v>
      </c>
      <c r="H4">
        <f>[1]悟空六意!$I$4</f>
        <v>15</v>
      </c>
      <c r="I4">
        <f>[1]悟空六意!$J$4</f>
        <v>8</v>
      </c>
    </row>
    <row r="5" spans="1:9" x14ac:dyDescent="0.15">
      <c r="A5">
        <v>4</v>
      </c>
      <c r="B5">
        <f>[1]悟空六意!$C$5</f>
        <v>250</v>
      </c>
      <c r="C5">
        <f t="shared" si="0"/>
        <v>100</v>
      </c>
      <c r="D5">
        <f>[1]悟空六意!$D$5</f>
        <v>32</v>
      </c>
      <c r="E5">
        <f>[1]悟空六意!$E$5</f>
        <v>45</v>
      </c>
      <c r="F5">
        <f>ROUND([1]悟空六意!$F$5 *1000,0)</f>
        <v>3</v>
      </c>
      <c r="G5">
        <f>ROUND([1]悟空六意!$H$5 *100,0)</f>
        <v>100</v>
      </c>
      <c r="H5">
        <f>[1]悟空六意!$I$5</f>
        <v>22</v>
      </c>
      <c r="I5">
        <f>[1]悟空六意!$J$5</f>
        <v>10</v>
      </c>
    </row>
    <row r="6" spans="1:9" x14ac:dyDescent="0.15">
      <c r="A6">
        <v>5</v>
      </c>
      <c r="B6">
        <f>[1]悟空六意!$C$6</f>
        <v>350</v>
      </c>
      <c r="C6">
        <f t="shared" si="0"/>
        <v>100</v>
      </c>
      <c r="D6">
        <f>[1]悟空六意!$D$6</f>
        <v>34</v>
      </c>
      <c r="E6">
        <f>[1]悟空六意!$E$6</f>
        <v>64</v>
      </c>
      <c r="F6">
        <f>ROUND([1]悟空六意!$F$6 *1000,0)</f>
        <v>5</v>
      </c>
      <c r="G6">
        <f>ROUND([1]悟空六意!$H$6 *100,0)</f>
        <v>100</v>
      </c>
      <c r="H6">
        <f>[1]悟空六意!$I$6</f>
        <v>28</v>
      </c>
      <c r="I6">
        <f>[1]悟空六意!$J$6</f>
        <v>10</v>
      </c>
    </row>
    <row r="7" spans="1:9" x14ac:dyDescent="0.15">
      <c r="A7">
        <v>6</v>
      </c>
      <c r="B7">
        <f>[1]悟空六意!$C$7</f>
        <v>500</v>
      </c>
      <c r="C7">
        <f t="shared" si="0"/>
        <v>150</v>
      </c>
      <c r="D7">
        <f>[1]悟空六意!$D$7</f>
        <v>54</v>
      </c>
      <c r="E7">
        <f>[1]悟空六意!$E$7</f>
        <v>80</v>
      </c>
      <c r="F7">
        <f>ROUND([1]悟空六意!$F$7 *1000,0)</f>
        <v>10</v>
      </c>
      <c r="G7">
        <f>ROUND([1]悟空六意!$H$7 *100,0)</f>
        <v>100</v>
      </c>
      <c r="H7">
        <f>[1]悟空六意!$I$7</f>
        <v>35</v>
      </c>
      <c r="I7">
        <f>[1]悟空六意!$J$7</f>
        <v>16</v>
      </c>
    </row>
    <row r="8" spans="1:9" x14ac:dyDescent="0.15">
      <c r="A8">
        <v>7</v>
      </c>
      <c r="B8">
        <f>[1]悟空六意!$C$8</f>
        <v>650</v>
      </c>
      <c r="C8">
        <f t="shared" si="0"/>
        <v>150</v>
      </c>
      <c r="D8">
        <f>[1]悟空六意!$D$8</f>
        <v>68</v>
      </c>
      <c r="E8">
        <f>[1]悟空六意!$E$8</f>
        <v>100</v>
      </c>
      <c r="F8">
        <f>ROUND([1]悟空六意!$F$8 *1000,0)</f>
        <v>15</v>
      </c>
      <c r="G8">
        <f>ROUND([1]悟空六意!$H$8 *100,0)</f>
        <v>100</v>
      </c>
      <c r="H8">
        <f>[1]悟空六意!$I$8</f>
        <v>43</v>
      </c>
      <c r="I8">
        <f>[1]悟空六意!$J$8</f>
        <v>20</v>
      </c>
    </row>
    <row r="9" spans="1:9" x14ac:dyDescent="0.15">
      <c r="A9">
        <v>8</v>
      </c>
      <c r="B9">
        <f>[1]悟空六意!$C$9</f>
        <v>850</v>
      </c>
      <c r="C9">
        <f t="shared" si="0"/>
        <v>200</v>
      </c>
      <c r="D9">
        <f>[1]悟空六意!$D$9</f>
        <v>131</v>
      </c>
      <c r="E9">
        <f>[1]悟空六意!$E$9</f>
        <v>128</v>
      </c>
      <c r="F9">
        <f>ROUND([1]悟空六意!$F$9 *1000,0)</f>
        <v>25</v>
      </c>
      <c r="G9">
        <f>ROUND([1]悟空六意!$H$9 *100,0)</f>
        <v>100</v>
      </c>
      <c r="H9">
        <f>[1]悟空六意!$I$9</f>
        <v>52</v>
      </c>
      <c r="I9">
        <f>[1]悟空六意!$J$9</f>
        <v>39</v>
      </c>
    </row>
    <row r="10" spans="1:9" x14ac:dyDescent="0.15">
      <c r="A10">
        <v>9</v>
      </c>
      <c r="B10">
        <f>[1]悟空六意!$C$10</f>
        <v>1050</v>
      </c>
      <c r="C10">
        <f t="shared" si="0"/>
        <v>200</v>
      </c>
      <c r="D10">
        <f>[1]悟空六意!$D$10</f>
        <v>153</v>
      </c>
      <c r="E10">
        <f>[1]悟空六意!$E$10</f>
        <v>160</v>
      </c>
      <c r="F10">
        <f>ROUND([1]悟空六意!$F$10*1000,0)</f>
        <v>29</v>
      </c>
      <c r="G10">
        <f>ROUND([1]悟空六意!$H$10*100,0)</f>
        <v>100</v>
      </c>
      <c r="H10">
        <f>[1]悟空六意!$I$10</f>
        <v>62</v>
      </c>
      <c r="I10">
        <f>[1]悟空六意!$J$10</f>
        <v>46</v>
      </c>
    </row>
    <row r="11" spans="1:9" x14ac:dyDescent="0.15">
      <c r="A11">
        <v>10</v>
      </c>
      <c r="B11">
        <f>[1]悟空六意!$C$11</f>
        <v>1250</v>
      </c>
      <c r="C11">
        <f t="shared" si="0"/>
        <v>200</v>
      </c>
      <c r="D11">
        <f>[1]悟空六意!$D$11</f>
        <v>164</v>
      </c>
      <c r="E11">
        <f>[1]悟空六意!$E$11</f>
        <v>197</v>
      </c>
      <c r="F11">
        <f>ROUND([1]悟空六意!$F$11*1000,0)</f>
        <v>37</v>
      </c>
      <c r="G11">
        <f>ROUND([1]悟空六意!$H$11*100,0)</f>
        <v>100</v>
      </c>
      <c r="H11">
        <f>[1]悟空六意!$I$11</f>
        <v>73</v>
      </c>
      <c r="I11">
        <f>[1]悟空六意!$J$11</f>
        <v>49</v>
      </c>
    </row>
    <row r="12" spans="1:9" x14ac:dyDescent="0.15">
      <c r="A12">
        <v>11</v>
      </c>
      <c r="B12">
        <f>[1]悟空六意!$C$12</f>
        <v>1500</v>
      </c>
      <c r="C12">
        <f t="shared" si="0"/>
        <v>250</v>
      </c>
      <c r="D12">
        <f>[1]悟空六意!$D$12</f>
        <v>273</v>
      </c>
      <c r="E12">
        <f>[1]悟空六意!$E$12</f>
        <v>231</v>
      </c>
      <c r="F12">
        <f>ROUND([1]悟空六意!$F$12*1000,0)</f>
        <v>46</v>
      </c>
      <c r="G12">
        <f>ROUND([1]悟空六意!$H$12*100,0)</f>
        <v>100</v>
      </c>
      <c r="H12">
        <f>[1]悟空六意!$I$12</f>
        <v>85</v>
      </c>
      <c r="I12">
        <f>[1]悟空六意!$J$12</f>
        <v>82</v>
      </c>
    </row>
    <row r="13" spans="1:9" x14ac:dyDescent="0.15">
      <c r="A13">
        <v>12</v>
      </c>
      <c r="B13">
        <f>[1]悟空六意!$C$13</f>
        <v>1750</v>
      </c>
      <c r="C13">
        <f t="shared" si="0"/>
        <v>250</v>
      </c>
      <c r="D13">
        <f>[1]悟空六意!$D$13</f>
        <v>311</v>
      </c>
      <c r="E13">
        <f>[1]悟空六意!$E$13</f>
        <v>269</v>
      </c>
      <c r="F13">
        <f>ROUND([1]悟空六意!$F$13*1000,0)</f>
        <v>55</v>
      </c>
      <c r="G13">
        <f>ROUND([1]悟空六意!$H$13*100,0)</f>
        <v>100</v>
      </c>
      <c r="H13">
        <f>[1]悟空六意!$I$13</f>
        <v>98</v>
      </c>
      <c r="I13">
        <f>[1]悟空六意!$J$13</f>
        <v>93</v>
      </c>
    </row>
    <row r="14" spans="1:9" x14ac:dyDescent="0.15">
      <c r="A14">
        <v>13</v>
      </c>
      <c r="B14">
        <f>[1]悟空六意!$C$14</f>
        <v>2050</v>
      </c>
      <c r="C14">
        <f t="shared" si="0"/>
        <v>300</v>
      </c>
      <c r="D14">
        <f>[1]悟空六意!$D$14</f>
        <v>361</v>
      </c>
      <c r="E14">
        <f>[1]悟空六意!$E$14</f>
        <v>311</v>
      </c>
      <c r="F14">
        <f>ROUND([1]悟空六意!$F$14*1000,0)</f>
        <v>65</v>
      </c>
      <c r="G14">
        <f>ROUND([1]悟空六意!$H$14*100,0)</f>
        <v>100</v>
      </c>
      <c r="H14">
        <f>[1]悟空六意!$I$14</f>
        <v>113</v>
      </c>
      <c r="I14">
        <f>[1]悟空六意!$J$14</f>
        <v>108</v>
      </c>
    </row>
    <row r="15" spans="1:9" x14ac:dyDescent="0.15">
      <c r="A15">
        <v>14</v>
      </c>
      <c r="B15">
        <f>[1]悟空六意!$C$15</f>
        <v>2400</v>
      </c>
      <c r="C15">
        <f t="shared" si="0"/>
        <v>350</v>
      </c>
      <c r="D15">
        <f>[1]悟空六意!$D$15</f>
        <v>542</v>
      </c>
      <c r="E15">
        <f>[1]悟空六意!$E$15</f>
        <v>358</v>
      </c>
      <c r="F15">
        <f>ROUND([1]悟空六意!$F$15*1000,0)</f>
        <v>76</v>
      </c>
      <c r="G15">
        <f>ROUND([1]悟空六意!$H$15*100,0)</f>
        <v>100</v>
      </c>
      <c r="H15">
        <f>[1]悟空六意!$I$15</f>
        <v>130</v>
      </c>
      <c r="I15">
        <f>[1]悟空六意!$J$15</f>
        <v>163</v>
      </c>
    </row>
    <row r="16" spans="1:9" x14ac:dyDescent="0.15">
      <c r="A16">
        <v>15</v>
      </c>
      <c r="B16">
        <f>[1]悟空六意!$C$16</f>
        <v>2850</v>
      </c>
      <c r="C16">
        <f t="shared" si="0"/>
        <v>450</v>
      </c>
      <c r="D16">
        <f>[1]悟空六意!$D$16</f>
        <v>656</v>
      </c>
      <c r="E16">
        <f>[1]悟空六意!$E$16</f>
        <v>410</v>
      </c>
      <c r="F16">
        <f>ROUND([1]悟空六意!$F$16*1000,0)</f>
        <v>89</v>
      </c>
      <c r="G16">
        <f>ROUND([1]悟空六意!$H$16*100,0)</f>
        <v>100</v>
      </c>
      <c r="H16">
        <f>[1]悟空六意!$I$16</f>
        <v>149</v>
      </c>
      <c r="I16">
        <f>[1]悟空六意!$J$16</f>
        <v>197</v>
      </c>
    </row>
    <row r="17" spans="1:9" x14ac:dyDescent="0.15">
      <c r="A17">
        <v>16</v>
      </c>
      <c r="B17">
        <f>[1]悟空六意!$C$17</f>
        <v>3350</v>
      </c>
      <c r="C17">
        <f t="shared" si="0"/>
        <v>500</v>
      </c>
      <c r="D17">
        <f>[1]悟空六意!$D$17</f>
        <v>949</v>
      </c>
      <c r="E17">
        <f>[1]悟空六意!$E$17</f>
        <v>468</v>
      </c>
      <c r="F17">
        <f>ROUND([1]悟空六意!$F$17*1000,0)</f>
        <v>100</v>
      </c>
      <c r="G17">
        <f>ROUND([1]悟空六意!$H$17*100,0)</f>
        <v>100</v>
      </c>
      <c r="H17">
        <f>[1]悟空六意!$I$17</f>
        <v>170</v>
      </c>
      <c r="I17">
        <f>[1]悟空六意!$J$17</f>
        <v>285</v>
      </c>
    </row>
    <row r="18" spans="1:9" x14ac:dyDescent="0.15">
      <c r="A18">
        <v>17</v>
      </c>
      <c r="B18">
        <f>[1]悟空六意!$C$18</f>
        <v>3900</v>
      </c>
      <c r="C18">
        <f t="shared" si="0"/>
        <v>550</v>
      </c>
      <c r="D18">
        <f>[1]悟空六意!$D$18</f>
        <v>1114</v>
      </c>
      <c r="E18">
        <f>[1]悟空六意!$E$18</f>
        <v>532</v>
      </c>
      <c r="F18">
        <f>ROUND([1]悟空六意!$F$18*1000,0)</f>
        <v>111</v>
      </c>
      <c r="G18">
        <f>ROUND([1]悟空六意!$H$18*100,0)</f>
        <v>100</v>
      </c>
      <c r="H18">
        <f>[1]悟空六意!$I$18</f>
        <v>193</v>
      </c>
      <c r="I18">
        <f>[1]悟空六意!$J$18</f>
        <v>334</v>
      </c>
    </row>
    <row r="19" spans="1:9" x14ac:dyDescent="0.15">
      <c r="A19">
        <v>18</v>
      </c>
      <c r="B19">
        <f>[1]悟空六意!$C$19</f>
        <v>4550</v>
      </c>
      <c r="C19">
        <f t="shared" si="0"/>
        <v>650</v>
      </c>
      <c r="D19">
        <f>[1]悟空六意!$D$19</f>
        <v>1314</v>
      </c>
      <c r="E19">
        <f>[1]悟空六意!$E$19</f>
        <v>603</v>
      </c>
      <c r="F19">
        <f>ROUND([1]悟空六意!$F$19*1000,0)</f>
        <v>125</v>
      </c>
      <c r="G19">
        <f>ROUND([1]悟空六意!$H$19*100,0)</f>
        <v>100</v>
      </c>
      <c r="H19">
        <f>[1]悟空六意!$I$19</f>
        <v>219</v>
      </c>
      <c r="I19">
        <f>[1]悟空六意!$J$19</f>
        <v>394</v>
      </c>
    </row>
    <row r="20" spans="1:9" x14ac:dyDescent="0.15">
      <c r="A20">
        <v>19</v>
      </c>
      <c r="B20">
        <f>[1]悟空六意!$C$20</f>
        <v>5500</v>
      </c>
      <c r="C20">
        <f t="shared" si="0"/>
        <v>950</v>
      </c>
      <c r="D20">
        <f>[1]悟空六意!$D$20</f>
        <v>1935</v>
      </c>
      <c r="E20">
        <f>[1]悟空六意!$E$20</f>
        <v>682</v>
      </c>
      <c r="F20">
        <f>ROUND([1]悟空六意!$F$20*1000,0)</f>
        <v>130</v>
      </c>
      <c r="G20">
        <f>ROUND([1]悟空六意!$H$20*100,0)</f>
        <v>100</v>
      </c>
      <c r="H20">
        <f>[1]悟空六意!$I$20</f>
        <v>248</v>
      </c>
      <c r="I20">
        <f>[1]悟空六意!$J$20</f>
        <v>581</v>
      </c>
    </row>
    <row r="21" spans="1:9" x14ac:dyDescent="0.15">
      <c r="A21">
        <v>20</v>
      </c>
      <c r="B21">
        <f>[1]悟空六意!$C$21</f>
        <v>6600</v>
      </c>
      <c r="C21">
        <f t="shared" si="0"/>
        <v>1100</v>
      </c>
      <c r="D21">
        <f>[1]悟空六意!$D$21</f>
        <v>2572</v>
      </c>
      <c r="E21">
        <f>[1]悟空六意!$E$21</f>
        <v>820</v>
      </c>
      <c r="F21">
        <f>ROUND([1]悟空六意!$F$21*1000,0)</f>
        <v>180</v>
      </c>
      <c r="G21">
        <f>ROUND([1]悟空六意!$H$21*100,0)</f>
        <v>100</v>
      </c>
      <c r="H21">
        <f>[1]悟空六意!$I$21</f>
        <v>280</v>
      </c>
      <c r="I21">
        <f>[1]悟空六意!$J$21</f>
        <v>772</v>
      </c>
    </row>
    <row r="22" spans="1:9" x14ac:dyDescent="0.15">
      <c r="A22">
        <v>21</v>
      </c>
      <c r="B22">
        <f>[1]悟空六意!$C$22</f>
        <v>9450</v>
      </c>
      <c r="C22">
        <f t="shared" si="0"/>
        <v>2850</v>
      </c>
      <c r="D22">
        <f>[1]悟空六意!$D$22</f>
        <v>3600</v>
      </c>
      <c r="E22">
        <f>[1]悟空六意!$E$22</f>
        <v>1006</v>
      </c>
      <c r="F22">
        <f>ROUND([1]悟空六意!$F$22*1000,0)</f>
        <v>180</v>
      </c>
      <c r="G22">
        <f>ROUND([1]悟空六意!$H$22*100,0)</f>
        <v>100</v>
      </c>
      <c r="H22">
        <f>[1]悟空六意!$I$22</f>
        <v>328</v>
      </c>
      <c r="I22">
        <f>[1]悟空六意!$J$22</f>
        <v>1080</v>
      </c>
    </row>
    <row r="23" spans="1:9" x14ac:dyDescent="0.15">
      <c r="A23">
        <v>22</v>
      </c>
      <c r="B23">
        <f>[1]悟空六意!$C$23</f>
        <v>12800</v>
      </c>
      <c r="C23">
        <f t="shared" si="0"/>
        <v>3350</v>
      </c>
      <c r="D23">
        <f>[1]悟空六意!$D$23</f>
        <v>5707</v>
      </c>
      <c r="E23">
        <f>[1]悟空六意!$E$23</f>
        <v>1257</v>
      </c>
      <c r="F23">
        <f>ROUND([1]悟空六意!$F$23*1000,0)</f>
        <v>180</v>
      </c>
      <c r="G23">
        <f>ROUND([1]悟空六意!$H$23*100,0)</f>
        <v>100</v>
      </c>
      <c r="H23">
        <f>[1]悟空六意!$I$23</f>
        <v>400</v>
      </c>
      <c r="I23">
        <f>[1]悟空六意!$J$23</f>
        <v>1712</v>
      </c>
    </row>
    <row r="24" spans="1:9" x14ac:dyDescent="0.15">
      <c r="A24">
        <v>23</v>
      </c>
      <c r="B24">
        <f>[1]悟空六意!$C$24</f>
        <v>17400</v>
      </c>
      <c r="C24">
        <f t="shared" si="0"/>
        <v>4600</v>
      </c>
      <c r="D24">
        <f>[1]悟空六意!$D$24</f>
        <v>7929</v>
      </c>
      <c r="E24">
        <f>[1]悟空六意!$E$24</f>
        <v>1596</v>
      </c>
      <c r="F24">
        <f>ROUND([1]悟空六意!$F$24*1000,0)</f>
        <v>200</v>
      </c>
      <c r="G24">
        <f>ROUND([1]悟空六意!$H$24*100,0)</f>
        <v>100</v>
      </c>
      <c r="H24">
        <f>[1]悟空六意!$I$24</f>
        <v>508</v>
      </c>
      <c r="I24">
        <f>[1]悟空六意!$J$24</f>
        <v>2379</v>
      </c>
    </row>
    <row r="25" spans="1:9" x14ac:dyDescent="0.15">
      <c r="A25">
        <v>24</v>
      </c>
      <c r="B25">
        <f>[1]悟空六意!$C$25</f>
        <v>23250</v>
      </c>
      <c r="C25">
        <f t="shared" si="0"/>
        <v>5850</v>
      </c>
      <c r="D25">
        <f>[1]悟空六意!$D$25</f>
        <v>10732</v>
      </c>
      <c r="E25">
        <f>[1]悟空六意!$E$25</f>
        <v>2054</v>
      </c>
      <c r="F25">
        <f>ROUND([1]悟空六意!$F$25*1000,0)</f>
        <v>200</v>
      </c>
      <c r="G25">
        <f>ROUND([1]悟空六意!$H$25*100,0)</f>
        <v>100</v>
      </c>
      <c r="H25">
        <f>[1]悟空六意!$I$25</f>
        <v>670</v>
      </c>
      <c r="I25">
        <f>[1]悟空六意!$J$25</f>
        <v>3220</v>
      </c>
    </row>
    <row r="26" spans="1:9" x14ac:dyDescent="0.15">
      <c r="A26">
        <v>25</v>
      </c>
      <c r="B26">
        <f>[1]悟空六意!$C$26</f>
        <v>30750</v>
      </c>
      <c r="C26">
        <f t="shared" si="0"/>
        <v>7500</v>
      </c>
      <c r="D26">
        <f>[1]悟空六意!$D$26</f>
        <v>14246</v>
      </c>
      <c r="E26">
        <f>[1]悟空六意!$E$26</f>
        <v>2672</v>
      </c>
      <c r="F26">
        <f>ROUND([1]悟空六意!$F$26*1000,0)</f>
        <v>200</v>
      </c>
      <c r="G26">
        <f>ROUND([1]悟空六意!$H$26*100,0)</f>
        <v>100</v>
      </c>
      <c r="H26">
        <f>[1]悟空六意!$I$26</f>
        <v>913</v>
      </c>
      <c r="I26">
        <f>[1]悟空六意!$J$26</f>
        <v>4274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-0.499984740745262"/>
  </sheetPr>
  <dimension ref="A1:I26"/>
  <sheetViews>
    <sheetView topLeftCell="A19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[1]龟丞相!$C$2</f>
        <v>50</v>
      </c>
      <c r="C2">
        <f>B2-0</f>
        <v>50</v>
      </c>
      <c r="D2">
        <f>[1]龟丞相!$D$2</f>
        <v>25</v>
      </c>
      <c r="E2">
        <f>[1]龟丞相!$E$2</f>
        <v>9</v>
      </c>
      <c r="F2">
        <f>ROUND([1]龟丞相!$F$2 *1000,0)</f>
        <v>100</v>
      </c>
      <c r="G2">
        <f>ROUND([1]龟丞相!$H$2 *100,0)</f>
        <v>100</v>
      </c>
      <c r="H2">
        <f>[1]龟丞相!$I$2</f>
        <v>8</v>
      </c>
      <c r="I2">
        <f>[1]龟丞相!$J$2</f>
        <v>8</v>
      </c>
    </row>
    <row r="3" spans="1:9" x14ac:dyDescent="0.15">
      <c r="A3">
        <v>2</v>
      </c>
      <c r="B3">
        <f>[1]龟丞相!$C$3</f>
        <v>100</v>
      </c>
      <c r="C3">
        <f>B3-B2</f>
        <v>50</v>
      </c>
      <c r="D3">
        <f>[1]龟丞相!$D$3</f>
        <v>29</v>
      </c>
      <c r="E3">
        <f>[1]龟丞相!$E$3</f>
        <v>13</v>
      </c>
      <c r="F3">
        <f>ROUND([1]龟丞相!$F$3 *1000,0)</f>
        <v>100</v>
      </c>
      <c r="G3">
        <f>ROUND([1]龟丞相!$H$3 *100,0)</f>
        <v>100</v>
      </c>
      <c r="H3">
        <f>[1]龟丞相!$I$3</f>
        <v>13</v>
      </c>
      <c r="I3">
        <f>[1]龟丞相!$J$3</f>
        <v>9</v>
      </c>
    </row>
    <row r="4" spans="1:9" x14ac:dyDescent="0.15">
      <c r="A4">
        <v>3</v>
      </c>
      <c r="B4">
        <f>[1]龟丞相!$C$4</f>
        <v>150</v>
      </c>
      <c r="C4">
        <f t="shared" ref="C4:C26" si="0">B4-B3</f>
        <v>50</v>
      </c>
      <c r="D4">
        <f>[1]龟丞相!$D$4</f>
        <v>33</v>
      </c>
      <c r="E4">
        <f>[1]龟丞相!$E$4</f>
        <v>18</v>
      </c>
      <c r="F4">
        <f>ROUND([1]龟丞相!$F$4 *1000,0)</f>
        <v>100</v>
      </c>
      <c r="G4">
        <f>ROUND([1]龟丞相!$H$4 *100,0)</f>
        <v>100</v>
      </c>
      <c r="H4">
        <f>[1]龟丞相!$I$4</f>
        <v>17</v>
      </c>
      <c r="I4">
        <f>[1]龟丞相!$J$4</f>
        <v>10</v>
      </c>
    </row>
    <row r="5" spans="1:9" x14ac:dyDescent="0.15">
      <c r="A5">
        <v>4</v>
      </c>
      <c r="B5">
        <f>[1]龟丞相!$C$5</f>
        <v>250</v>
      </c>
      <c r="C5">
        <f t="shared" si="0"/>
        <v>100</v>
      </c>
      <c r="D5">
        <f>[1]龟丞相!$D$5</f>
        <v>38</v>
      </c>
      <c r="E5">
        <f>[1]龟丞相!$E$5</f>
        <v>30</v>
      </c>
      <c r="F5">
        <f>ROUND([1]龟丞相!$F$5 *1000,0)</f>
        <v>100</v>
      </c>
      <c r="G5">
        <f>ROUND([1]龟丞相!$H$5 *100,0)</f>
        <v>100</v>
      </c>
      <c r="H5">
        <f>[1]龟丞相!$I$5</f>
        <v>25</v>
      </c>
      <c r="I5">
        <f>[1]龟丞相!$J$5</f>
        <v>11</v>
      </c>
    </row>
    <row r="6" spans="1:9" x14ac:dyDescent="0.15">
      <c r="A6">
        <v>5</v>
      </c>
      <c r="B6">
        <f>[1]龟丞相!$C$6</f>
        <v>350</v>
      </c>
      <c r="C6">
        <f t="shared" si="0"/>
        <v>100</v>
      </c>
      <c r="D6">
        <f>[1]龟丞相!$D$6</f>
        <v>40</v>
      </c>
      <c r="E6">
        <f>[1]龟丞相!$E$6</f>
        <v>43</v>
      </c>
      <c r="F6">
        <f>ROUND([1]龟丞相!$F$6 *1000,0)</f>
        <v>100</v>
      </c>
      <c r="G6">
        <f>ROUND([1]龟丞相!$H$6 *100,0)</f>
        <v>120</v>
      </c>
      <c r="H6">
        <f>[1]龟丞相!$I$6</f>
        <v>30</v>
      </c>
      <c r="I6">
        <f>[1]龟丞相!$J$6</f>
        <v>12</v>
      </c>
    </row>
    <row r="7" spans="1:9" x14ac:dyDescent="0.15">
      <c r="A7">
        <v>6</v>
      </c>
      <c r="B7">
        <f>[1]龟丞相!$C$7</f>
        <v>500</v>
      </c>
      <c r="C7">
        <f t="shared" si="0"/>
        <v>150</v>
      </c>
      <c r="D7">
        <f>[1]龟丞相!$D$7</f>
        <v>45</v>
      </c>
      <c r="E7">
        <f>[1]龟丞相!$E$7</f>
        <v>60</v>
      </c>
      <c r="F7">
        <f>ROUND([1]龟丞相!$F$7 *1000,0)</f>
        <v>100</v>
      </c>
      <c r="G7">
        <f>ROUND([1]龟丞相!$H$7 *100,0)</f>
        <v>120</v>
      </c>
      <c r="H7">
        <f>[1]龟丞相!$I$7</f>
        <v>42</v>
      </c>
      <c r="I7">
        <f>[1]龟丞相!$J$7</f>
        <v>14</v>
      </c>
    </row>
    <row r="8" spans="1:9" x14ac:dyDescent="0.15">
      <c r="A8">
        <v>7</v>
      </c>
      <c r="B8">
        <f>[1]龟丞相!$C$8</f>
        <v>650</v>
      </c>
      <c r="C8">
        <f t="shared" si="0"/>
        <v>150</v>
      </c>
      <c r="D8">
        <f>[1]龟丞相!$D$8</f>
        <v>52</v>
      </c>
      <c r="E8">
        <f>[1]龟丞相!$E$8</f>
        <v>80</v>
      </c>
      <c r="F8">
        <f>ROUND([1]龟丞相!$F$8 *1000,0)</f>
        <v>101</v>
      </c>
      <c r="G8">
        <f>ROUND([1]龟丞相!$H$8 *100,0)</f>
        <v>120</v>
      </c>
      <c r="H8">
        <f>[1]龟丞相!$I$8</f>
        <v>50</v>
      </c>
      <c r="I8">
        <f>[1]龟丞相!$J$8</f>
        <v>16</v>
      </c>
    </row>
    <row r="9" spans="1:9" x14ac:dyDescent="0.15">
      <c r="A9">
        <v>8</v>
      </c>
      <c r="B9">
        <f>[1]龟丞相!$C$9</f>
        <v>850</v>
      </c>
      <c r="C9">
        <f t="shared" si="0"/>
        <v>200</v>
      </c>
      <c r="D9">
        <f>[1]龟丞相!$D$9</f>
        <v>100</v>
      </c>
      <c r="E9">
        <f>[1]龟丞相!$E$9</f>
        <v>104</v>
      </c>
      <c r="F9">
        <f>ROUND([1]龟丞相!$F$9 *1000,0)</f>
        <v>101</v>
      </c>
      <c r="G9">
        <f>ROUND([1]龟丞相!$H$9 *100,0)</f>
        <v>120</v>
      </c>
      <c r="H9">
        <f>[1]龟丞相!$I$9</f>
        <v>67</v>
      </c>
      <c r="I9">
        <f>[1]龟丞相!$J$9</f>
        <v>30</v>
      </c>
    </row>
    <row r="10" spans="1:9" x14ac:dyDescent="0.15">
      <c r="A10">
        <v>9</v>
      </c>
      <c r="B10">
        <f>[1]龟丞相!$C$10</f>
        <v>1050</v>
      </c>
      <c r="C10">
        <f t="shared" si="0"/>
        <v>200</v>
      </c>
      <c r="D10">
        <f>[1]龟丞相!$D$10</f>
        <v>125</v>
      </c>
      <c r="E10">
        <f>[1]龟丞相!$E$10</f>
        <v>125</v>
      </c>
      <c r="F10">
        <f>ROUND([1]龟丞相!$F$10*1000,0)</f>
        <v>101</v>
      </c>
      <c r="G10">
        <f>ROUND([1]龟丞相!$H$10*100,0)</f>
        <v>120</v>
      </c>
      <c r="H10">
        <f>[1]龟丞相!$I$10</f>
        <v>79</v>
      </c>
      <c r="I10">
        <f>[1]龟丞相!$J$10</f>
        <v>38</v>
      </c>
    </row>
    <row r="11" spans="1:9" x14ac:dyDescent="0.15">
      <c r="A11">
        <v>10</v>
      </c>
      <c r="B11">
        <f>[1]龟丞相!$C$11</f>
        <v>1250</v>
      </c>
      <c r="C11">
        <f t="shared" si="0"/>
        <v>200</v>
      </c>
      <c r="D11">
        <f>[1]龟丞相!$D$11</f>
        <v>135</v>
      </c>
      <c r="E11">
        <f>[1]龟丞相!$E$11</f>
        <v>148</v>
      </c>
      <c r="F11">
        <f>ROUND([1]龟丞相!$F$11*1000,0)</f>
        <v>101</v>
      </c>
      <c r="G11">
        <f>ROUND([1]龟丞相!$H$11*100,0)</f>
        <v>130</v>
      </c>
      <c r="H11">
        <f>[1]龟丞相!$I$11</f>
        <v>92</v>
      </c>
      <c r="I11">
        <f>[1]龟丞相!$J$11</f>
        <v>41</v>
      </c>
    </row>
    <row r="12" spans="1:9" x14ac:dyDescent="0.15">
      <c r="A12">
        <v>11</v>
      </c>
      <c r="B12">
        <f>[1]龟丞相!$C$12</f>
        <v>1500</v>
      </c>
      <c r="C12">
        <f t="shared" si="0"/>
        <v>250</v>
      </c>
      <c r="D12">
        <f>[1]龟丞相!$D$12</f>
        <v>238</v>
      </c>
      <c r="E12">
        <f>[1]龟丞相!$E$12</f>
        <v>174</v>
      </c>
      <c r="F12">
        <f>ROUND([1]龟丞相!$F$12*1000,0)</f>
        <v>101</v>
      </c>
      <c r="G12">
        <f>ROUND([1]龟丞相!$H$12*100,0)</f>
        <v>130</v>
      </c>
      <c r="H12">
        <f>[1]龟丞相!$I$12</f>
        <v>107</v>
      </c>
      <c r="I12">
        <f>[1]龟丞相!$J$12</f>
        <v>71</v>
      </c>
    </row>
    <row r="13" spans="1:9" x14ac:dyDescent="0.15">
      <c r="A13">
        <v>12</v>
      </c>
      <c r="B13">
        <f>[1]龟丞相!$C$13</f>
        <v>1750</v>
      </c>
      <c r="C13">
        <f t="shared" si="0"/>
        <v>250</v>
      </c>
      <c r="D13">
        <f>[1]龟丞相!$D$13</f>
        <v>271</v>
      </c>
      <c r="E13">
        <f>[1]龟丞相!$E$13</f>
        <v>203</v>
      </c>
      <c r="F13">
        <f>ROUND([1]龟丞相!$F$13*1000,0)</f>
        <v>102</v>
      </c>
      <c r="G13">
        <f>ROUND([1]龟丞相!$H$13*100,0)</f>
        <v>130</v>
      </c>
      <c r="H13">
        <f>[1]龟丞相!$I$13</f>
        <v>124</v>
      </c>
      <c r="I13">
        <f>[1]龟丞相!$J$13</f>
        <v>81</v>
      </c>
    </row>
    <row r="14" spans="1:9" x14ac:dyDescent="0.15">
      <c r="A14">
        <v>13</v>
      </c>
      <c r="B14">
        <f>[1]龟丞相!$C$14</f>
        <v>2050</v>
      </c>
      <c r="C14">
        <f t="shared" si="0"/>
        <v>300</v>
      </c>
      <c r="D14">
        <f>[1]龟丞相!$D$14</f>
        <v>318</v>
      </c>
      <c r="E14">
        <f>[1]龟丞相!$E$14</f>
        <v>235</v>
      </c>
      <c r="F14">
        <f>ROUND([1]龟丞相!$F$14*1000,0)</f>
        <v>102</v>
      </c>
      <c r="G14">
        <f>ROUND([1]龟丞相!$H$14*100,0)</f>
        <v>130</v>
      </c>
      <c r="H14">
        <f>[1]龟丞相!$I$14</f>
        <v>143</v>
      </c>
      <c r="I14">
        <f>[1]龟丞相!$J$14</f>
        <v>95</v>
      </c>
    </row>
    <row r="15" spans="1:9" x14ac:dyDescent="0.15">
      <c r="A15">
        <v>14</v>
      </c>
      <c r="B15">
        <f>[1]龟丞相!$C$15</f>
        <v>2400</v>
      </c>
      <c r="C15">
        <f t="shared" si="0"/>
        <v>350</v>
      </c>
      <c r="D15">
        <f>[1]龟丞相!$D$15</f>
        <v>491</v>
      </c>
      <c r="E15">
        <f>[1]龟丞相!$E$15</f>
        <v>271</v>
      </c>
      <c r="F15">
        <f>ROUND([1]龟丞相!$F$15*1000,0)</f>
        <v>102</v>
      </c>
      <c r="G15">
        <f>ROUND([1]龟丞相!$H$15*100,0)</f>
        <v>130</v>
      </c>
      <c r="H15">
        <f>[1]龟丞相!$I$15</f>
        <v>164</v>
      </c>
      <c r="I15">
        <f>[1]龟丞相!$J$15</f>
        <v>147</v>
      </c>
    </row>
    <row r="16" spans="1:9" x14ac:dyDescent="0.15">
      <c r="A16">
        <v>15</v>
      </c>
      <c r="B16">
        <f>[1]龟丞相!$C$16</f>
        <v>2850</v>
      </c>
      <c r="C16">
        <f t="shared" si="0"/>
        <v>450</v>
      </c>
      <c r="D16">
        <f>[1]龟丞相!$D$16</f>
        <v>580</v>
      </c>
      <c r="E16">
        <f>[1]龟丞相!$E$16</f>
        <v>311</v>
      </c>
      <c r="F16">
        <f>ROUND([1]龟丞相!$F$16*1000,0)</f>
        <v>103</v>
      </c>
      <c r="G16">
        <f>ROUND([1]龟丞相!$H$16*100,0)</f>
        <v>140</v>
      </c>
      <c r="H16">
        <f>[1]龟丞相!$I$16</f>
        <v>187</v>
      </c>
      <c r="I16">
        <f>[1]龟丞相!$J$16</f>
        <v>174</v>
      </c>
    </row>
    <row r="17" spans="1:9" x14ac:dyDescent="0.15">
      <c r="A17">
        <v>16</v>
      </c>
      <c r="B17">
        <f>[1]龟丞相!$C$17</f>
        <v>3350</v>
      </c>
      <c r="C17">
        <f t="shared" si="0"/>
        <v>500</v>
      </c>
      <c r="D17">
        <f>[1]龟丞相!$D$17</f>
        <v>859</v>
      </c>
      <c r="E17">
        <f>[1]龟丞相!$E$17</f>
        <v>355</v>
      </c>
      <c r="F17">
        <f>ROUND([1]龟丞相!$F$17*1000,0)</f>
        <v>103</v>
      </c>
      <c r="G17">
        <f>ROUND([1]龟丞相!$H$17*100,0)</f>
        <v>140</v>
      </c>
      <c r="H17">
        <f>[1]龟丞相!$I$17</f>
        <v>213</v>
      </c>
      <c r="I17">
        <f>[1]龟丞相!$J$17</f>
        <v>258</v>
      </c>
    </row>
    <row r="18" spans="1:9" x14ac:dyDescent="0.15">
      <c r="A18">
        <v>17</v>
      </c>
      <c r="B18">
        <f>[1]龟丞相!$C$18</f>
        <v>3900</v>
      </c>
      <c r="C18">
        <f t="shared" si="0"/>
        <v>550</v>
      </c>
      <c r="D18">
        <f>[1]龟丞相!$D$18</f>
        <v>1015</v>
      </c>
      <c r="E18">
        <f>[1]龟丞相!$E$18</f>
        <v>404</v>
      </c>
      <c r="F18">
        <f>ROUND([1]龟丞相!$F$18*1000,0)</f>
        <v>104</v>
      </c>
      <c r="G18">
        <f>ROUND([1]龟丞相!$H$18*100,0)</f>
        <v>140</v>
      </c>
      <c r="H18">
        <f>[1]龟丞相!$I$18</f>
        <v>242</v>
      </c>
      <c r="I18">
        <f>[1]龟丞相!$J$18</f>
        <v>305</v>
      </c>
    </row>
    <row r="19" spans="1:9" x14ac:dyDescent="0.15">
      <c r="A19">
        <v>18</v>
      </c>
      <c r="B19">
        <f>[1]龟丞相!$C$19</f>
        <v>4550</v>
      </c>
      <c r="C19">
        <f t="shared" si="0"/>
        <v>650</v>
      </c>
      <c r="D19">
        <f>[1]龟丞相!$D$19</f>
        <v>1210</v>
      </c>
      <c r="E19">
        <f>[1]龟丞相!$E$19</f>
        <v>458</v>
      </c>
      <c r="F19">
        <f>ROUND([1]龟丞相!$F$19*1000,0)</f>
        <v>105</v>
      </c>
      <c r="G19">
        <f>ROUND([1]龟丞相!$H$19*100,0)</f>
        <v>140</v>
      </c>
      <c r="H19">
        <f>[1]龟丞相!$I$19</f>
        <v>274</v>
      </c>
      <c r="I19">
        <f>[1]龟丞相!$J$19</f>
        <v>363</v>
      </c>
    </row>
    <row r="20" spans="1:9" x14ac:dyDescent="0.15">
      <c r="A20">
        <v>19</v>
      </c>
      <c r="B20">
        <f>[1]龟丞相!$C$20</f>
        <v>5500</v>
      </c>
      <c r="C20">
        <f t="shared" si="0"/>
        <v>950</v>
      </c>
      <c r="D20">
        <f>[1]龟丞相!$D$20</f>
        <v>1799</v>
      </c>
      <c r="E20">
        <f>[1]龟丞相!$E$20</f>
        <v>518</v>
      </c>
      <c r="F20">
        <f>ROUND([1]龟丞相!$F$20*1000,0)</f>
        <v>105</v>
      </c>
      <c r="G20">
        <f>ROUND([1]龟丞相!$H$20*100,0)</f>
        <v>140</v>
      </c>
      <c r="H20">
        <f>[1]龟丞相!$I$20</f>
        <v>310</v>
      </c>
      <c r="I20">
        <f>[1]龟丞相!$J$20</f>
        <v>540</v>
      </c>
    </row>
    <row r="21" spans="1:9" x14ac:dyDescent="0.15">
      <c r="A21">
        <v>20</v>
      </c>
      <c r="B21">
        <f>[1]龟丞相!$C$21</f>
        <v>6600</v>
      </c>
      <c r="C21">
        <f t="shared" si="0"/>
        <v>1100</v>
      </c>
      <c r="D21">
        <f>[1]龟丞相!$D$21</f>
        <v>2413</v>
      </c>
      <c r="E21">
        <f>[1]龟丞相!$E$21</f>
        <v>620</v>
      </c>
      <c r="F21">
        <f>ROUND([1]龟丞相!$F$21*1000,0)</f>
        <v>107</v>
      </c>
      <c r="G21">
        <f>ROUND([1]龟丞相!$H$21*100,0)</f>
        <v>150</v>
      </c>
      <c r="H21">
        <f>[1]龟丞相!$I$21</f>
        <v>350</v>
      </c>
      <c r="I21">
        <f>[1]龟丞相!$J$21</f>
        <v>724</v>
      </c>
    </row>
    <row r="22" spans="1:9" x14ac:dyDescent="0.15">
      <c r="A22">
        <v>21</v>
      </c>
      <c r="B22">
        <f>[1]龟丞相!$C$22</f>
        <v>9450</v>
      </c>
      <c r="C22">
        <f t="shared" si="0"/>
        <v>2850</v>
      </c>
      <c r="D22">
        <f>[1]龟丞相!$D$22</f>
        <v>3380</v>
      </c>
      <c r="E22">
        <f>[1]龟丞相!$E$22</f>
        <v>764</v>
      </c>
      <c r="F22">
        <f>ROUND([1]龟丞相!$F$22*1000,0)</f>
        <v>109</v>
      </c>
      <c r="G22">
        <f>ROUND([1]龟丞相!$H$22*100,0)</f>
        <v>150</v>
      </c>
      <c r="H22">
        <f>[1]龟丞相!$I$22</f>
        <v>410</v>
      </c>
      <c r="I22">
        <f>[1]龟丞相!$J$22</f>
        <v>1014</v>
      </c>
    </row>
    <row r="23" spans="1:9" x14ac:dyDescent="0.15">
      <c r="A23">
        <v>22</v>
      </c>
      <c r="B23">
        <f>[1]龟丞相!$C$23</f>
        <v>12800</v>
      </c>
      <c r="C23">
        <f t="shared" si="0"/>
        <v>3350</v>
      </c>
      <c r="D23">
        <f>[1]龟丞相!$D$23</f>
        <v>5227</v>
      </c>
      <c r="E23">
        <f>[1]龟丞相!$E$23</f>
        <v>1032</v>
      </c>
      <c r="F23">
        <f>ROUND([1]龟丞相!$F$23*1000,0)</f>
        <v>113</v>
      </c>
      <c r="G23">
        <f>ROUND([1]龟丞相!$H$23*100,0)</f>
        <v>150</v>
      </c>
      <c r="H23">
        <f>[1]龟丞相!$I$23</f>
        <v>500</v>
      </c>
      <c r="I23">
        <f>[1]龟丞相!$J$23</f>
        <v>1568</v>
      </c>
    </row>
    <row r="24" spans="1:9" x14ac:dyDescent="0.15">
      <c r="A24">
        <v>23</v>
      </c>
      <c r="B24">
        <f>[1]龟丞相!$C$24</f>
        <v>17400</v>
      </c>
      <c r="C24">
        <f t="shared" si="0"/>
        <v>4600</v>
      </c>
      <c r="D24">
        <f>[1]龟丞相!$D$24</f>
        <v>7149</v>
      </c>
      <c r="E24">
        <f>[1]龟丞相!$E$24</f>
        <v>1400</v>
      </c>
      <c r="F24">
        <f>ROUND([1]龟丞相!$F$24*1000,0)</f>
        <v>117</v>
      </c>
      <c r="G24">
        <f>ROUND([1]龟丞相!$H$24*100,0)</f>
        <v>150</v>
      </c>
      <c r="H24">
        <f>[1]龟丞相!$I$24</f>
        <v>635</v>
      </c>
      <c r="I24">
        <f>[1]龟丞相!$J$24</f>
        <v>2145</v>
      </c>
    </row>
    <row r="25" spans="1:9" x14ac:dyDescent="0.15">
      <c r="A25">
        <v>24</v>
      </c>
      <c r="B25">
        <f>[1]龟丞相!$C$25</f>
        <v>23250</v>
      </c>
      <c r="C25">
        <f t="shared" si="0"/>
        <v>5850</v>
      </c>
      <c r="D25">
        <f>[1]龟丞相!$D$25</f>
        <v>9415</v>
      </c>
      <c r="E25">
        <f>[1]龟丞相!$E$25</f>
        <v>1868</v>
      </c>
      <c r="F25">
        <f>ROUND([1]龟丞相!$F$25*1000,0)</f>
        <v>123</v>
      </c>
      <c r="G25">
        <f>ROUND([1]龟丞相!$H$25*100,0)</f>
        <v>160</v>
      </c>
      <c r="H25">
        <f>[1]龟丞相!$I$25</f>
        <v>838</v>
      </c>
      <c r="I25">
        <f>[1]龟丞相!$J$25</f>
        <v>2825</v>
      </c>
    </row>
    <row r="26" spans="1:9" x14ac:dyDescent="0.15">
      <c r="A26">
        <v>25</v>
      </c>
      <c r="B26">
        <f>[1]龟丞相!$C$26</f>
        <v>30750</v>
      </c>
      <c r="C26">
        <f t="shared" si="0"/>
        <v>7500</v>
      </c>
      <c r="D26">
        <f>[1]龟丞相!$D$26</f>
        <v>12394</v>
      </c>
      <c r="E26">
        <f>[1]龟丞相!$E$26</f>
        <v>2468</v>
      </c>
      <c r="F26">
        <f>ROUND([1]龟丞相!$F$26*1000,0)</f>
        <v>131</v>
      </c>
      <c r="G26">
        <f>ROUND([1]龟丞相!$H$26*100,0)</f>
        <v>160</v>
      </c>
      <c r="H26">
        <f>[1]龟丞相!$I$26</f>
        <v>1143</v>
      </c>
      <c r="I26">
        <f>[1]龟丞相!$J$26</f>
        <v>3718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I26"/>
  <sheetViews>
    <sheetView topLeftCell="A7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[1]凌虚子!$C$2</f>
        <v>50</v>
      </c>
      <c r="C2">
        <f>B2-0</f>
        <v>50</v>
      </c>
      <c r="D2">
        <f>[1]凌虚子!$D$2</f>
        <v>27</v>
      </c>
      <c r="E2">
        <f>[1]凌虚子!$E$2</f>
        <v>8</v>
      </c>
      <c r="F2">
        <f>ROUND([1]凌虚子!$F$2 *1000,0)</f>
        <v>0</v>
      </c>
      <c r="G2">
        <f>ROUND([1]凌虚子!$H$2 *100,0)</f>
        <v>100</v>
      </c>
      <c r="H2">
        <f>[1]凌虚子!$I$2</f>
        <v>6</v>
      </c>
      <c r="I2">
        <f>[1]凌虚子!$J$2</f>
        <v>14</v>
      </c>
    </row>
    <row r="3" spans="1:9" x14ac:dyDescent="0.15">
      <c r="A3">
        <v>2</v>
      </c>
      <c r="B3">
        <f>[1]凌虚子!$C$3</f>
        <v>100</v>
      </c>
      <c r="C3">
        <f>B3-B2</f>
        <v>50</v>
      </c>
      <c r="D3">
        <f>[1]凌虚子!$D$3</f>
        <v>32</v>
      </c>
      <c r="E3">
        <f>[1]凌虚子!$E$3</f>
        <v>12</v>
      </c>
      <c r="F3">
        <f>ROUND([1]凌虚子!$F$3 *1000,0)</f>
        <v>0</v>
      </c>
      <c r="G3">
        <f>ROUND([1]凌虚子!$H$3 *100,0)</f>
        <v>100</v>
      </c>
      <c r="H3">
        <f>[1]凌虚子!$I$3</f>
        <v>10</v>
      </c>
      <c r="I3">
        <f>[1]凌虚子!$J$3</f>
        <v>16</v>
      </c>
    </row>
    <row r="4" spans="1:9" x14ac:dyDescent="0.15">
      <c r="A4">
        <v>3</v>
      </c>
      <c r="B4">
        <f>[1]凌虚子!$C$4</f>
        <v>150</v>
      </c>
      <c r="C4">
        <f t="shared" ref="C4:C26" si="0">B4-B3</f>
        <v>50</v>
      </c>
      <c r="D4">
        <f>[1]凌虚子!$D$4</f>
        <v>35</v>
      </c>
      <c r="E4">
        <f>[1]凌虚子!$E$4</f>
        <v>18</v>
      </c>
      <c r="F4">
        <f>ROUND([1]凌虚子!$F$4 *1000,0)</f>
        <v>0</v>
      </c>
      <c r="G4">
        <f>ROUND([1]凌虚子!$H$4 *100,0)</f>
        <v>100</v>
      </c>
      <c r="H4">
        <f>[1]凌虚子!$I$4</f>
        <v>14</v>
      </c>
      <c r="I4">
        <f>[1]凌虚子!$J$4</f>
        <v>18</v>
      </c>
    </row>
    <row r="5" spans="1:9" x14ac:dyDescent="0.15">
      <c r="A5">
        <v>4</v>
      </c>
      <c r="B5">
        <f>[1]凌虚子!$C$5</f>
        <v>250</v>
      </c>
      <c r="C5">
        <f t="shared" si="0"/>
        <v>100</v>
      </c>
      <c r="D5">
        <f>[1]凌虚子!$D$5</f>
        <v>45</v>
      </c>
      <c r="E5">
        <f>[1]凌虚子!$E$5</f>
        <v>30</v>
      </c>
      <c r="F5">
        <f>ROUND([1]凌虚子!$F$5 *1000,0)</f>
        <v>0</v>
      </c>
      <c r="G5">
        <f>ROUND([1]凌虚子!$H$5 *100,0)</f>
        <v>100</v>
      </c>
      <c r="H5">
        <f>[1]凌虚子!$I$5</f>
        <v>18</v>
      </c>
      <c r="I5">
        <f>[1]凌虚子!$J$5</f>
        <v>23</v>
      </c>
    </row>
    <row r="6" spans="1:9" x14ac:dyDescent="0.15">
      <c r="A6">
        <v>5</v>
      </c>
      <c r="B6">
        <f>[1]凌虚子!$C$6</f>
        <v>350</v>
      </c>
      <c r="C6">
        <f t="shared" si="0"/>
        <v>100</v>
      </c>
      <c r="D6">
        <f>[1]凌虚子!$D$6</f>
        <v>54</v>
      </c>
      <c r="E6">
        <f>[1]凌虚子!$E$6</f>
        <v>42</v>
      </c>
      <c r="F6">
        <f>ROUND([1]凌虚子!$F$6 *1000,0)</f>
        <v>0</v>
      </c>
      <c r="G6">
        <f>ROUND([1]凌虚子!$H$6 *100,0)</f>
        <v>100</v>
      </c>
      <c r="H6">
        <f>[1]凌虚子!$I$6</f>
        <v>23</v>
      </c>
      <c r="I6">
        <f>[1]凌虚子!$J$6</f>
        <v>27</v>
      </c>
    </row>
    <row r="7" spans="1:9" x14ac:dyDescent="0.15">
      <c r="A7">
        <v>6</v>
      </c>
      <c r="B7">
        <f>[1]凌虚子!$C$7</f>
        <v>500</v>
      </c>
      <c r="C7">
        <f t="shared" si="0"/>
        <v>150</v>
      </c>
      <c r="D7">
        <f>[1]凌虚子!$D$7</f>
        <v>75</v>
      </c>
      <c r="E7">
        <f>[1]凌虚子!$E$7</f>
        <v>55</v>
      </c>
      <c r="F7">
        <f>ROUND([1]凌虚子!$F$7 *1000,0)</f>
        <v>0</v>
      </c>
      <c r="G7">
        <f>ROUND([1]凌虚子!$H$7 *100,0)</f>
        <v>100</v>
      </c>
      <c r="H7">
        <f>[1]凌虚子!$I$7</f>
        <v>29</v>
      </c>
      <c r="I7">
        <f>[1]凌虚子!$J$7</f>
        <v>38</v>
      </c>
    </row>
    <row r="8" spans="1:9" x14ac:dyDescent="0.15">
      <c r="A8">
        <v>7</v>
      </c>
      <c r="B8">
        <f>[1]凌虚子!$C$8</f>
        <v>650</v>
      </c>
      <c r="C8">
        <f t="shared" si="0"/>
        <v>150</v>
      </c>
      <c r="D8">
        <f>[1]凌虚子!$D$8</f>
        <v>86</v>
      </c>
      <c r="E8">
        <f>[1]凌虚子!$E$8</f>
        <v>76</v>
      </c>
      <c r="F8">
        <f>ROUND([1]凌虚子!$F$8 *1000,0)</f>
        <v>0</v>
      </c>
      <c r="G8">
        <f>ROUND([1]凌虚子!$H$8 *100,0)</f>
        <v>100</v>
      </c>
      <c r="H8">
        <f>[1]凌虚子!$I$8</f>
        <v>36</v>
      </c>
      <c r="I8">
        <f>[1]凌虚子!$J$8</f>
        <v>43</v>
      </c>
    </row>
    <row r="9" spans="1:9" x14ac:dyDescent="0.15">
      <c r="A9">
        <v>8</v>
      </c>
      <c r="B9">
        <f>[1]凌虚子!$C$9</f>
        <v>850</v>
      </c>
      <c r="C9">
        <f t="shared" si="0"/>
        <v>200</v>
      </c>
      <c r="D9">
        <f>[1]凌虚子!$D$9</f>
        <v>147</v>
      </c>
      <c r="E9">
        <f>[1]凌虚子!$E$9</f>
        <v>98</v>
      </c>
      <c r="F9">
        <f>ROUND([1]凌虚子!$F$9 *1000,0)</f>
        <v>0</v>
      </c>
      <c r="G9">
        <f>ROUND([1]凌虚子!$H$9 *100,0)</f>
        <v>100</v>
      </c>
      <c r="H9">
        <f>[1]凌虚子!$I$9</f>
        <v>44</v>
      </c>
      <c r="I9">
        <f>[1]凌虚子!$J$9</f>
        <v>74</v>
      </c>
    </row>
    <row r="10" spans="1:9" x14ac:dyDescent="0.15">
      <c r="A10">
        <v>9</v>
      </c>
      <c r="B10">
        <f>[1]凌虚子!$C$10</f>
        <v>1050</v>
      </c>
      <c r="C10">
        <f t="shared" si="0"/>
        <v>200</v>
      </c>
      <c r="D10">
        <f>[1]凌虚子!$D$10</f>
        <v>179</v>
      </c>
      <c r="E10">
        <f>[1]凌虚子!$E$10</f>
        <v>118</v>
      </c>
      <c r="F10">
        <f>ROUND([1]凌虚子!$F$10*1000,0)</f>
        <v>0</v>
      </c>
      <c r="G10">
        <f>ROUND([1]凌虚子!$H$10*100,0)</f>
        <v>100</v>
      </c>
      <c r="H10">
        <f>[1]凌虚子!$I$10</f>
        <v>53</v>
      </c>
      <c r="I10">
        <f>[1]凌虚子!$J$10</f>
        <v>90</v>
      </c>
    </row>
    <row r="11" spans="1:9" x14ac:dyDescent="0.15">
      <c r="A11">
        <v>10</v>
      </c>
      <c r="B11">
        <f>[1]凌虚子!$C$11</f>
        <v>1250</v>
      </c>
      <c r="C11">
        <f t="shared" si="0"/>
        <v>200</v>
      </c>
      <c r="D11">
        <f>[1]凌虚子!$D$11</f>
        <v>205</v>
      </c>
      <c r="E11">
        <f>[1]凌虚子!$E$11</f>
        <v>143</v>
      </c>
      <c r="F11">
        <f>ROUND([1]凌虚子!$F$11*1000,0)</f>
        <v>0</v>
      </c>
      <c r="G11">
        <f>ROUND([1]凌虚子!$H$11*100,0)</f>
        <v>100</v>
      </c>
      <c r="H11">
        <f>[1]凌虚子!$I$11</f>
        <v>63</v>
      </c>
      <c r="I11">
        <f>[1]凌虚子!$J$11</f>
        <v>103</v>
      </c>
    </row>
    <row r="12" spans="1:9" x14ac:dyDescent="0.15">
      <c r="A12">
        <v>11</v>
      </c>
      <c r="B12">
        <f>[1]凌虚子!$C$12</f>
        <v>1500</v>
      </c>
      <c r="C12">
        <f t="shared" si="0"/>
        <v>250</v>
      </c>
      <c r="D12">
        <f>[1]凌虚子!$D$12</f>
        <v>311</v>
      </c>
      <c r="E12">
        <f>[1]凌虚子!$E$12</f>
        <v>167</v>
      </c>
      <c r="F12">
        <f>ROUND([1]凌虚子!$F$12*1000,0)</f>
        <v>0</v>
      </c>
      <c r="G12">
        <f>ROUND([1]凌虚子!$H$12*100,0)</f>
        <v>100</v>
      </c>
      <c r="H12">
        <f>[1]凌虚子!$I$12</f>
        <v>74</v>
      </c>
      <c r="I12">
        <f>[1]凌虚子!$J$12</f>
        <v>156</v>
      </c>
    </row>
    <row r="13" spans="1:9" x14ac:dyDescent="0.15">
      <c r="A13">
        <v>12</v>
      </c>
      <c r="B13">
        <f>[1]凌虚子!$C$13</f>
        <v>1750</v>
      </c>
      <c r="C13">
        <f t="shared" si="0"/>
        <v>250</v>
      </c>
      <c r="D13">
        <f>[1]凌虚子!$D$13</f>
        <v>358</v>
      </c>
      <c r="E13">
        <f>[1]凌虚子!$E$13</f>
        <v>194</v>
      </c>
      <c r="F13">
        <f>ROUND([1]凌虚子!$F$13*1000,0)</f>
        <v>0</v>
      </c>
      <c r="G13">
        <f>ROUND([1]凌虚子!$H$13*100,0)</f>
        <v>100</v>
      </c>
      <c r="H13">
        <f>[1]凌虚子!$I$13</f>
        <v>86</v>
      </c>
      <c r="I13">
        <f>[1]凌虚子!$J$13</f>
        <v>179</v>
      </c>
    </row>
    <row r="14" spans="1:9" x14ac:dyDescent="0.15">
      <c r="A14">
        <v>13</v>
      </c>
      <c r="B14">
        <f>[1]凌虚子!$C$14</f>
        <v>2050</v>
      </c>
      <c r="C14">
        <f t="shared" si="0"/>
        <v>300</v>
      </c>
      <c r="D14">
        <f>[1]凌虚子!$D$14</f>
        <v>419</v>
      </c>
      <c r="E14">
        <f>[1]凌虚子!$E$14</f>
        <v>224</v>
      </c>
      <c r="F14">
        <f>ROUND([1]凌虚子!$F$14*1000,0)</f>
        <v>0</v>
      </c>
      <c r="G14">
        <f>ROUND([1]凌虚子!$H$14*100,0)</f>
        <v>100</v>
      </c>
      <c r="H14">
        <f>[1]凌虚子!$I$14</f>
        <v>99</v>
      </c>
      <c r="I14">
        <f>[1]凌虚子!$J$14</f>
        <v>210</v>
      </c>
    </row>
    <row r="15" spans="1:9" x14ac:dyDescent="0.15">
      <c r="A15">
        <v>14</v>
      </c>
      <c r="B15">
        <f>[1]凌虚子!$C$15</f>
        <v>2400</v>
      </c>
      <c r="C15">
        <f t="shared" si="0"/>
        <v>350</v>
      </c>
      <c r="D15">
        <f>[1]凌虚子!$D$15</f>
        <v>594</v>
      </c>
      <c r="E15">
        <f>[1]凌虚子!$E$15</f>
        <v>257</v>
      </c>
      <c r="F15">
        <f>ROUND([1]凌虚子!$F$15*1000,0)</f>
        <v>0</v>
      </c>
      <c r="G15">
        <f>ROUND([1]凌虚子!$H$15*100,0)</f>
        <v>100</v>
      </c>
      <c r="H15">
        <f>[1]凌虚子!$I$15</f>
        <v>114</v>
      </c>
      <c r="I15">
        <f>[1]凌虚子!$J$15</f>
        <v>297</v>
      </c>
    </row>
    <row r="16" spans="1:9" x14ac:dyDescent="0.15">
      <c r="A16">
        <v>15</v>
      </c>
      <c r="B16">
        <f>[1]凌虚子!$C$16</f>
        <v>2850</v>
      </c>
      <c r="C16">
        <f t="shared" si="0"/>
        <v>450</v>
      </c>
      <c r="D16">
        <f>[1]凌虚子!$D$16</f>
        <v>717</v>
      </c>
      <c r="E16">
        <f>[1]凌虚子!$E$16</f>
        <v>293</v>
      </c>
      <c r="F16">
        <f>ROUND([1]凌虚子!$F$16*1000,0)</f>
        <v>0</v>
      </c>
      <c r="G16">
        <f>ROUND([1]凌虚子!$H$16*100,0)</f>
        <v>100</v>
      </c>
      <c r="H16">
        <f>[1]凌虚子!$I$16</f>
        <v>131</v>
      </c>
      <c r="I16">
        <f>[1]凌虚子!$J$16</f>
        <v>359</v>
      </c>
    </row>
    <row r="17" spans="1:9" x14ac:dyDescent="0.15">
      <c r="A17">
        <v>16</v>
      </c>
      <c r="B17">
        <f>[1]凌虚子!$C$17</f>
        <v>3350</v>
      </c>
      <c r="C17">
        <f t="shared" si="0"/>
        <v>500</v>
      </c>
      <c r="D17">
        <f>[1]凌虚子!$D$17</f>
        <v>992</v>
      </c>
      <c r="E17">
        <f>[1]凌虚子!$E$17</f>
        <v>333</v>
      </c>
      <c r="F17">
        <f>ROUND([1]凌虚子!$F$17*1000,0)</f>
        <v>0</v>
      </c>
      <c r="G17">
        <f>ROUND([1]凌虚子!$H$17*100,0)</f>
        <v>100</v>
      </c>
      <c r="H17">
        <f>[1]凌虚子!$I$17</f>
        <v>150</v>
      </c>
      <c r="I17">
        <f>[1]凌虚子!$J$17</f>
        <v>496</v>
      </c>
    </row>
    <row r="18" spans="1:9" x14ac:dyDescent="0.15">
      <c r="A18">
        <v>17</v>
      </c>
      <c r="B18">
        <f>[1]凌虚子!$C$18</f>
        <v>3900</v>
      </c>
      <c r="C18">
        <f t="shared" si="0"/>
        <v>550</v>
      </c>
      <c r="D18">
        <f>[1]凌虚子!$D$18</f>
        <v>1166</v>
      </c>
      <c r="E18">
        <f>[1]凌虚子!$E$18</f>
        <v>376</v>
      </c>
      <c r="F18">
        <f>ROUND([1]凌虚子!$F$18*1000,0)</f>
        <v>0</v>
      </c>
      <c r="G18">
        <f>ROUND([1]凌虚子!$H$18*100,0)</f>
        <v>100</v>
      </c>
      <c r="H18">
        <f>[1]凌虚子!$I$18</f>
        <v>171</v>
      </c>
      <c r="I18">
        <f>[1]凌虚子!$J$18</f>
        <v>583</v>
      </c>
    </row>
    <row r="19" spans="1:9" x14ac:dyDescent="0.15">
      <c r="A19">
        <v>18</v>
      </c>
      <c r="B19">
        <f>[1]凌虚子!$C$19</f>
        <v>4550</v>
      </c>
      <c r="C19">
        <f t="shared" si="0"/>
        <v>650</v>
      </c>
      <c r="D19">
        <f>[1]凌虚子!$D$19</f>
        <v>1375</v>
      </c>
      <c r="E19">
        <f>[1]凌虚子!$E$19</f>
        <v>425</v>
      </c>
      <c r="F19">
        <f>ROUND([1]凌虚子!$F$19*1000,0)</f>
        <v>0</v>
      </c>
      <c r="G19">
        <f>ROUND([1]凌虚子!$H$19*100,0)</f>
        <v>100</v>
      </c>
      <c r="H19">
        <f>[1]凌虚子!$I$19</f>
        <v>195</v>
      </c>
      <c r="I19">
        <f>[1]凌虚子!$J$19</f>
        <v>688</v>
      </c>
    </row>
    <row r="20" spans="1:9" x14ac:dyDescent="0.15">
      <c r="A20">
        <v>19</v>
      </c>
      <c r="B20">
        <f>[1]凌虚子!$C$20</f>
        <v>5500</v>
      </c>
      <c r="C20">
        <f t="shared" si="0"/>
        <v>950</v>
      </c>
      <c r="D20">
        <f>[1]凌虚子!$D$20</f>
        <v>1935</v>
      </c>
      <c r="E20">
        <f>[1]凌虚子!$E$20</f>
        <v>480</v>
      </c>
      <c r="F20">
        <f>ROUND([1]凌虚子!$F$20*1000,0)</f>
        <v>0</v>
      </c>
      <c r="G20">
        <f>ROUND([1]凌虚子!$H$20*100,0)</f>
        <v>100</v>
      </c>
      <c r="H20">
        <f>[1]凌虚子!$I$20</f>
        <v>221</v>
      </c>
      <c r="I20">
        <f>[1]凌虚子!$J$20</f>
        <v>968</v>
      </c>
    </row>
    <row r="21" spans="1:9" x14ac:dyDescent="0.15">
      <c r="A21">
        <v>20</v>
      </c>
      <c r="B21">
        <f>[1]凌虚子!$C$21</f>
        <v>6600</v>
      </c>
      <c r="C21">
        <f t="shared" si="0"/>
        <v>1100</v>
      </c>
      <c r="D21">
        <f>[1]凌虚子!$D$21</f>
        <v>2339</v>
      </c>
      <c r="E21">
        <f>[1]凌虚子!$E$21</f>
        <v>620</v>
      </c>
      <c r="F21">
        <f>ROUND([1]凌虚子!$F$21*1000,0)</f>
        <v>0</v>
      </c>
      <c r="G21">
        <f>ROUND([1]凌虚子!$H$21*100,0)</f>
        <v>100</v>
      </c>
      <c r="H21">
        <f>[1]凌虚子!$I$21</f>
        <v>250</v>
      </c>
      <c r="I21">
        <f>[1]凌虚子!$J$21</f>
        <v>1170</v>
      </c>
    </row>
    <row r="22" spans="1:9" x14ac:dyDescent="0.15">
      <c r="A22">
        <v>21</v>
      </c>
      <c r="B22">
        <f>[1]凌虚子!$C$22</f>
        <v>9450</v>
      </c>
      <c r="C22">
        <f t="shared" si="0"/>
        <v>2850</v>
      </c>
      <c r="D22">
        <f>[1]凌虚子!$D$22</f>
        <v>3218</v>
      </c>
      <c r="E22">
        <f>[1]凌虚子!$E$22</f>
        <v>764</v>
      </c>
      <c r="F22">
        <f>ROUND([1]凌虚子!$F$22*1000,0)</f>
        <v>0</v>
      </c>
      <c r="G22">
        <f>ROUND([1]凌虚子!$H$22*100,0)</f>
        <v>100</v>
      </c>
      <c r="H22">
        <f>[1]凌虚子!$I$22</f>
        <v>294</v>
      </c>
      <c r="I22">
        <f>[1]凌虚子!$J$22</f>
        <v>1609</v>
      </c>
    </row>
    <row r="23" spans="1:9" x14ac:dyDescent="0.15">
      <c r="A23">
        <v>22</v>
      </c>
      <c r="B23">
        <f>[1]凌虚子!$C$23</f>
        <v>12800</v>
      </c>
      <c r="C23">
        <f t="shared" si="0"/>
        <v>3350</v>
      </c>
      <c r="D23">
        <f>[1]凌虚子!$D$23</f>
        <v>4888</v>
      </c>
      <c r="E23">
        <f>[1]凌虚子!$E$23</f>
        <v>1032</v>
      </c>
      <c r="F23">
        <f>ROUND([1]凌虚子!$F$23*1000,0)</f>
        <v>0</v>
      </c>
      <c r="G23">
        <f>ROUND([1]凌虚子!$H$23*100,0)</f>
        <v>100</v>
      </c>
      <c r="H23">
        <f>[1]凌虚子!$I$23</f>
        <v>360</v>
      </c>
      <c r="I23">
        <f>[1]凌虚子!$J$23</f>
        <v>2444</v>
      </c>
    </row>
    <row r="24" spans="1:9" x14ac:dyDescent="0.15">
      <c r="A24">
        <v>23</v>
      </c>
      <c r="B24">
        <f>[1]凌虚子!$C$24</f>
        <v>17400</v>
      </c>
      <c r="C24">
        <f t="shared" si="0"/>
        <v>4600</v>
      </c>
      <c r="D24">
        <f>[1]凌虚子!$D$24</f>
        <v>6676</v>
      </c>
      <c r="E24">
        <f>[1]凌虚子!$E$24</f>
        <v>1400</v>
      </c>
      <c r="F24">
        <f>ROUND([1]凌虚子!$F$24*1000,0)</f>
        <v>0</v>
      </c>
      <c r="G24">
        <f>ROUND([1]凌虚子!$H$24*100,0)</f>
        <v>100</v>
      </c>
      <c r="H24">
        <f>[1]凌虚子!$I$24</f>
        <v>459</v>
      </c>
      <c r="I24">
        <f>[1]凌虚子!$J$24</f>
        <v>3338</v>
      </c>
    </row>
    <row r="25" spans="1:9" x14ac:dyDescent="0.15">
      <c r="A25">
        <v>24</v>
      </c>
      <c r="B25">
        <f>[1]凌虚子!$C$25</f>
        <v>23250</v>
      </c>
      <c r="C25">
        <f t="shared" si="0"/>
        <v>5850</v>
      </c>
      <c r="D25">
        <f>[1]凌虚子!$D$25</f>
        <v>8931</v>
      </c>
      <c r="E25">
        <f>[1]凌虚子!$E$25</f>
        <v>1868</v>
      </c>
      <c r="F25">
        <f>ROUND([1]凌虚子!$F$25*1000,0)</f>
        <v>0</v>
      </c>
      <c r="G25">
        <f>ROUND([1]凌虚子!$H$25*100,0)</f>
        <v>100</v>
      </c>
      <c r="H25">
        <f>[1]凌虚子!$I$25</f>
        <v>608</v>
      </c>
      <c r="I25">
        <f>[1]凌虚子!$J$25</f>
        <v>4466</v>
      </c>
    </row>
    <row r="26" spans="1:9" x14ac:dyDescent="0.15">
      <c r="A26">
        <v>25</v>
      </c>
      <c r="B26">
        <f>[1]凌虚子!$C$26</f>
        <v>30750</v>
      </c>
      <c r="C26">
        <f t="shared" si="0"/>
        <v>7500</v>
      </c>
      <c r="D26">
        <f>[1]凌虚子!$D$26</f>
        <v>11795</v>
      </c>
      <c r="E26">
        <f>[1]凌虚子!$E$26</f>
        <v>2468</v>
      </c>
      <c r="F26">
        <f>ROUND([1]凌虚子!$F$26*1000,0)</f>
        <v>0</v>
      </c>
      <c r="G26">
        <f>ROUND([1]凌虚子!$H$26*100,0)</f>
        <v>100</v>
      </c>
      <c r="H26">
        <f>[1]凌虚子!$I$26</f>
        <v>832</v>
      </c>
      <c r="I26">
        <f>[1]凌虚子!$J$26</f>
        <v>5898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-0.499984740745262"/>
  </sheetPr>
  <dimension ref="A1:I26"/>
  <sheetViews>
    <sheetView topLeftCell="A13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[1]黑熊精!$C$2</f>
        <v>50</v>
      </c>
      <c r="C2">
        <f>B2-0</f>
        <v>50</v>
      </c>
      <c r="D2">
        <f>[1]黑熊精!$D$2</f>
        <v>25</v>
      </c>
      <c r="E2">
        <f>[1]黑熊精!$E$2</f>
        <v>8</v>
      </c>
      <c r="F2">
        <f>ROUND([1]黑熊精!$F$2 *1000,0)</f>
        <v>0</v>
      </c>
      <c r="G2">
        <f>ROUND([1]黑熊精!$H$2 *100,0)</f>
        <v>100</v>
      </c>
      <c r="H2">
        <f>[1]黑熊精!$I$2</f>
        <v>12</v>
      </c>
      <c r="I2">
        <f>[1]黑熊精!$J$2</f>
        <v>8</v>
      </c>
    </row>
    <row r="3" spans="1:9" x14ac:dyDescent="0.15">
      <c r="A3">
        <v>2</v>
      </c>
      <c r="B3">
        <f>[1]黑熊精!$C$3</f>
        <v>100</v>
      </c>
      <c r="C3">
        <f>B3-B2</f>
        <v>50</v>
      </c>
      <c r="D3">
        <f>[1]黑熊精!$D$3</f>
        <v>27</v>
      </c>
      <c r="E3">
        <f>[1]黑熊精!$E$3</f>
        <v>14</v>
      </c>
      <c r="F3">
        <f>ROUND([1]黑熊精!$F$3 *1000,0)</f>
        <v>0</v>
      </c>
      <c r="G3">
        <f>ROUND([1]黑熊精!$H$3 *100,0)</f>
        <v>100</v>
      </c>
      <c r="H3">
        <f>[1]黑熊精!$I$3</f>
        <v>18</v>
      </c>
      <c r="I3">
        <f>[1]黑熊精!$J$3</f>
        <v>8</v>
      </c>
    </row>
    <row r="4" spans="1:9" x14ac:dyDescent="0.15">
      <c r="A4">
        <v>3</v>
      </c>
      <c r="B4">
        <f>[1]黑熊精!$C$4</f>
        <v>150</v>
      </c>
      <c r="C4">
        <f t="shared" ref="C4:C26" si="0">B4-B3</f>
        <v>50</v>
      </c>
      <c r="D4">
        <f>[1]黑熊精!$D$4</f>
        <v>27</v>
      </c>
      <c r="E4">
        <f>[1]黑熊精!$E$4</f>
        <v>20</v>
      </c>
      <c r="F4">
        <f>ROUND([1]黑熊精!$F$4 *1000,0)</f>
        <v>0</v>
      </c>
      <c r="G4">
        <f>ROUND([1]黑熊精!$H$4 *100,0)</f>
        <v>100</v>
      </c>
      <c r="H4">
        <f>[1]黑熊精!$I$4</f>
        <v>26</v>
      </c>
      <c r="I4">
        <f>[1]黑熊精!$J$4</f>
        <v>8</v>
      </c>
    </row>
    <row r="5" spans="1:9" x14ac:dyDescent="0.15">
      <c r="A5">
        <v>4</v>
      </c>
      <c r="B5">
        <f>[1]黑熊精!$C$5</f>
        <v>250</v>
      </c>
      <c r="C5">
        <f t="shared" si="0"/>
        <v>100</v>
      </c>
      <c r="D5">
        <f>[1]黑熊精!$D$5</f>
        <v>35</v>
      </c>
      <c r="E5">
        <f>[1]黑熊精!$E$5</f>
        <v>31</v>
      </c>
      <c r="F5">
        <f>ROUND([1]黑熊精!$F$5 *1000,0)</f>
        <v>0</v>
      </c>
      <c r="G5">
        <f>ROUND([1]黑熊精!$H$5 *100,0)</f>
        <v>100</v>
      </c>
      <c r="H5">
        <f>[1]黑熊精!$I$5</f>
        <v>34</v>
      </c>
      <c r="I5">
        <f>[1]黑熊精!$J$5</f>
        <v>11</v>
      </c>
    </row>
    <row r="6" spans="1:9" x14ac:dyDescent="0.15">
      <c r="A6">
        <v>5</v>
      </c>
      <c r="B6">
        <f>[1]黑熊精!$C$6</f>
        <v>350</v>
      </c>
      <c r="C6">
        <f t="shared" si="0"/>
        <v>100</v>
      </c>
      <c r="D6">
        <f>[1]黑熊精!$D$6</f>
        <v>42</v>
      </c>
      <c r="E6">
        <f>[1]黑熊精!$E$6</f>
        <v>42</v>
      </c>
      <c r="F6">
        <f>ROUND([1]黑熊精!$F$6 *1000,0)</f>
        <v>0</v>
      </c>
      <c r="G6">
        <f>ROUND([1]黑熊精!$H$6 *100,0)</f>
        <v>100</v>
      </c>
      <c r="H6">
        <f>[1]黑熊精!$I$6</f>
        <v>43</v>
      </c>
      <c r="I6">
        <f>[1]黑熊精!$J$6</f>
        <v>13</v>
      </c>
    </row>
    <row r="7" spans="1:9" x14ac:dyDescent="0.15">
      <c r="A7">
        <v>6</v>
      </c>
      <c r="B7">
        <f>[1]黑熊精!$C$7</f>
        <v>500</v>
      </c>
      <c r="C7">
        <f t="shared" si="0"/>
        <v>150</v>
      </c>
      <c r="D7">
        <f>[1]黑熊精!$D$7</f>
        <v>64</v>
      </c>
      <c r="E7">
        <f>[1]黑熊精!$E$7</f>
        <v>55</v>
      </c>
      <c r="F7">
        <f>ROUND([1]黑熊精!$F$7 *1000,0)</f>
        <v>0</v>
      </c>
      <c r="G7">
        <f>ROUND([1]黑熊精!$H$7 *100,0)</f>
        <v>100</v>
      </c>
      <c r="H7">
        <f>[1]黑熊精!$I$7</f>
        <v>53</v>
      </c>
      <c r="I7">
        <f>[1]黑熊精!$J$7</f>
        <v>19</v>
      </c>
    </row>
    <row r="8" spans="1:9" x14ac:dyDescent="0.15">
      <c r="A8">
        <v>7</v>
      </c>
      <c r="B8">
        <f>[1]黑熊精!$C$8</f>
        <v>650</v>
      </c>
      <c r="C8">
        <f t="shared" si="0"/>
        <v>150</v>
      </c>
      <c r="D8">
        <f>[1]黑熊精!$D$8</f>
        <v>71</v>
      </c>
      <c r="E8">
        <f>[1]黑熊精!$E$8</f>
        <v>78</v>
      </c>
      <c r="F8">
        <f>ROUND([1]黑熊精!$F$8 *1000,0)</f>
        <v>0</v>
      </c>
      <c r="G8">
        <f>ROUND([1]黑熊精!$H$8 *100,0)</f>
        <v>100</v>
      </c>
      <c r="H8">
        <f>[1]黑熊精!$I$8</f>
        <v>64</v>
      </c>
      <c r="I8">
        <f>[1]黑熊精!$J$8</f>
        <v>21</v>
      </c>
    </row>
    <row r="9" spans="1:9" x14ac:dyDescent="0.15">
      <c r="A9">
        <v>8</v>
      </c>
      <c r="B9">
        <f>[1]黑熊精!$C$9</f>
        <v>850</v>
      </c>
      <c r="C9">
        <f t="shared" si="0"/>
        <v>200</v>
      </c>
      <c r="D9">
        <f>[1]黑熊精!$D$9</f>
        <v>137</v>
      </c>
      <c r="E9">
        <f>[1]黑熊精!$E$9</f>
        <v>103</v>
      </c>
      <c r="F9">
        <f>ROUND([1]黑熊精!$F$9 *1000,0)</f>
        <v>0</v>
      </c>
      <c r="G9">
        <f>ROUND([1]黑熊精!$H$9 *100,0)</f>
        <v>100</v>
      </c>
      <c r="H9">
        <f>[1]黑熊精!$I$9</f>
        <v>76</v>
      </c>
      <c r="I9">
        <f>[1]黑熊精!$J$9</f>
        <v>41</v>
      </c>
    </row>
    <row r="10" spans="1:9" x14ac:dyDescent="0.15">
      <c r="A10">
        <v>9</v>
      </c>
      <c r="B10">
        <f>[1]黑熊精!$C$10</f>
        <v>1050</v>
      </c>
      <c r="C10">
        <f t="shared" si="0"/>
        <v>200</v>
      </c>
      <c r="D10">
        <f>[1]黑熊精!$D$10</f>
        <v>166</v>
      </c>
      <c r="E10">
        <f>[1]黑熊精!$E$10</f>
        <v>127</v>
      </c>
      <c r="F10">
        <f>ROUND([1]黑熊精!$F$10*1000,0)</f>
        <v>0</v>
      </c>
      <c r="G10">
        <f>ROUND([1]黑熊精!$H$10*100,0)</f>
        <v>100</v>
      </c>
      <c r="H10">
        <f>[1]黑熊精!$I$10</f>
        <v>89</v>
      </c>
      <c r="I10">
        <f>[1]黑熊精!$J$10</f>
        <v>50</v>
      </c>
    </row>
    <row r="11" spans="1:9" x14ac:dyDescent="0.15">
      <c r="A11">
        <v>10</v>
      </c>
      <c r="B11">
        <f>[1]黑熊精!$C$11</f>
        <v>1250</v>
      </c>
      <c r="C11">
        <f t="shared" si="0"/>
        <v>200</v>
      </c>
      <c r="D11">
        <f>[1]黑熊精!$D$11</f>
        <v>196</v>
      </c>
      <c r="E11">
        <f>[1]黑熊精!$E$11</f>
        <v>150</v>
      </c>
      <c r="F11">
        <f>ROUND([1]黑熊精!$F$11*1000,0)</f>
        <v>0</v>
      </c>
      <c r="G11">
        <f>ROUND([1]黑熊精!$H$11*100,0)</f>
        <v>100</v>
      </c>
      <c r="H11">
        <f>[1]黑熊精!$I$11</f>
        <v>103</v>
      </c>
      <c r="I11">
        <f>[1]黑熊精!$J$11</f>
        <v>59</v>
      </c>
    </row>
    <row r="12" spans="1:9" x14ac:dyDescent="0.15">
      <c r="A12">
        <v>11</v>
      </c>
      <c r="B12">
        <f>[1]黑熊精!$C$12</f>
        <v>1500</v>
      </c>
      <c r="C12">
        <f t="shared" si="0"/>
        <v>250</v>
      </c>
      <c r="D12">
        <f>[1]黑熊精!$D$12</f>
        <v>315</v>
      </c>
      <c r="E12">
        <f>[1]黑熊精!$E$12</f>
        <v>176</v>
      </c>
      <c r="F12">
        <f>ROUND([1]黑熊精!$F$12*1000,0)</f>
        <v>0</v>
      </c>
      <c r="G12">
        <f>ROUND([1]黑熊精!$H$12*100,0)</f>
        <v>100</v>
      </c>
      <c r="H12">
        <f>[1]黑熊精!$I$12</f>
        <v>119</v>
      </c>
      <c r="I12">
        <f>[1]黑熊精!$J$12</f>
        <v>95</v>
      </c>
    </row>
    <row r="13" spans="1:9" x14ac:dyDescent="0.15">
      <c r="A13">
        <v>12</v>
      </c>
      <c r="B13">
        <f>[1]黑熊精!$C$13</f>
        <v>1750</v>
      </c>
      <c r="C13">
        <f t="shared" si="0"/>
        <v>250</v>
      </c>
      <c r="D13">
        <f>[1]黑熊精!$D$13</f>
        <v>364</v>
      </c>
      <c r="E13">
        <f>[1]黑熊精!$E$13</f>
        <v>205</v>
      </c>
      <c r="F13">
        <f>ROUND([1]黑熊精!$F$13*1000,0)</f>
        <v>0</v>
      </c>
      <c r="G13">
        <f>ROUND([1]黑熊精!$H$13*100,0)</f>
        <v>100</v>
      </c>
      <c r="H13">
        <f>[1]黑熊精!$I$13</f>
        <v>137</v>
      </c>
      <c r="I13">
        <f>[1]黑熊精!$J$13</f>
        <v>109</v>
      </c>
    </row>
    <row r="14" spans="1:9" x14ac:dyDescent="0.15">
      <c r="A14">
        <v>13</v>
      </c>
      <c r="B14">
        <f>[1]黑熊精!$C$14</f>
        <v>2050</v>
      </c>
      <c r="C14">
        <f t="shared" si="0"/>
        <v>300</v>
      </c>
      <c r="D14">
        <f>[1]黑熊精!$D$14</f>
        <v>428</v>
      </c>
      <c r="E14">
        <f>[1]黑熊精!$E$14</f>
        <v>237</v>
      </c>
      <c r="F14">
        <f>ROUND([1]黑熊精!$F$14*1000,0)</f>
        <v>0</v>
      </c>
      <c r="G14">
        <f>ROUND([1]黑熊精!$H$14*100,0)</f>
        <v>100</v>
      </c>
      <c r="H14">
        <f>[1]黑熊精!$I$14</f>
        <v>157</v>
      </c>
      <c r="I14">
        <f>[1]黑熊精!$J$14</f>
        <v>128</v>
      </c>
    </row>
    <row r="15" spans="1:9" x14ac:dyDescent="0.15">
      <c r="A15">
        <v>14</v>
      </c>
      <c r="B15">
        <f>[1]黑熊精!$C$15</f>
        <v>2400</v>
      </c>
      <c r="C15">
        <f t="shared" si="0"/>
        <v>350</v>
      </c>
      <c r="D15">
        <f>[1]黑熊精!$D$15</f>
        <v>626</v>
      </c>
      <c r="E15">
        <f>[1]黑熊精!$E$15</f>
        <v>273</v>
      </c>
      <c r="F15">
        <f>ROUND([1]黑熊精!$F$15*1000,0)</f>
        <v>0</v>
      </c>
      <c r="G15">
        <f>ROUND([1]黑熊精!$H$15*100,0)</f>
        <v>100</v>
      </c>
      <c r="H15">
        <f>[1]黑熊精!$I$15</f>
        <v>179</v>
      </c>
      <c r="I15">
        <f>[1]黑熊精!$J$15</f>
        <v>188</v>
      </c>
    </row>
    <row r="16" spans="1:9" x14ac:dyDescent="0.15">
      <c r="A16">
        <v>15</v>
      </c>
      <c r="B16">
        <f>[1]黑熊精!$C$16</f>
        <v>2850</v>
      </c>
      <c r="C16">
        <f t="shared" si="0"/>
        <v>450</v>
      </c>
      <c r="D16">
        <f>[1]黑熊精!$D$16</f>
        <v>760</v>
      </c>
      <c r="E16">
        <f>[1]黑熊精!$E$16</f>
        <v>313</v>
      </c>
      <c r="F16">
        <f>ROUND([1]黑熊精!$F$16*1000,0)</f>
        <v>0</v>
      </c>
      <c r="G16">
        <f>ROUND([1]黑熊精!$H$16*100,0)</f>
        <v>100</v>
      </c>
      <c r="H16">
        <f>[1]黑熊精!$I$16</f>
        <v>204</v>
      </c>
      <c r="I16">
        <f>[1]黑熊精!$J$16</f>
        <v>228</v>
      </c>
    </row>
    <row r="17" spans="1:9" x14ac:dyDescent="0.15">
      <c r="A17">
        <v>16</v>
      </c>
      <c r="B17">
        <f>[1]黑熊精!$C$17</f>
        <v>3350</v>
      </c>
      <c r="C17">
        <f t="shared" si="0"/>
        <v>500</v>
      </c>
      <c r="D17">
        <f>[1]黑熊精!$D$17</f>
        <v>1076</v>
      </c>
      <c r="E17">
        <f>[1]黑熊精!$E$17</f>
        <v>357</v>
      </c>
      <c r="F17">
        <f>ROUND([1]黑熊精!$F$17*1000,0)</f>
        <v>0</v>
      </c>
      <c r="G17">
        <f>ROUND([1]黑熊精!$H$17*100,0)</f>
        <v>100</v>
      </c>
      <c r="H17">
        <f>[1]黑熊精!$I$17</f>
        <v>232</v>
      </c>
      <c r="I17">
        <f>[1]黑熊精!$J$17</f>
        <v>323</v>
      </c>
    </row>
    <row r="18" spans="1:9" x14ac:dyDescent="0.15">
      <c r="A18">
        <v>17</v>
      </c>
      <c r="B18">
        <f>[1]黑熊精!$C$18</f>
        <v>3900</v>
      </c>
      <c r="C18">
        <f t="shared" si="0"/>
        <v>550</v>
      </c>
      <c r="D18">
        <f>[1]黑熊精!$D$18</f>
        <v>1267</v>
      </c>
      <c r="E18">
        <f>[1]黑熊精!$E$18</f>
        <v>406</v>
      </c>
      <c r="F18">
        <f>ROUND([1]黑熊精!$F$18*1000,0)</f>
        <v>0</v>
      </c>
      <c r="G18">
        <f>ROUND([1]黑熊精!$H$18*100,0)</f>
        <v>100</v>
      </c>
      <c r="H18">
        <f>[1]黑熊精!$I$18</f>
        <v>263</v>
      </c>
      <c r="I18">
        <f>[1]黑熊精!$J$18</f>
        <v>380</v>
      </c>
    </row>
    <row r="19" spans="1:9" x14ac:dyDescent="0.15">
      <c r="A19">
        <v>18</v>
      </c>
      <c r="B19">
        <f>[1]黑熊精!$C$19</f>
        <v>4550</v>
      </c>
      <c r="C19">
        <f t="shared" si="0"/>
        <v>650</v>
      </c>
      <c r="D19">
        <f>[1]黑熊精!$D$19</f>
        <v>1498</v>
      </c>
      <c r="E19">
        <f>[1]黑熊精!$E$19</f>
        <v>461</v>
      </c>
      <c r="F19">
        <f>ROUND([1]黑熊精!$F$19*1000,0)</f>
        <v>0</v>
      </c>
      <c r="G19">
        <f>ROUND([1]黑熊精!$H$19*100,0)</f>
        <v>100</v>
      </c>
      <c r="H19">
        <f>[1]黑熊精!$I$19</f>
        <v>298</v>
      </c>
      <c r="I19">
        <f>[1]黑熊精!$J$19</f>
        <v>449</v>
      </c>
    </row>
    <row r="20" spans="1:9" x14ac:dyDescent="0.15">
      <c r="A20">
        <v>19</v>
      </c>
      <c r="B20">
        <f>[1]黑熊精!$C$20</f>
        <v>5500</v>
      </c>
      <c r="C20">
        <f t="shared" si="0"/>
        <v>950</v>
      </c>
      <c r="D20">
        <f>[1]黑熊精!$D$20</f>
        <v>2147</v>
      </c>
      <c r="E20">
        <f>[1]黑熊精!$E$20</f>
        <v>522</v>
      </c>
      <c r="F20">
        <f>ROUND([1]黑熊精!$F$20*1000,0)</f>
        <v>0</v>
      </c>
      <c r="G20">
        <f>ROUND([1]黑熊精!$H$20*100,0)</f>
        <v>100</v>
      </c>
      <c r="H20">
        <f>[1]黑熊精!$I$20</f>
        <v>337</v>
      </c>
      <c r="I20">
        <f>[1]黑熊精!$J$20</f>
        <v>644</v>
      </c>
    </row>
    <row r="21" spans="1:9" x14ac:dyDescent="0.15">
      <c r="A21">
        <v>20</v>
      </c>
      <c r="B21">
        <f>[1]黑熊精!$C$21</f>
        <v>6600</v>
      </c>
      <c r="C21">
        <f t="shared" si="0"/>
        <v>1100</v>
      </c>
      <c r="D21">
        <f>[1]黑熊精!$D$21</f>
        <v>2861</v>
      </c>
      <c r="E21">
        <f>[1]黑熊精!$E$21</f>
        <v>650</v>
      </c>
      <c r="F21">
        <f>ROUND([1]黑熊精!$F$21*1000,0)</f>
        <v>0</v>
      </c>
      <c r="G21">
        <f>ROUND([1]黑熊精!$H$21*100,0)</f>
        <v>100</v>
      </c>
      <c r="H21">
        <f>[1]黑熊精!$I$21</f>
        <v>380</v>
      </c>
      <c r="I21">
        <f>[1]黑熊精!$J$21</f>
        <v>858</v>
      </c>
    </row>
    <row r="22" spans="1:9" x14ac:dyDescent="0.15">
      <c r="A22">
        <v>21</v>
      </c>
      <c r="B22">
        <f>[1]黑熊精!$C$22</f>
        <v>9450</v>
      </c>
      <c r="C22">
        <f t="shared" si="0"/>
        <v>2850</v>
      </c>
      <c r="D22">
        <f>[1]黑熊精!$D$22</f>
        <v>4004</v>
      </c>
      <c r="E22">
        <f>[1]黑熊精!$E$22</f>
        <v>764</v>
      </c>
      <c r="F22">
        <f>ROUND([1]黑熊精!$F$22*1000,0)</f>
        <v>0</v>
      </c>
      <c r="G22">
        <f>ROUND([1]黑熊精!$H$22*100,0)</f>
        <v>100</v>
      </c>
      <c r="H22">
        <f>[1]黑熊精!$I$22</f>
        <v>447</v>
      </c>
      <c r="I22">
        <f>[1]黑熊精!$J$22</f>
        <v>1201</v>
      </c>
    </row>
    <row r="23" spans="1:9" x14ac:dyDescent="0.15">
      <c r="A23">
        <v>22</v>
      </c>
      <c r="B23">
        <f>[1]黑熊精!$C$23</f>
        <v>12800</v>
      </c>
      <c r="C23">
        <f t="shared" si="0"/>
        <v>3350</v>
      </c>
      <c r="D23">
        <f>[1]黑熊精!$D$23</f>
        <v>6105</v>
      </c>
      <c r="E23">
        <f>[1]黑熊精!$E$23</f>
        <v>1032</v>
      </c>
      <c r="F23">
        <f>ROUND([1]黑熊精!$F$23*1000,0)</f>
        <v>0</v>
      </c>
      <c r="G23">
        <f>ROUND([1]黑熊精!$H$23*100,0)</f>
        <v>100</v>
      </c>
      <c r="H23">
        <f>[1]黑熊精!$I$23</f>
        <v>551</v>
      </c>
      <c r="I23">
        <f>[1]黑熊精!$J$23</f>
        <v>1832</v>
      </c>
    </row>
    <row r="24" spans="1:9" x14ac:dyDescent="0.15">
      <c r="A24">
        <v>23</v>
      </c>
      <c r="B24">
        <f>[1]黑熊精!$C$24</f>
        <v>17400</v>
      </c>
      <c r="C24">
        <f t="shared" si="0"/>
        <v>4600</v>
      </c>
      <c r="D24">
        <f>[1]黑熊精!$D$24</f>
        <v>8343</v>
      </c>
      <c r="E24">
        <f>[1]黑熊精!$E$24</f>
        <v>1400</v>
      </c>
      <c r="F24">
        <f>ROUND([1]黑熊精!$F$24*1000,0)</f>
        <v>0</v>
      </c>
      <c r="G24">
        <f>ROUND([1]黑熊精!$H$24*100,0)</f>
        <v>100</v>
      </c>
      <c r="H24">
        <f>[1]黑熊精!$I$24</f>
        <v>712</v>
      </c>
      <c r="I24">
        <f>[1]黑熊精!$J$24</f>
        <v>2503</v>
      </c>
    </row>
    <row r="25" spans="1:9" x14ac:dyDescent="0.15">
      <c r="A25">
        <v>24</v>
      </c>
      <c r="B25">
        <f>[1]黑熊精!$C$25</f>
        <v>23250</v>
      </c>
      <c r="C25">
        <f t="shared" si="0"/>
        <v>5850</v>
      </c>
      <c r="D25">
        <f>[1]黑熊精!$D$25</f>
        <v>11138</v>
      </c>
      <c r="E25">
        <f>[1]黑熊精!$E$25</f>
        <v>1868</v>
      </c>
      <c r="F25">
        <f>ROUND([1]黑熊精!$F$25*1000,0)</f>
        <v>0</v>
      </c>
      <c r="G25">
        <f>ROUND([1]黑熊精!$H$25*100,0)</f>
        <v>100</v>
      </c>
      <c r="H25">
        <f>[1]黑熊精!$I$25</f>
        <v>962</v>
      </c>
      <c r="I25">
        <f>[1]黑熊精!$J$25</f>
        <v>3341</v>
      </c>
    </row>
    <row r="26" spans="1:9" x14ac:dyDescent="0.15">
      <c r="A26">
        <v>25</v>
      </c>
      <c r="B26">
        <f>[1]黑熊精!$C$26</f>
        <v>30750</v>
      </c>
      <c r="C26">
        <f t="shared" si="0"/>
        <v>7500</v>
      </c>
      <c r="D26">
        <f>[1]黑熊精!$D$26</f>
        <v>14647</v>
      </c>
      <c r="E26">
        <f>[1]黑熊精!$E$26</f>
        <v>2468</v>
      </c>
      <c r="F26">
        <f>ROUND([1]黑熊精!$F$26*1000,0)</f>
        <v>0</v>
      </c>
      <c r="G26">
        <f>ROUND([1]黑熊精!$H$26*100,0)</f>
        <v>100</v>
      </c>
      <c r="H26">
        <f>[1]黑熊精!$I$26</f>
        <v>1350</v>
      </c>
      <c r="I26">
        <f>[1]黑熊精!$J$26</f>
        <v>4394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-0.499984740745262"/>
  </sheetPr>
  <dimension ref="A1:I26"/>
  <sheetViews>
    <sheetView topLeftCell="A16" workbookViewId="0">
      <selection activeCell="K22" sqref="K2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[1]虎先锋!$C$2</f>
        <v>50</v>
      </c>
      <c r="C2">
        <f>B2-0</f>
        <v>50</v>
      </c>
      <c r="D2">
        <f>[1]虎先锋!$D$2</f>
        <v>28</v>
      </c>
      <c r="E2">
        <f>[1]虎先锋!$E$2</f>
        <v>8</v>
      </c>
      <c r="F2">
        <f>ROUND([1]虎先锋!$F$2 *1000,0)</f>
        <v>100</v>
      </c>
      <c r="G2">
        <f>ROUND([1]虎先锋!$H$2 *100,0)</f>
        <v>100</v>
      </c>
      <c r="H2">
        <f>[1]虎先锋!$I$2</f>
        <v>8</v>
      </c>
      <c r="I2">
        <f>[1]虎先锋!$J$2</f>
        <v>8</v>
      </c>
    </row>
    <row r="3" spans="1:9" x14ac:dyDescent="0.15">
      <c r="A3">
        <v>2</v>
      </c>
      <c r="B3">
        <f>[1]虎先锋!$C$3</f>
        <v>100</v>
      </c>
      <c r="C3">
        <f>B3-B2</f>
        <v>50</v>
      </c>
      <c r="D3">
        <f>[1]虎先锋!$D$3</f>
        <v>31</v>
      </c>
      <c r="E3">
        <f>[1]虎先锋!$E$3</f>
        <v>13</v>
      </c>
      <c r="F3">
        <f>ROUND([1]虎先锋!$F$3 *1000,0)</f>
        <v>100</v>
      </c>
      <c r="G3">
        <f>ROUND([1]虎先锋!$H$3 *100,0)</f>
        <v>100</v>
      </c>
      <c r="H3">
        <f>[1]虎先锋!$I$3</f>
        <v>12</v>
      </c>
      <c r="I3">
        <f>[1]虎先锋!$J$3</f>
        <v>9</v>
      </c>
    </row>
    <row r="4" spans="1:9" x14ac:dyDescent="0.15">
      <c r="A4">
        <v>3</v>
      </c>
      <c r="B4">
        <f>[1]虎先锋!$C$4</f>
        <v>150</v>
      </c>
      <c r="C4">
        <f t="shared" ref="C4:C26" si="0">B4-B3</f>
        <v>50</v>
      </c>
      <c r="D4">
        <f>[1]虎先锋!$D$4</f>
        <v>32</v>
      </c>
      <c r="E4">
        <f>[1]虎先锋!$E$4</f>
        <v>20</v>
      </c>
      <c r="F4">
        <f>ROUND([1]虎先锋!$F$4 *1000,0)</f>
        <v>100</v>
      </c>
      <c r="G4">
        <f>ROUND([1]虎先锋!$H$4 *100,0)</f>
        <v>100</v>
      </c>
      <c r="H4">
        <f>[1]虎先锋!$I$4</f>
        <v>16</v>
      </c>
      <c r="I4">
        <f>[1]虎先锋!$J$4</f>
        <v>10</v>
      </c>
    </row>
    <row r="5" spans="1:9" x14ac:dyDescent="0.15">
      <c r="A5">
        <v>4</v>
      </c>
      <c r="B5">
        <f>[1]虎先锋!$C$5</f>
        <v>250</v>
      </c>
      <c r="C5">
        <f t="shared" si="0"/>
        <v>100</v>
      </c>
      <c r="D5">
        <f>[1]虎先锋!$D$5</f>
        <v>45</v>
      </c>
      <c r="E5">
        <f>[1]虎先锋!$E$5</f>
        <v>30</v>
      </c>
      <c r="F5">
        <f>ROUND([1]虎先锋!$F$5 *1000,0)</f>
        <v>100</v>
      </c>
      <c r="G5">
        <f>ROUND([1]虎先锋!$H$5 *100,0)</f>
        <v>100</v>
      </c>
      <c r="H5">
        <f>[1]虎先锋!$I$5</f>
        <v>20</v>
      </c>
      <c r="I5">
        <f>[1]虎先锋!$J$5</f>
        <v>14</v>
      </c>
    </row>
    <row r="6" spans="1:9" x14ac:dyDescent="0.15">
      <c r="A6">
        <v>5</v>
      </c>
      <c r="B6">
        <f>[1]虎先锋!$C$6</f>
        <v>350</v>
      </c>
      <c r="C6">
        <f t="shared" si="0"/>
        <v>100</v>
      </c>
      <c r="D6">
        <f>[1]虎先锋!$D$6</f>
        <v>54</v>
      </c>
      <c r="E6">
        <f>[1]虎先锋!$E$6</f>
        <v>43</v>
      </c>
      <c r="F6">
        <f>ROUND([1]虎先锋!$F$6 *1000,0)</f>
        <v>100</v>
      </c>
      <c r="G6">
        <f>ROUND([1]虎先锋!$H$6 *100,0)</f>
        <v>100</v>
      </c>
      <c r="H6">
        <f>[1]虎先锋!$I$6</f>
        <v>24</v>
      </c>
      <c r="I6">
        <f>[1]虎先锋!$J$6</f>
        <v>16</v>
      </c>
    </row>
    <row r="7" spans="1:9" x14ac:dyDescent="0.15">
      <c r="A7">
        <v>6</v>
      </c>
      <c r="B7">
        <f>[1]虎先锋!$C$7</f>
        <v>500</v>
      </c>
      <c r="C7">
        <f t="shared" si="0"/>
        <v>150</v>
      </c>
      <c r="D7">
        <f>[1]虎先锋!$D$7</f>
        <v>60</v>
      </c>
      <c r="E7">
        <f>[1]虎先锋!$E$7</f>
        <v>68</v>
      </c>
      <c r="F7">
        <f>ROUND([1]虎先锋!$F$7 *1000,0)</f>
        <v>100</v>
      </c>
      <c r="G7">
        <f>ROUND([1]虎先锋!$H$7 *100,0)</f>
        <v>100</v>
      </c>
      <c r="H7">
        <f>[1]虎先锋!$I$7</f>
        <v>29</v>
      </c>
      <c r="I7">
        <f>[1]虎先锋!$J$7</f>
        <v>18</v>
      </c>
    </row>
    <row r="8" spans="1:9" x14ac:dyDescent="0.15">
      <c r="A8">
        <v>7</v>
      </c>
      <c r="B8">
        <f>[1]虎先锋!$C$8</f>
        <v>650</v>
      </c>
      <c r="C8">
        <f t="shared" si="0"/>
        <v>150</v>
      </c>
      <c r="D8">
        <f>[1]虎先锋!$D$8</f>
        <v>65</v>
      </c>
      <c r="E8">
        <f>[1]虎先锋!$E$8</f>
        <v>90</v>
      </c>
      <c r="F8">
        <f>ROUND([1]虎先锋!$F$8 *1000,0)</f>
        <v>101</v>
      </c>
      <c r="G8">
        <f>ROUND([1]虎先锋!$H$8 *100,0)</f>
        <v>100</v>
      </c>
      <c r="H8">
        <f>[1]虎先锋!$I$8</f>
        <v>38</v>
      </c>
      <c r="I8">
        <f>[1]虎先锋!$J$8</f>
        <v>20</v>
      </c>
    </row>
    <row r="9" spans="1:9" x14ac:dyDescent="0.15">
      <c r="A9">
        <v>8</v>
      </c>
      <c r="B9">
        <f>[1]虎先锋!$C$9</f>
        <v>850</v>
      </c>
      <c r="C9">
        <f t="shared" si="0"/>
        <v>200</v>
      </c>
      <c r="D9">
        <f>[1]虎先锋!$D$9</f>
        <v>77</v>
      </c>
      <c r="E9">
        <f>[1]虎先锋!$E$9</f>
        <v>147</v>
      </c>
      <c r="F9">
        <f>ROUND([1]虎先锋!$F$9 *1000,0)</f>
        <v>101</v>
      </c>
      <c r="G9">
        <f>ROUND([1]虎先锋!$H$9 *100,0)</f>
        <v>100</v>
      </c>
      <c r="H9">
        <f>[1]虎先锋!$I$9</f>
        <v>48</v>
      </c>
      <c r="I9">
        <f>[1]虎先锋!$J$9</f>
        <v>23</v>
      </c>
    </row>
    <row r="10" spans="1:9" x14ac:dyDescent="0.15">
      <c r="A10">
        <v>9</v>
      </c>
      <c r="B10">
        <f>[1]虎先锋!$C$10</f>
        <v>1050</v>
      </c>
      <c r="C10">
        <f t="shared" si="0"/>
        <v>200</v>
      </c>
      <c r="D10">
        <f>[1]虎先锋!$D$10</f>
        <v>87</v>
      </c>
      <c r="E10">
        <f>[1]虎先锋!$E$10</f>
        <v>185</v>
      </c>
      <c r="F10">
        <f>ROUND([1]虎先锋!$F$10*1000,0)</f>
        <v>101</v>
      </c>
      <c r="G10">
        <f>ROUND([1]虎先锋!$H$10*100,0)</f>
        <v>100</v>
      </c>
      <c r="H10">
        <f>[1]虎先锋!$I$10</f>
        <v>55</v>
      </c>
      <c r="I10">
        <f>[1]虎先锋!$J$10</f>
        <v>26</v>
      </c>
    </row>
    <row r="11" spans="1:9" x14ac:dyDescent="0.15">
      <c r="A11">
        <v>10</v>
      </c>
      <c r="B11">
        <f>[1]虎先锋!$C$11</f>
        <v>1250</v>
      </c>
      <c r="C11">
        <f t="shared" si="0"/>
        <v>200</v>
      </c>
      <c r="D11">
        <f>[1]虎先锋!$D$11</f>
        <v>93</v>
      </c>
      <c r="E11">
        <f>[1]虎先锋!$E$11</f>
        <v>208</v>
      </c>
      <c r="F11">
        <f>ROUND([1]虎先锋!$F$11*1000,0)</f>
        <v>101</v>
      </c>
      <c r="G11">
        <f>ROUND([1]虎先锋!$H$11*100,0)</f>
        <v>120</v>
      </c>
      <c r="H11">
        <f>[1]虎先锋!$I$11</f>
        <v>59</v>
      </c>
      <c r="I11">
        <f>[1]虎先锋!$J$11</f>
        <v>28</v>
      </c>
    </row>
    <row r="12" spans="1:9" x14ac:dyDescent="0.15">
      <c r="A12">
        <v>11</v>
      </c>
      <c r="B12">
        <f>[1]虎先锋!$C$12</f>
        <v>1500</v>
      </c>
      <c r="C12">
        <f t="shared" si="0"/>
        <v>250</v>
      </c>
      <c r="D12">
        <f>[1]虎先锋!$D$12</f>
        <v>177</v>
      </c>
      <c r="E12">
        <f>[1]虎先锋!$E$12</f>
        <v>251</v>
      </c>
      <c r="F12">
        <f>ROUND([1]虎先锋!$F$12*1000,0)</f>
        <v>101</v>
      </c>
      <c r="G12">
        <f>ROUND([1]虎先锋!$H$12*100,0)</f>
        <v>120</v>
      </c>
      <c r="H12">
        <f>[1]虎先锋!$I$12</f>
        <v>69</v>
      </c>
      <c r="I12">
        <f>[1]虎先锋!$J$12</f>
        <v>53</v>
      </c>
    </row>
    <row r="13" spans="1:9" x14ac:dyDescent="0.15">
      <c r="A13">
        <v>12</v>
      </c>
      <c r="B13">
        <f>[1]虎先锋!$C$13</f>
        <v>1750</v>
      </c>
      <c r="C13">
        <f t="shared" si="0"/>
        <v>250</v>
      </c>
      <c r="D13">
        <f>[1]虎先锋!$D$13</f>
        <v>200</v>
      </c>
      <c r="E13">
        <f>[1]虎先锋!$E$13</f>
        <v>293</v>
      </c>
      <c r="F13">
        <f>ROUND([1]虎先锋!$F$13*1000,0)</f>
        <v>102</v>
      </c>
      <c r="G13">
        <f>ROUND([1]虎先锋!$H$13*100,0)</f>
        <v>120</v>
      </c>
      <c r="H13">
        <f>[1]虎先锋!$I$13</f>
        <v>80</v>
      </c>
      <c r="I13">
        <f>[1]虎先锋!$J$13</f>
        <v>60</v>
      </c>
    </row>
    <row r="14" spans="1:9" x14ac:dyDescent="0.15">
      <c r="A14">
        <v>13</v>
      </c>
      <c r="B14">
        <f>[1]虎先锋!$C$14</f>
        <v>2050</v>
      </c>
      <c r="C14">
        <f t="shared" si="0"/>
        <v>300</v>
      </c>
      <c r="D14">
        <f>[1]虎先锋!$D$14</f>
        <v>234</v>
      </c>
      <c r="E14">
        <f>[1]虎先锋!$E$14</f>
        <v>340</v>
      </c>
      <c r="F14">
        <f>ROUND([1]虎先锋!$F$14*1000,0)</f>
        <v>102</v>
      </c>
      <c r="G14">
        <f>ROUND([1]虎先锋!$H$14*100,0)</f>
        <v>120</v>
      </c>
      <c r="H14">
        <f>[1]虎先锋!$I$14</f>
        <v>92</v>
      </c>
      <c r="I14">
        <f>[1]虎先锋!$J$14</f>
        <v>70</v>
      </c>
    </row>
    <row r="15" spans="1:9" x14ac:dyDescent="0.15">
      <c r="A15">
        <v>14</v>
      </c>
      <c r="B15">
        <f>[1]虎先锋!$C$15</f>
        <v>2400</v>
      </c>
      <c r="C15">
        <f t="shared" si="0"/>
        <v>350</v>
      </c>
      <c r="D15">
        <f>[1]虎先锋!$D$15</f>
        <v>394</v>
      </c>
      <c r="E15">
        <f>[1]虎先锋!$E$15</f>
        <v>392</v>
      </c>
      <c r="F15">
        <f>ROUND([1]虎先锋!$F$15*1000,0)</f>
        <v>102</v>
      </c>
      <c r="G15">
        <f>ROUND([1]虎先锋!$H$15*100,0)</f>
        <v>120</v>
      </c>
      <c r="H15">
        <f>[1]虎先锋!$I$15</f>
        <v>105</v>
      </c>
      <c r="I15">
        <f>[1]虎先锋!$J$15</f>
        <v>118</v>
      </c>
    </row>
    <row r="16" spans="1:9" x14ac:dyDescent="0.15">
      <c r="A16">
        <v>15</v>
      </c>
      <c r="B16">
        <f>[1]虎先锋!$C$16</f>
        <v>2850</v>
      </c>
      <c r="C16">
        <f t="shared" si="0"/>
        <v>450</v>
      </c>
      <c r="D16">
        <f>[1]虎先锋!$D$16</f>
        <v>490</v>
      </c>
      <c r="E16">
        <f>[1]虎先锋!$E$16</f>
        <v>450</v>
      </c>
      <c r="F16">
        <f>ROUND([1]虎先锋!$F$16*1000,0)</f>
        <v>103</v>
      </c>
      <c r="G16">
        <f>ROUND([1]虎先锋!$H$16*100,0)</f>
        <v>120</v>
      </c>
      <c r="H16">
        <f>[1]虎先锋!$I$16</f>
        <v>120</v>
      </c>
      <c r="I16">
        <f>[1]虎先锋!$J$16</f>
        <v>147</v>
      </c>
    </row>
    <row r="17" spans="1:9" x14ac:dyDescent="0.15">
      <c r="A17">
        <v>16</v>
      </c>
      <c r="B17">
        <f>[1]虎先锋!$C$17</f>
        <v>3350</v>
      </c>
      <c r="C17">
        <f t="shared" si="0"/>
        <v>500</v>
      </c>
      <c r="D17">
        <f>[1]虎先锋!$D$17</f>
        <v>755</v>
      </c>
      <c r="E17">
        <f>[1]虎先锋!$E$17</f>
        <v>514</v>
      </c>
      <c r="F17">
        <f>ROUND([1]虎先锋!$F$17*1000,0)</f>
        <v>103</v>
      </c>
      <c r="G17">
        <f>ROUND([1]虎先锋!$H$17*100,0)</f>
        <v>120</v>
      </c>
      <c r="H17">
        <f>[1]虎先锋!$I$17</f>
        <v>137</v>
      </c>
      <c r="I17">
        <f>[1]虎先锋!$J$17</f>
        <v>227</v>
      </c>
    </row>
    <row r="18" spans="1:9" x14ac:dyDescent="0.15">
      <c r="A18">
        <v>17</v>
      </c>
      <c r="B18">
        <f>[1]虎先锋!$C$18</f>
        <v>3900</v>
      </c>
      <c r="C18">
        <f t="shared" si="0"/>
        <v>550</v>
      </c>
      <c r="D18">
        <f>[1]虎先锋!$D$18</f>
        <v>897</v>
      </c>
      <c r="E18">
        <f>[1]虎先锋!$E$18</f>
        <v>585</v>
      </c>
      <c r="F18">
        <f>ROUND([1]虎先锋!$F$18*1000,0)</f>
        <v>104</v>
      </c>
      <c r="G18">
        <f>ROUND([1]虎先锋!$H$18*100,0)</f>
        <v>120</v>
      </c>
      <c r="H18">
        <f>[1]虎先锋!$I$18</f>
        <v>156</v>
      </c>
      <c r="I18">
        <f>[1]虎先锋!$J$18</f>
        <v>269</v>
      </c>
    </row>
    <row r="19" spans="1:9" x14ac:dyDescent="0.15">
      <c r="A19">
        <v>18</v>
      </c>
      <c r="B19">
        <f>[1]虎先锋!$C$19</f>
        <v>4550</v>
      </c>
      <c r="C19">
        <f t="shared" si="0"/>
        <v>650</v>
      </c>
      <c r="D19">
        <f>[1]虎先锋!$D$19</f>
        <v>1073</v>
      </c>
      <c r="E19">
        <f>[1]虎先锋!$E$19</f>
        <v>664</v>
      </c>
      <c r="F19">
        <f>ROUND([1]虎先锋!$F$19*1000,0)</f>
        <v>105</v>
      </c>
      <c r="G19">
        <f>ROUND([1]虎先锋!$H$19*100,0)</f>
        <v>120</v>
      </c>
      <c r="H19">
        <f>[1]虎先锋!$I$19</f>
        <v>177</v>
      </c>
      <c r="I19">
        <f>[1]虎先锋!$J$19</f>
        <v>322</v>
      </c>
    </row>
    <row r="20" spans="1:9" x14ac:dyDescent="0.15">
      <c r="A20">
        <v>19</v>
      </c>
      <c r="B20">
        <f>[1]虎先锋!$C$20</f>
        <v>5500</v>
      </c>
      <c r="C20">
        <f t="shared" si="0"/>
        <v>950</v>
      </c>
      <c r="D20">
        <f>[1]虎先锋!$D$20</f>
        <v>1643</v>
      </c>
      <c r="E20">
        <f>[1]虎先锋!$E$20</f>
        <v>752</v>
      </c>
      <c r="F20">
        <f>ROUND([1]虎先锋!$F$20*1000,0)</f>
        <v>105</v>
      </c>
      <c r="G20">
        <f>ROUND([1]虎先锋!$H$20*100,0)</f>
        <v>120</v>
      </c>
      <c r="H20">
        <f>[1]虎先锋!$I$20</f>
        <v>200</v>
      </c>
      <c r="I20">
        <f>[1]虎先锋!$J$20</f>
        <v>493</v>
      </c>
    </row>
    <row r="21" spans="1:9" x14ac:dyDescent="0.15">
      <c r="A21">
        <v>20</v>
      </c>
      <c r="B21">
        <f>[1]虎先锋!$C$21</f>
        <v>6600</v>
      </c>
      <c r="C21">
        <f t="shared" si="0"/>
        <v>1100</v>
      </c>
      <c r="D21">
        <f>[1]虎先锋!$D$21</f>
        <v>2075</v>
      </c>
      <c r="E21">
        <f>[1]虎先锋!$E$21</f>
        <v>840</v>
      </c>
      <c r="F21">
        <f>ROUND([1]虎先锋!$F$21*1000,0)</f>
        <v>107</v>
      </c>
      <c r="G21">
        <f>ROUND([1]虎先锋!$H$21*100,0)</f>
        <v>120</v>
      </c>
      <c r="H21">
        <f>[1]虎先锋!$I$21</f>
        <v>280</v>
      </c>
      <c r="I21">
        <f>[1]虎先锋!$J$21</f>
        <v>623</v>
      </c>
    </row>
    <row r="22" spans="1:9" x14ac:dyDescent="0.15">
      <c r="A22">
        <v>21</v>
      </c>
      <c r="B22">
        <f>[1]虎先锋!$C$22</f>
        <v>9450</v>
      </c>
      <c r="C22">
        <f t="shared" si="0"/>
        <v>2850</v>
      </c>
      <c r="D22">
        <f>[1]虎先锋!$D$22</f>
        <v>3257</v>
      </c>
      <c r="E22">
        <f>[1]虎先锋!$E$22</f>
        <v>764</v>
      </c>
      <c r="F22">
        <f>ROUND([1]虎先锋!$F$22*1000,0)</f>
        <v>109</v>
      </c>
      <c r="G22">
        <f>ROUND([1]虎先锋!$H$22*100,0)</f>
        <v>130</v>
      </c>
      <c r="H22">
        <f>[1]虎先锋!$I$22</f>
        <v>376</v>
      </c>
      <c r="I22">
        <f>[1]虎先锋!$J$22</f>
        <v>977</v>
      </c>
    </row>
    <row r="23" spans="1:9" x14ac:dyDescent="0.15">
      <c r="A23">
        <v>22</v>
      </c>
      <c r="B23">
        <f>[1]虎先锋!$C$23</f>
        <v>12800</v>
      </c>
      <c r="C23">
        <f t="shared" si="0"/>
        <v>3350</v>
      </c>
      <c r="D23">
        <f>[1]虎先锋!$D$23</f>
        <v>4981</v>
      </c>
      <c r="E23">
        <f>[1]虎先锋!$E$23</f>
        <v>1032</v>
      </c>
      <c r="F23">
        <f>ROUND([1]虎先锋!$F$23*1000,0)</f>
        <v>113</v>
      </c>
      <c r="G23">
        <f>ROUND([1]虎先锋!$H$23*100,0)</f>
        <v>130</v>
      </c>
      <c r="H23">
        <f>[1]虎先锋!$I$23</f>
        <v>491</v>
      </c>
      <c r="I23">
        <f>[1]虎先锋!$J$23</f>
        <v>1494</v>
      </c>
    </row>
    <row r="24" spans="1:9" x14ac:dyDescent="0.15">
      <c r="A24">
        <v>23</v>
      </c>
      <c r="B24">
        <f>[1]虎先锋!$C$24</f>
        <v>17400</v>
      </c>
      <c r="C24">
        <f t="shared" si="0"/>
        <v>4600</v>
      </c>
      <c r="D24">
        <f>[1]虎先锋!$D$24</f>
        <v>6808</v>
      </c>
      <c r="E24">
        <f>[1]虎先锋!$E$24</f>
        <v>1400</v>
      </c>
      <c r="F24">
        <f>ROUND([1]虎先锋!$F$24*1000,0)</f>
        <v>117</v>
      </c>
      <c r="G24">
        <f>ROUND([1]虎先锋!$H$24*100,0)</f>
        <v>130</v>
      </c>
      <c r="H24">
        <f>[1]虎先锋!$I$24</f>
        <v>629</v>
      </c>
      <c r="I24">
        <f>[1]虎先锋!$J$24</f>
        <v>2042</v>
      </c>
    </row>
    <row r="25" spans="1:9" x14ac:dyDescent="0.15">
      <c r="A25">
        <v>24</v>
      </c>
      <c r="B25">
        <f>[1]虎先锋!$C$25</f>
        <v>23250</v>
      </c>
      <c r="C25">
        <f t="shared" si="0"/>
        <v>5850</v>
      </c>
      <c r="D25">
        <f>[1]虎先锋!$D$25</f>
        <v>9145</v>
      </c>
      <c r="E25">
        <f>[1]虎先锋!$E$25</f>
        <v>1868</v>
      </c>
      <c r="F25">
        <f>ROUND([1]虎先锋!$F$25*1000,0)</f>
        <v>123</v>
      </c>
      <c r="G25">
        <f>ROUND([1]虎先锋!$H$25*100,0)</f>
        <v>130</v>
      </c>
      <c r="H25">
        <f>[1]虎先锋!$I$25</f>
        <v>795</v>
      </c>
      <c r="I25">
        <f>[1]虎先锋!$J$25</f>
        <v>2744</v>
      </c>
    </row>
    <row r="26" spans="1:9" x14ac:dyDescent="0.15">
      <c r="A26">
        <v>25</v>
      </c>
      <c r="B26">
        <f>[1]虎先锋!$C$26</f>
        <v>30750</v>
      </c>
      <c r="C26">
        <f t="shared" si="0"/>
        <v>7500</v>
      </c>
      <c r="D26">
        <f>[1]虎先锋!$D$26</f>
        <v>12163</v>
      </c>
      <c r="E26">
        <f>[1]虎先锋!$E$26</f>
        <v>2468</v>
      </c>
      <c r="F26">
        <f>ROUND([1]虎先锋!$F$26*1000,0)</f>
        <v>131</v>
      </c>
      <c r="G26">
        <f>ROUND([1]虎先锋!$H$26*100,0)</f>
        <v>130</v>
      </c>
      <c r="H26">
        <f>[1]虎先锋!$I$26</f>
        <v>994</v>
      </c>
      <c r="I26">
        <f>[1]虎先锋!$J$26</f>
        <v>3649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-0.499984740745262"/>
  </sheetPr>
  <dimension ref="A1:I26"/>
  <sheetViews>
    <sheetView topLeftCell="A16" workbookViewId="0">
      <selection activeCell="I36" sqref="I36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[1]黄风怪!$C$2</f>
        <v>50</v>
      </c>
      <c r="C2">
        <f>B2-0</f>
        <v>50</v>
      </c>
      <c r="D2">
        <f>[1]黄风怪!$D$2</f>
        <v>29</v>
      </c>
      <c r="E2">
        <f>[1]黄风怪!$E$2</f>
        <v>7</v>
      </c>
      <c r="F2">
        <f>ROUND([1]黄风怪!$F$2 *1000,0)</f>
        <v>100</v>
      </c>
      <c r="G2">
        <f>ROUND([1]黄风怪!$H$2 *100,0)</f>
        <v>100</v>
      </c>
      <c r="H2">
        <f>[1]黄风怪!$I$2</f>
        <v>7</v>
      </c>
      <c r="I2">
        <f>[1]黄风怪!$J$2</f>
        <v>15</v>
      </c>
    </row>
    <row r="3" spans="1:9" x14ac:dyDescent="0.15">
      <c r="A3">
        <v>2</v>
      </c>
      <c r="B3">
        <f>[1]黄风怪!$C$3</f>
        <v>100</v>
      </c>
      <c r="C3">
        <f>B3-B2</f>
        <v>50</v>
      </c>
      <c r="D3">
        <f>[1]黄风怪!$D$3</f>
        <v>33</v>
      </c>
      <c r="E3">
        <f>[1]黄风怪!$E$3</f>
        <v>12</v>
      </c>
      <c r="F3">
        <f>ROUND([1]黄风怪!$F$3 *1000,0)</f>
        <v>100</v>
      </c>
      <c r="G3">
        <f>ROUND([1]黄风怪!$H$3 *100,0)</f>
        <v>100</v>
      </c>
      <c r="H3">
        <f>[1]黄风怪!$I$3</f>
        <v>11</v>
      </c>
      <c r="I3">
        <f>[1]黄风怪!$J$3</f>
        <v>17</v>
      </c>
    </row>
    <row r="4" spans="1:9" x14ac:dyDescent="0.15">
      <c r="A4">
        <v>3</v>
      </c>
      <c r="B4">
        <f>[1]黄风怪!$C$4</f>
        <v>150</v>
      </c>
      <c r="C4">
        <f t="shared" ref="C4:C26" si="0">B4-B3</f>
        <v>50</v>
      </c>
      <c r="D4">
        <f>[1]黄风怪!$D$4</f>
        <v>36</v>
      </c>
      <c r="E4">
        <f>[1]黄风怪!$E$4</f>
        <v>18</v>
      </c>
      <c r="F4">
        <f>ROUND([1]黄风怪!$F$4 *1000,0)</f>
        <v>100</v>
      </c>
      <c r="G4">
        <f>ROUND([1]黄风怪!$H$4 *100,0)</f>
        <v>100</v>
      </c>
      <c r="H4">
        <f>[1]黄风怪!$I$4</f>
        <v>15</v>
      </c>
      <c r="I4">
        <f>[1]黄风怪!$J$4</f>
        <v>18</v>
      </c>
    </row>
    <row r="5" spans="1:9" x14ac:dyDescent="0.15">
      <c r="A5">
        <v>4</v>
      </c>
      <c r="B5">
        <f>[1]黄风怪!$C$5</f>
        <v>250</v>
      </c>
      <c r="C5">
        <f t="shared" si="0"/>
        <v>100</v>
      </c>
      <c r="D5">
        <f>[1]黄风怪!$D$5</f>
        <v>42</v>
      </c>
      <c r="E5">
        <f>[1]黄风怪!$E$5</f>
        <v>30</v>
      </c>
      <c r="F5">
        <f>ROUND([1]黄风怪!$F$5 *1000,0)</f>
        <v>100</v>
      </c>
      <c r="G5">
        <f>ROUND([1]黄风怪!$H$5 *100,0)</f>
        <v>100</v>
      </c>
      <c r="H5">
        <f>[1]黄风怪!$I$5</f>
        <v>22</v>
      </c>
      <c r="I5">
        <f>[1]黄风怪!$J$5</f>
        <v>21</v>
      </c>
    </row>
    <row r="6" spans="1:9" x14ac:dyDescent="0.15">
      <c r="A6">
        <v>5</v>
      </c>
      <c r="B6">
        <f>[1]黄风怪!$C$6</f>
        <v>350</v>
      </c>
      <c r="C6">
        <f t="shared" si="0"/>
        <v>100</v>
      </c>
      <c r="D6">
        <f>[1]黄风怪!$D$6</f>
        <v>44</v>
      </c>
      <c r="E6">
        <f>[1]黄风怪!$E$6</f>
        <v>42</v>
      </c>
      <c r="F6">
        <f>ROUND([1]黄风怪!$F$6 *1000,0)</f>
        <v>100</v>
      </c>
      <c r="G6">
        <f>ROUND([1]黄风怪!$H$6 *100,0)</f>
        <v>120</v>
      </c>
      <c r="H6">
        <f>[1]黄风怪!$I$6</f>
        <v>29</v>
      </c>
      <c r="I6">
        <f>[1]黄风怪!$J$6</f>
        <v>22</v>
      </c>
    </row>
    <row r="7" spans="1:9" x14ac:dyDescent="0.15">
      <c r="A7">
        <v>6</v>
      </c>
      <c r="B7">
        <f>[1]黄风怪!$C$7</f>
        <v>500</v>
      </c>
      <c r="C7">
        <f t="shared" si="0"/>
        <v>150</v>
      </c>
      <c r="D7">
        <f>[1]黄风怪!$D$7</f>
        <v>62</v>
      </c>
      <c r="E7">
        <f>[1]黄风怪!$E$7</f>
        <v>55</v>
      </c>
      <c r="F7">
        <f>ROUND([1]黄风怪!$F$7 *1000,0)</f>
        <v>100</v>
      </c>
      <c r="G7">
        <f>ROUND([1]黄风怪!$H$7 *100,0)</f>
        <v>120</v>
      </c>
      <c r="H7">
        <f>[1]黄风怪!$I$7</f>
        <v>37</v>
      </c>
      <c r="I7">
        <f>[1]黄风怪!$J$7</f>
        <v>31</v>
      </c>
    </row>
    <row r="8" spans="1:9" x14ac:dyDescent="0.15">
      <c r="A8">
        <v>7</v>
      </c>
      <c r="B8">
        <f>[1]黄风怪!$C$8</f>
        <v>650</v>
      </c>
      <c r="C8">
        <f t="shared" si="0"/>
        <v>150</v>
      </c>
      <c r="D8">
        <f>[1]黄风怪!$D$8</f>
        <v>76</v>
      </c>
      <c r="E8">
        <f>[1]黄风怪!$E$8</f>
        <v>70</v>
      </c>
      <c r="F8">
        <f>ROUND([1]黄风怪!$F$8 *1000,0)</f>
        <v>101</v>
      </c>
      <c r="G8">
        <f>ROUND([1]黄风怪!$H$8 *100,0)</f>
        <v>120</v>
      </c>
      <c r="H8">
        <f>[1]黄风怪!$I$8</f>
        <v>46</v>
      </c>
      <c r="I8">
        <f>[1]黄风怪!$J$8</f>
        <v>38</v>
      </c>
    </row>
    <row r="9" spans="1:9" x14ac:dyDescent="0.15">
      <c r="A9">
        <v>8</v>
      </c>
      <c r="B9">
        <f>[1]黄风怪!$C$9</f>
        <v>850</v>
      </c>
      <c r="C9">
        <f t="shared" si="0"/>
        <v>200</v>
      </c>
      <c r="D9">
        <f>[1]黄风怪!$D$9</f>
        <v>123</v>
      </c>
      <c r="E9">
        <f>[1]黄风怪!$E$9</f>
        <v>100</v>
      </c>
      <c r="F9">
        <f>ROUND([1]黄风怪!$F$9 *1000,0)</f>
        <v>101</v>
      </c>
      <c r="G9">
        <f>ROUND([1]黄风怪!$H$9 *100,0)</f>
        <v>120</v>
      </c>
      <c r="H9">
        <f>[1]黄风怪!$I$9</f>
        <v>56</v>
      </c>
      <c r="I9">
        <f>[1]黄风怪!$J$9</f>
        <v>62</v>
      </c>
    </row>
    <row r="10" spans="1:9" x14ac:dyDescent="0.15">
      <c r="A10">
        <v>9</v>
      </c>
      <c r="B10">
        <f>[1]黄风怪!$C$10</f>
        <v>1050</v>
      </c>
      <c r="C10">
        <f t="shared" si="0"/>
        <v>200</v>
      </c>
      <c r="D10">
        <f>[1]黄风怪!$D$10</f>
        <v>132</v>
      </c>
      <c r="E10">
        <f>[1]黄风怪!$E$10</f>
        <v>134</v>
      </c>
      <c r="F10">
        <f>ROUND([1]黄风怪!$F$10*1000,0)</f>
        <v>101</v>
      </c>
      <c r="G10">
        <f>ROUND([1]黄风怪!$H$10*100,0)</f>
        <v>120</v>
      </c>
      <c r="H10">
        <f>[1]黄风怪!$I$10</f>
        <v>67</v>
      </c>
      <c r="I10">
        <f>[1]黄风怪!$J$10</f>
        <v>66</v>
      </c>
    </row>
    <row r="11" spans="1:9" x14ac:dyDescent="0.15">
      <c r="A11">
        <v>10</v>
      </c>
      <c r="B11">
        <f>[1]黄风怪!$C$11</f>
        <v>1250</v>
      </c>
      <c r="C11">
        <f t="shared" si="0"/>
        <v>200</v>
      </c>
      <c r="D11">
        <f>[1]黄风怪!$D$11</f>
        <v>122</v>
      </c>
      <c r="E11">
        <f>[1]黄风怪!$E$11</f>
        <v>172</v>
      </c>
      <c r="F11">
        <f>ROUND([1]黄风怪!$F$11*1000,0)</f>
        <v>101</v>
      </c>
      <c r="G11">
        <f>ROUND([1]黄风怪!$H$11*100,0)</f>
        <v>130</v>
      </c>
      <c r="H11">
        <f>[1]黄风怪!$I$11</f>
        <v>79</v>
      </c>
      <c r="I11">
        <f>[1]黄风怪!$J$11</f>
        <v>61</v>
      </c>
    </row>
    <row r="12" spans="1:9" x14ac:dyDescent="0.15">
      <c r="A12">
        <v>11</v>
      </c>
      <c r="B12">
        <f>[1]黄风怪!$C$12</f>
        <v>1500</v>
      </c>
      <c r="C12">
        <f t="shared" si="0"/>
        <v>250</v>
      </c>
      <c r="D12">
        <f>[1]黄风怪!$D$12</f>
        <v>215</v>
      </c>
      <c r="E12">
        <f>[1]黄风怪!$E$12</f>
        <v>203</v>
      </c>
      <c r="F12">
        <f>ROUND([1]黄风怪!$F$12*1000,0)</f>
        <v>101</v>
      </c>
      <c r="G12">
        <f>ROUND([1]黄风怪!$H$12*100,0)</f>
        <v>130</v>
      </c>
      <c r="H12">
        <f>[1]黄风怪!$I$12</f>
        <v>92</v>
      </c>
      <c r="I12">
        <f>[1]黄风怪!$J$12</f>
        <v>108</v>
      </c>
    </row>
    <row r="13" spans="1:9" x14ac:dyDescent="0.15">
      <c r="A13">
        <v>12</v>
      </c>
      <c r="B13">
        <f>[1]黄风怪!$C$13</f>
        <v>1750</v>
      </c>
      <c r="C13">
        <f t="shared" si="0"/>
        <v>250</v>
      </c>
      <c r="D13">
        <f>[1]黄风怪!$D$13</f>
        <v>245</v>
      </c>
      <c r="E13">
        <f>[1]黄风怪!$E$13</f>
        <v>238</v>
      </c>
      <c r="F13">
        <f>ROUND([1]黄风怪!$F$13*1000,0)</f>
        <v>102</v>
      </c>
      <c r="G13">
        <f>ROUND([1]黄风怪!$H$13*100,0)</f>
        <v>130</v>
      </c>
      <c r="H13">
        <f>[1]黄风怪!$I$13</f>
        <v>106</v>
      </c>
      <c r="I13">
        <f>[1]黄风怪!$J$13</f>
        <v>123</v>
      </c>
    </row>
    <row r="14" spans="1:9" x14ac:dyDescent="0.15">
      <c r="A14">
        <v>13</v>
      </c>
      <c r="B14">
        <f>[1]黄风怪!$C$14</f>
        <v>2050</v>
      </c>
      <c r="C14">
        <f t="shared" si="0"/>
        <v>300</v>
      </c>
      <c r="D14">
        <f>[1]黄风怪!$D$14</f>
        <v>285</v>
      </c>
      <c r="E14">
        <f>[1]黄风怪!$E$14</f>
        <v>277</v>
      </c>
      <c r="F14">
        <f>ROUND([1]黄风怪!$F$14*1000,0)</f>
        <v>102</v>
      </c>
      <c r="G14">
        <f>ROUND([1]黄风怪!$H$14*100,0)</f>
        <v>130</v>
      </c>
      <c r="H14">
        <f>[1]黄风怪!$I$14</f>
        <v>122</v>
      </c>
      <c r="I14">
        <f>[1]黄风怪!$J$14</f>
        <v>143</v>
      </c>
    </row>
    <row r="15" spans="1:9" x14ac:dyDescent="0.15">
      <c r="A15">
        <v>14</v>
      </c>
      <c r="B15">
        <f>[1]黄风怪!$C$15</f>
        <v>2400</v>
      </c>
      <c r="C15">
        <f t="shared" si="0"/>
        <v>350</v>
      </c>
      <c r="D15">
        <f>[1]黄风怪!$D$15</f>
        <v>443</v>
      </c>
      <c r="E15">
        <f>[1]黄风怪!$E$15</f>
        <v>320</v>
      </c>
      <c r="F15">
        <f>ROUND([1]黄风怪!$F$15*1000,0)</f>
        <v>102</v>
      </c>
      <c r="G15">
        <f>ROUND([1]黄风怪!$H$15*100,0)</f>
        <v>130</v>
      </c>
      <c r="H15">
        <f>[1]黄风怪!$I$15</f>
        <v>140</v>
      </c>
      <c r="I15">
        <f>[1]黄风怪!$J$15</f>
        <v>222</v>
      </c>
    </row>
    <row r="16" spans="1:9" x14ac:dyDescent="0.15">
      <c r="A16">
        <v>15</v>
      </c>
      <c r="B16">
        <f>[1]黄风怪!$C$16</f>
        <v>2850</v>
      </c>
      <c r="C16">
        <f t="shared" si="0"/>
        <v>450</v>
      </c>
      <c r="D16">
        <f>[1]黄风怪!$D$16</f>
        <v>519</v>
      </c>
      <c r="E16">
        <f>[1]黄风怪!$E$16</f>
        <v>368</v>
      </c>
      <c r="F16">
        <f>ROUND([1]黄风怪!$F$16*1000,0)</f>
        <v>103</v>
      </c>
      <c r="G16">
        <f>ROUND([1]黄风怪!$H$16*100,0)</f>
        <v>140</v>
      </c>
      <c r="H16">
        <f>[1]黄风怪!$I$16</f>
        <v>160</v>
      </c>
      <c r="I16">
        <f>[1]黄风怪!$J$16</f>
        <v>260</v>
      </c>
    </row>
    <row r="17" spans="1:9" x14ac:dyDescent="0.15">
      <c r="A17">
        <v>16</v>
      </c>
      <c r="B17">
        <f>[1]黄风怪!$C$17</f>
        <v>3350</v>
      </c>
      <c r="C17">
        <f t="shared" si="0"/>
        <v>500</v>
      </c>
      <c r="D17">
        <f>[1]黄风怪!$D$17</f>
        <v>774</v>
      </c>
      <c r="E17">
        <f>[1]黄风怪!$E$17</f>
        <v>421</v>
      </c>
      <c r="F17">
        <f>ROUND([1]黄风怪!$F$17*1000,0)</f>
        <v>103</v>
      </c>
      <c r="G17">
        <f>ROUND([1]黄风怪!$H$17*100,0)</f>
        <v>140</v>
      </c>
      <c r="H17">
        <f>[1]黄风怪!$I$17</f>
        <v>182</v>
      </c>
      <c r="I17">
        <f>[1]黄风怪!$J$17</f>
        <v>387</v>
      </c>
    </row>
    <row r="18" spans="1:9" x14ac:dyDescent="0.15">
      <c r="A18">
        <v>17</v>
      </c>
      <c r="B18">
        <f>[1]黄风怪!$C$18</f>
        <v>3900</v>
      </c>
      <c r="C18">
        <f t="shared" si="0"/>
        <v>550</v>
      </c>
      <c r="D18">
        <f>[1]黄风怪!$D$18</f>
        <v>915</v>
      </c>
      <c r="E18">
        <f>[1]黄风怪!$E$18</f>
        <v>480</v>
      </c>
      <c r="F18">
        <f>ROUND([1]黄风怪!$F$18*1000,0)</f>
        <v>104</v>
      </c>
      <c r="G18">
        <f>ROUND([1]黄风怪!$H$18*100,0)</f>
        <v>140</v>
      </c>
      <c r="H18">
        <f>[1]黄风怪!$I$18</f>
        <v>206</v>
      </c>
      <c r="I18">
        <f>[1]黄风怪!$J$18</f>
        <v>458</v>
      </c>
    </row>
    <row r="19" spans="1:9" x14ac:dyDescent="0.15">
      <c r="A19">
        <v>18</v>
      </c>
      <c r="B19">
        <f>[1]黄风怪!$C$19</f>
        <v>4550</v>
      </c>
      <c r="C19">
        <f t="shared" si="0"/>
        <v>650</v>
      </c>
      <c r="D19">
        <f>[1]黄风怪!$D$19</f>
        <v>1090</v>
      </c>
      <c r="E19">
        <f>[1]黄风怪!$E$19</f>
        <v>546</v>
      </c>
      <c r="F19">
        <f>ROUND([1]黄风怪!$F$19*1000,0)</f>
        <v>105</v>
      </c>
      <c r="G19">
        <f>ROUND([1]黄风怪!$H$19*100,0)</f>
        <v>140</v>
      </c>
      <c r="H19">
        <f>[1]黄风怪!$I$19</f>
        <v>233</v>
      </c>
      <c r="I19">
        <f>[1]黄风怪!$J$19</f>
        <v>545</v>
      </c>
    </row>
    <row r="20" spans="1:9" x14ac:dyDescent="0.15">
      <c r="A20">
        <v>19</v>
      </c>
      <c r="B20">
        <f>[1]黄风怪!$C$20</f>
        <v>5500</v>
      </c>
      <c r="C20">
        <f t="shared" si="0"/>
        <v>950</v>
      </c>
      <c r="D20">
        <f>[1]黄风怪!$D$20</f>
        <v>1630</v>
      </c>
      <c r="E20">
        <f>[1]黄风怪!$E$20</f>
        <v>619</v>
      </c>
      <c r="F20">
        <f>ROUND([1]黄风怪!$F$20*1000,0)</f>
        <v>105</v>
      </c>
      <c r="G20">
        <f>ROUND([1]黄风怪!$H$20*100,0)</f>
        <v>140</v>
      </c>
      <c r="H20">
        <f>[1]黄风怪!$I$20</f>
        <v>263</v>
      </c>
      <c r="I20">
        <f>[1]黄风怪!$J$20</f>
        <v>815</v>
      </c>
    </row>
    <row r="21" spans="1:9" x14ac:dyDescent="0.15">
      <c r="A21">
        <v>20</v>
      </c>
      <c r="B21">
        <f>[1]黄风怪!$C$21</f>
        <v>6600</v>
      </c>
      <c r="C21">
        <f t="shared" si="0"/>
        <v>1100</v>
      </c>
      <c r="D21">
        <f>[1]黄风怪!$D$21</f>
        <v>2217</v>
      </c>
      <c r="E21">
        <f>[1]黄风怪!$E$21</f>
        <v>720</v>
      </c>
      <c r="F21">
        <f>ROUND([1]黄风怪!$F$21*1000,0)</f>
        <v>107</v>
      </c>
      <c r="G21">
        <f>ROUND([1]黄风怪!$H$21*100,0)</f>
        <v>150</v>
      </c>
      <c r="H21">
        <f>[1]黄风怪!$I$21</f>
        <v>296</v>
      </c>
      <c r="I21">
        <f>[1]黄风怪!$J$21</f>
        <v>1109</v>
      </c>
    </row>
    <row r="22" spans="1:9" x14ac:dyDescent="0.15">
      <c r="A22">
        <v>21</v>
      </c>
      <c r="B22">
        <f>[1]黄风怪!$C$22</f>
        <v>9450</v>
      </c>
      <c r="C22">
        <f t="shared" si="0"/>
        <v>2850</v>
      </c>
      <c r="D22">
        <f>[1]黄风怪!$D$22</f>
        <v>3306</v>
      </c>
      <c r="E22">
        <f>[1]黄风怪!$E$22</f>
        <v>764</v>
      </c>
      <c r="F22">
        <f>ROUND([1]黄风怪!$F$22*1000,0)</f>
        <v>109</v>
      </c>
      <c r="G22">
        <f>ROUND([1]黄风怪!$H$22*100,0)</f>
        <v>150</v>
      </c>
      <c r="H22">
        <f>[1]黄风怪!$I$22</f>
        <v>346</v>
      </c>
      <c r="I22">
        <f>[1]黄风怪!$J$22</f>
        <v>1653</v>
      </c>
    </row>
    <row r="23" spans="1:9" x14ac:dyDescent="0.15">
      <c r="A23">
        <v>22</v>
      </c>
      <c r="B23">
        <f>[1]黄风怪!$C$23</f>
        <v>12800</v>
      </c>
      <c r="C23">
        <f t="shared" si="0"/>
        <v>3350</v>
      </c>
      <c r="D23">
        <f>[1]黄风怪!$D$23</f>
        <v>5069</v>
      </c>
      <c r="E23">
        <f>[1]黄风怪!$E$23</f>
        <v>1032</v>
      </c>
      <c r="F23">
        <f>ROUND([1]黄风怪!$F$23*1000,0)</f>
        <v>113</v>
      </c>
      <c r="G23">
        <f>ROUND([1]黄风怪!$H$23*100,0)</f>
        <v>150</v>
      </c>
      <c r="H23">
        <f>[1]黄风怪!$I$23</f>
        <v>421</v>
      </c>
      <c r="I23">
        <f>[1]黄风怪!$J$23</f>
        <v>2535</v>
      </c>
    </row>
    <row r="24" spans="1:9" x14ac:dyDescent="0.15">
      <c r="A24">
        <v>23</v>
      </c>
      <c r="B24">
        <f>[1]黄风怪!$C$24</f>
        <v>17400</v>
      </c>
      <c r="C24">
        <f t="shared" si="0"/>
        <v>4600</v>
      </c>
      <c r="D24">
        <f>[1]黄风怪!$D$24</f>
        <v>6922</v>
      </c>
      <c r="E24">
        <f>[1]黄风怪!$E$24</f>
        <v>1400</v>
      </c>
      <c r="F24">
        <f>ROUND([1]黄风怪!$F$24*1000,0)</f>
        <v>117</v>
      </c>
      <c r="G24">
        <f>ROUND([1]黄风怪!$H$24*100,0)</f>
        <v>150</v>
      </c>
      <c r="H24">
        <f>[1]黄风怪!$I$24</f>
        <v>534</v>
      </c>
      <c r="I24">
        <f>[1]黄风怪!$J$24</f>
        <v>3461</v>
      </c>
    </row>
    <row r="25" spans="1:9" x14ac:dyDescent="0.15">
      <c r="A25">
        <v>24</v>
      </c>
      <c r="B25">
        <f>[1]黄风怪!$C$25</f>
        <v>23250</v>
      </c>
      <c r="C25">
        <f t="shared" si="0"/>
        <v>5850</v>
      </c>
      <c r="D25">
        <f>[1]黄风怪!$D$25</f>
        <v>9126</v>
      </c>
      <c r="E25">
        <f>[1]黄风怪!$E$25</f>
        <v>1868</v>
      </c>
      <c r="F25">
        <f>ROUND([1]黄风怪!$F$25*1000,0)</f>
        <v>123</v>
      </c>
      <c r="G25">
        <f>ROUND([1]黄风怪!$H$25*100,0)</f>
        <v>160</v>
      </c>
      <c r="H25">
        <f>[1]黄风怪!$I$25</f>
        <v>704</v>
      </c>
      <c r="I25">
        <f>[1]黄风怪!$J$25</f>
        <v>4563</v>
      </c>
    </row>
    <row r="26" spans="1:9" x14ac:dyDescent="0.15">
      <c r="A26">
        <v>25</v>
      </c>
      <c r="B26">
        <f>[1]黄风怪!$C$26</f>
        <v>30750</v>
      </c>
      <c r="C26">
        <f t="shared" si="0"/>
        <v>7500</v>
      </c>
      <c r="D26">
        <f>[1]黄风怪!$D$26</f>
        <v>12027</v>
      </c>
      <c r="E26">
        <f>[1]黄风怪!$E$26</f>
        <v>2468</v>
      </c>
      <c r="F26">
        <f>ROUND([1]黄风怪!$F$26*1000,0)</f>
        <v>131</v>
      </c>
      <c r="G26">
        <f>ROUND([1]黄风怪!$H$26*100,0)</f>
        <v>160</v>
      </c>
      <c r="H26">
        <f>[1]黄风怪!$I$26</f>
        <v>959</v>
      </c>
      <c r="I26">
        <f>[1]黄风怪!$J$26</f>
        <v>6014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'[1]普通怪-攻击'!$C$2</f>
        <v>50</v>
      </c>
      <c r="C2">
        <f>B2-0</f>
        <v>50</v>
      </c>
      <c r="D2">
        <f>'[1]普通怪-攻击'!$D$2</f>
        <v>24</v>
      </c>
      <c r="E2">
        <f>'[1]普通怪-攻击'!$E$2</f>
        <v>8</v>
      </c>
      <c r="F2">
        <f>ROUND('[1]普通怪-攻击'!$F$2 *1000,0)</f>
        <v>100</v>
      </c>
      <c r="G2">
        <f>ROUND('[1]普通怪-攻击'!$H$2 *100,0)</f>
        <v>70</v>
      </c>
      <c r="H2">
        <f>'[1]普通怪-攻击'!$I$2</f>
        <v>4</v>
      </c>
      <c r="I2">
        <f>'[1]普通怪-攻击'!$J$2</f>
        <v>7</v>
      </c>
    </row>
    <row r="3" spans="1:9" x14ac:dyDescent="0.15">
      <c r="A3">
        <v>2</v>
      </c>
      <c r="B3">
        <f>'[1]普通怪-攻击'!$C$3</f>
        <v>100</v>
      </c>
      <c r="C3">
        <f>B3-B2</f>
        <v>50</v>
      </c>
      <c r="D3">
        <f>'[1]普通怪-攻击'!$D$3</f>
        <v>27</v>
      </c>
      <c r="E3">
        <f>'[1]普通怪-攻击'!$E$3</f>
        <v>12</v>
      </c>
      <c r="F3">
        <f>ROUND('[1]普通怪-攻击'!$F$3 *1000,0)</f>
        <v>100</v>
      </c>
      <c r="G3">
        <f>ROUND('[1]普通怪-攻击'!$H$3 *100,0)</f>
        <v>70</v>
      </c>
      <c r="H3">
        <f>'[1]普通怪-攻击'!$I$3</f>
        <v>8</v>
      </c>
      <c r="I3">
        <f>'[1]普通怪-攻击'!$J$3</f>
        <v>8</v>
      </c>
    </row>
    <row r="4" spans="1:9" x14ac:dyDescent="0.15">
      <c r="A4">
        <v>3</v>
      </c>
      <c r="B4">
        <f>'[1]普通怪-攻击'!$C$4</f>
        <v>150</v>
      </c>
      <c r="C4">
        <f t="shared" ref="C4:C26" si="0">B4-B3</f>
        <v>50</v>
      </c>
      <c r="D4">
        <f>'[1]普通怪-攻击'!$D$4</f>
        <v>30</v>
      </c>
      <c r="E4">
        <f>'[1]普通怪-攻击'!$E$4</f>
        <v>16</v>
      </c>
      <c r="F4">
        <f>ROUND('[1]普通怪-攻击'!$F$4 *1000,0)</f>
        <v>100</v>
      </c>
      <c r="G4">
        <f>ROUND('[1]普通怪-攻击'!$H$4 *100,0)</f>
        <v>70</v>
      </c>
      <c r="H4">
        <f>'[1]普通怪-攻击'!$I$4</f>
        <v>12</v>
      </c>
      <c r="I4">
        <f>'[1]普通怪-攻击'!$J$4</f>
        <v>9</v>
      </c>
    </row>
    <row r="5" spans="1:9" x14ac:dyDescent="0.15">
      <c r="A5">
        <v>4</v>
      </c>
      <c r="B5">
        <f>'[1]普通怪-攻击'!$C$5</f>
        <v>250</v>
      </c>
      <c r="C5">
        <f t="shared" si="0"/>
        <v>100</v>
      </c>
      <c r="D5">
        <f>'[1]普通怪-攻击'!$D$5</f>
        <v>33</v>
      </c>
      <c r="E5">
        <f>'[1]普通怪-攻击'!$E$5</f>
        <v>30</v>
      </c>
      <c r="F5">
        <f>ROUND('[1]普通怪-攻击'!$F$5 *1000,0)</f>
        <v>100</v>
      </c>
      <c r="G5">
        <f>ROUND('[1]普通怪-攻击'!$H$5 *100,0)</f>
        <v>70</v>
      </c>
      <c r="H5">
        <f>'[1]普通怪-攻击'!$I$5</f>
        <v>16</v>
      </c>
      <c r="I5">
        <f>'[1]普通怪-攻击'!$J$5</f>
        <v>10</v>
      </c>
    </row>
    <row r="6" spans="1:9" x14ac:dyDescent="0.15">
      <c r="A6">
        <v>5</v>
      </c>
      <c r="B6">
        <f>'[1]普通怪-攻击'!$C$6</f>
        <v>350</v>
      </c>
      <c r="C6">
        <f t="shared" si="0"/>
        <v>100</v>
      </c>
      <c r="D6">
        <f>'[1]普通怪-攻击'!$D$6</f>
        <v>38</v>
      </c>
      <c r="E6">
        <f>'[1]普通怪-攻击'!$E$6</f>
        <v>43</v>
      </c>
      <c r="F6">
        <f>ROUND('[1]普通怪-攻击'!$F$6 *1000,0)</f>
        <v>100</v>
      </c>
      <c r="G6">
        <f>ROUND('[1]普通怪-攻击'!$H$6 *100,0)</f>
        <v>70</v>
      </c>
      <c r="H6">
        <f>'[1]普通怪-攻击'!$I$6</f>
        <v>20</v>
      </c>
      <c r="I6">
        <f>'[1]普通怪-攻击'!$J$6</f>
        <v>11</v>
      </c>
    </row>
    <row r="7" spans="1:9" x14ac:dyDescent="0.15">
      <c r="A7">
        <v>6</v>
      </c>
      <c r="B7">
        <f>'[1]普通怪-攻击'!$C$7</f>
        <v>500</v>
      </c>
      <c r="C7">
        <f t="shared" si="0"/>
        <v>150</v>
      </c>
      <c r="D7">
        <f>'[1]普通怪-攻击'!$D$7</f>
        <v>52</v>
      </c>
      <c r="E7">
        <f>'[1]普通怪-攻击'!$E$7</f>
        <v>57</v>
      </c>
      <c r="F7">
        <f>ROUND('[1]普通怪-攻击'!$F$7 *1000,0)</f>
        <v>100</v>
      </c>
      <c r="G7">
        <f>ROUND('[1]普通怪-攻击'!$H$7 *100,0)</f>
        <v>70</v>
      </c>
      <c r="H7">
        <f>'[1]普通怪-攻击'!$I$7</f>
        <v>25</v>
      </c>
      <c r="I7">
        <f>'[1]普通怪-攻击'!$J$7</f>
        <v>16</v>
      </c>
    </row>
    <row r="8" spans="1:9" x14ac:dyDescent="0.15">
      <c r="A8">
        <v>7</v>
      </c>
      <c r="B8">
        <f>'[1]普通怪-攻击'!$C$8</f>
        <v>650</v>
      </c>
      <c r="C8">
        <f t="shared" si="0"/>
        <v>150</v>
      </c>
      <c r="D8">
        <f>'[1]普通怪-攻击'!$D$8</f>
        <v>54</v>
      </c>
      <c r="E8">
        <f>'[1]普通怪-攻击'!$E$8</f>
        <v>80</v>
      </c>
      <c r="F8">
        <f>ROUND('[1]普通怪-攻击'!$F$8 *1000,0)</f>
        <v>101</v>
      </c>
      <c r="G8">
        <f>ROUND('[1]普通怪-攻击'!$H$8 *100,0)</f>
        <v>70</v>
      </c>
      <c r="H8">
        <f>'[1]普通怪-攻击'!$I$8</f>
        <v>31</v>
      </c>
      <c r="I8">
        <f>'[1]普通怪-攻击'!$J$8</f>
        <v>16</v>
      </c>
    </row>
    <row r="9" spans="1:9" x14ac:dyDescent="0.15">
      <c r="A9">
        <v>8</v>
      </c>
      <c r="B9">
        <f>'[1]普通怪-攻击'!$C$9</f>
        <v>850</v>
      </c>
      <c r="C9">
        <f t="shared" si="0"/>
        <v>200</v>
      </c>
      <c r="D9">
        <f>'[1]普通怪-攻击'!$D$9</f>
        <v>82</v>
      </c>
      <c r="E9">
        <f>'[1]普通怪-攻击'!$E$9</f>
        <v>120</v>
      </c>
      <c r="F9">
        <f>ROUND('[1]普通怪-攻击'!$F$9 *1000,0)</f>
        <v>101</v>
      </c>
      <c r="G9">
        <f>ROUND('[1]普通怪-攻击'!$H$9 *100,0)</f>
        <v>70</v>
      </c>
      <c r="H9">
        <f>'[1]普通怪-攻击'!$I$9</f>
        <v>38</v>
      </c>
      <c r="I9">
        <f>'[1]普通怪-攻击'!$J$9</f>
        <v>25</v>
      </c>
    </row>
    <row r="10" spans="1:9" x14ac:dyDescent="0.15">
      <c r="A10">
        <v>9</v>
      </c>
      <c r="B10">
        <f>'[1]普通怪-攻击'!$C$10</f>
        <v>1050</v>
      </c>
      <c r="C10">
        <f t="shared" si="0"/>
        <v>200</v>
      </c>
      <c r="D10">
        <f>'[1]普通怪-攻击'!$D$10</f>
        <v>86</v>
      </c>
      <c r="E10">
        <f>'[1]普通怪-攻击'!$E$10</f>
        <v>155</v>
      </c>
      <c r="F10">
        <f>ROUND('[1]普通怪-攻击'!$F$10*1000,0)</f>
        <v>101</v>
      </c>
      <c r="G10">
        <f>ROUND('[1]普通怪-攻击'!$H$10*100,0)</f>
        <v>70</v>
      </c>
      <c r="H10">
        <f>'[1]普通怪-攻击'!$I$10</f>
        <v>46</v>
      </c>
      <c r="I10">
        <f>'[1]普通怪-攻击'!$J$10</f>
        <v>26</v>
      </c>
    </row>
    <row r="11" spans="1:9" x14ac:dyDescent="0.15">
      <c r="A11">
        <v>10</v>
      </c>
      <c r="B11">
        <f>'[1]普通怪-攻击'!$C$11</f>
        <v>1250</v>
      </c>
      <c r="C11">
        <f t="shared" si="0"/>
        <v>200</v>
      </c>
      <c r="D11">
        <f>'[1]普通怪-攻击'!$D$11</f>
        <v>94</v>
      </c>
      <c r="E11">
        <f>'[1]普通怪-攻击'!$E$11</f>
        <v>187</v>
      </c>
      <c r="F11">
        <f>ROUND('[1]普通怪-攻击'!$F$11*1000,0)</f>
        <v>101</v>
      </c>
      <c r="G11">
        <f>ROUND('[1]普通怪-攻击'!$H$11*100,0)</f>
        <v>70</v>
      </c>
      <c r="H11">
        <f>'[1]普通怪-攻击'!$I$11</f>
        <v>55</v>
      </c>
      <c r="I11">
        <f>'[1]普通怪-攻击'!$J$11</f>
        <v>28</v>
      </c>
    </row>
    <row r="12" spans="1:9" x14ac:dyDescent="0.15">
      <c r="A12">
        <v>11</v>
      </c>
      <c r="B12">
        <f>'[1]普通怪-攻击'!$C$12</f>
        <v>1500</v>
      </c>
      <c r="C12">
        <f t="shared" si="0"/>
        <v>250</v>
      </c>
      <c r="D12">
        <f>'[1]普通怪-攻击'!$D$12</f>
        <v>171</v>
      </c>
      <c r="E12">
        <f>'[1]普通怪-攻击'!$E$12</f>
        <v>220</v>
      </c>
      <c r="F12">
        <f>ROUND('[1]普通怪-攻击'!$F$12*1000,0)</f>
        <v>101</v>
      </c>
      <c r="G12">
        <f>ROUND('[1]普通怪-攻击'!$H$12*100,0)</f>
        <v>70</v>
      </c>
      <c r="H12">
        <f>'[1]普通怪-攻击'!$I$12</f>
        <v>65</v>
      </c>
      <c r="I12">
        <f>'[1]普通怪-攻击'!$J$12</f>
        <v>51</v>
      </c>
    </row>
    <row r="13" spans="1:9" x14ac:dyDescent="0.15">
      <c r="A13">
        <v>12</v>
      </c>
      <c r="B13">
        <f>'[1]普通怪-攻击'!$C$13</f>
        <v>1750</v>
      </c>
      <c r="C13">
        <f t="shared" si="0"/>
        <v>250</v>
      </c>
      <c r="D13">
        <f>'[1]普通怪-攻击'!$D$13</f>
        <v>194</v>
      </c>
      <c r="E13">
        <f>'[1]普通怪-攻击'!$E$13</f>
        <v>257</v>
      </c>
      <c r="F13">
        <f>ROUND('[1]普通怪-攻击'!$F$13*1000,0)</f>
        <v>102</v>
      </c>
      <c r="G13">
        <f>ROUND('[1]普通怪-攻击'!$H$13*100,0)</f>
        <v>70</v>
      </c>
      <c r="H13">
        <f>ROUND('[1]普通怪-攻击'!$H$13*100,0)</f>
        <v>70</v>
      </c>
      <c r="I13">
        <f>'[1]普通怪-攻击'!$J$13</f>
        <v>58</v>
      </c>
    </row>
    <row r="14" spans="1:9" x14ac:dyDescent="0.15">
      <c r="A14">
        <v>13</v>
      </c>
      <c r="B14">
        <f>'[1]普通怪-攻击'!$C$14</f>
        <v>2050</v>
      </c>
      <c r="C14">
        <f t="shared" si="0"/>
        <v>300</v>
      </c>
      <c r="D14">
        <f>'[1]普通怪-攻击'!$D$14</f>
        <v>226</v>
      </c>
      <c r="E14">
        <f>'[1]普通怪-攻击'!$E$14</f>
        <v>298</v>
      </c>
      <c r="F14">
        <f>ROUND('[1]普通怪-攻击'!$F$14*1000,0)</f>
        <v>102</v>
      </c>
      <c r="G14">
        <f>ROUND('[1]普通怪-攻击'!$H$14*100,0)</f>
        <v>70</v>
      </c>
      <c r="H14">
        <f>'[1]普通怪-攻击'!$I$14</f>
        <v>88</v>
      </c>
      <c r="I14">
        <f>'[1]普通怪-攻击'!$J$14</f>
        <v>68</v>
      </c>
    </row>
    <row r="15" spans="1:9" x14ac:dyDescent="0.15">
      <c r="A15">
        <v>14</v>
      </c>
      <c r="B15">
        <f>'[1]普通怪-攻击'!$C$15</f>
        <v>2400</v>
      </c>
      <c r="C15">
        <f t="shared" si="0"/>
        <v>350</v>
      </c>
      <c r="D15">
        <f>'[1]普通怪-攻击'!$D$15</f>
        <v>358</v>
      </c>
      <c r="E15">
        <f>'[1]普通怪-攻击'!$E$15</f>
        <v>344</v>
      </c>
      <c r="F15">
        <f>ROUND('[1]普通怪-攻击'!$F$15*1000,0)</f>
        <v>102</v>
      </c>
      <c r="G15">
        <f>ROUND('[1]普通怪-攻击'!$H$15*100,0)</f>
        <v>70</v>
      </c>
      <c r="H15">
        <f>'[1]普通怪-攻击'!$I$15</f>
        <v>101</v>
      </c>
      <c r="I15">
        <f>'[1]普通怪-攻击'!$J$15</f>
        <v>107</v>
      </c>
    </row>
    <row r="16" spans="1:9" x14ac:dyDescent="0.15">
      <c r="A16">
        <v>15</v>
      </c>
      <c r="B16">
        <f>'[1]普通怪-攻击'!$C$16</f>
        <v>2850</v>
      </c>
      <c r="C16">
        <f t="shared" si="0"/>
        <v>450</v>
      </c>
      <c r="D16">
        <f>'[1]普通怪-攻击'!$D$16</f>
        <v>439</v>
      </c>
      <c r="E16">
        <f>'[1]普通怪-攻击'!$E$16</f>
        <v>395</v>
      </c>
      <c r="F16">
        <f>ROUND('[1]普通怪-攻击'!$F$16*1000,0)</f>
        <v>103</v>
      </c>
      <c r="G16">
        <f>ROUND('[1]普通怪-攻击'!$H$16*100,0)</f>
        <v>70</v>
      </c>
      <c r="H16">
        <f>'[1]普通怪-攻击'!$I$16</f>
        <v>116</v>
      </c>
      <c r="I16">
        <f>'[1]普通怪-攻击'!$J$16</f>
        <v>132</v>
      </c>
    </row>
    <row r="17" spans="1:9" x14ac:dyDescent="0.15">
      <c r="A17">
        <v>16</v>
      </c>
      <c r="B17">
        <f>'[1]普通怪-攻击'!$C$17</f>
        <v>3350</v>
      </c>
      <c r="C17">
        <f t="shared" si="0"/>
        <v>500</v>
      </c>
      <c r="D17">
        <f>'[1]普通怪-攻击'!$D$17</f>
        <v>654</v>
      </c>
      <c r="E17">
        <f>'[1]普通怪-攻击'!$E$17</f>
        <v>452</v>
      </c>
      <c r="F17">
        <f>ROUND('[1]普通怪-攻击'!$F$17*1000,0)</f>
        <v>103</v>
      </c>
      <c r="G17">
        <f>ROUND('[1]普通怪-攻击'!$H$17*100,0)</f>
        <v>70</v>
      </c>
      <c r="H17">
        <f>'[1]普通怪-攻击'!$I$17</f>
        <v>133</v>
      </c>
      <c r="I17">
        <f>'[1]普通怪-攻击'!$J$17</f>
        <v>196</v>
      </c>
    </row>
    <row r="18" spans="1:9" x14ac:dyDescent="0.15">
      <c r="A18">
        <v>17</v>
      </c>
      <c r="B18">
        <f>'[1]普通怪-攻击'!$C$18</f>
        <v>3900</v>
      </c>
      <c r="C18">
        <f t="shared" si="0"/>
        <v>550</v>
      </c>
      <c r="D18">
        <f>'[1]普通怪-攻击'!$D$18</f>
        <v>772</v>
      </c>
      <c r="E18">
        <f>'[1]普通怪-攻击'!$E$18</f>
        <v>515</v>
      </c>
      <c r="F18">
        <f>ROUND('[1]普通怪-攻击'!$F$18*1000,0)</f>
        <v>104</v>
      </c>
      <c r="G18">
        <f>ROUND('[1]普通怪-攻击'!$H$18*100,0)</f>
        <v>70</v>
      </c>
      <c r="H18">
        <f>'[1]普通怪-攻击'!$I$18</f>
        <v>152</v>
      </c>
      <c r="I18">
        <f>'[1]普通怪-攻击'!$J$18</f>
        <v>232</v>
      </c>
    </row>
    <row r="19" spans="1:9" x14ac:dyDescent="0.15">
      <c r="A19">
        <v>18</v>
      </c>
      <c r="B19">
        <f>'[1]普通怪-攻击'!$C$19</f>
        <v>4550</v>
      </c>
      <c r="C19">
        <f t="shared" si="0"/>
        <v>650</v>
      </c>
      <c r="D19">
        <f>'[1]普通怪-攻击'!$D$19</f>
        <v>920</v>
      </c>
      <c r="E19">
        <f>'[1]普通怪-攻击'!$E$19</f>
        <v>585</v>
      </c>
      <c r="F19">
        <f>ROUND('[1]普通怪-攻击'!$F$19*1000,0)</f>
        <v>105</v>
      </c>
      <c r="G19">
        <f>ROUND('[1]普通怪-攻击'!$H$19*100,0)</f>
        <v>70</v>
      </c>
      <c r="H19">
        <f>'[1]普通怪-攻击'!$I$19</f>
        <v>173</v>
      </c>
      <c r="I19">
        <f>'[1]普通怪-攻击'!$J$19</f>
        <v>276</v>
      </c>
    </row>
    <row r="20" spans="1:9" x14ac:dyDescent="0.15">
      <c r="A20">
        <v>19</v>
      </c>
      <c r="B20">
        <f>'[1]普通怪-攻击'!$C$20</f>
        <v>5500</v>
      </c>
      <c r="C20">
        <f t="shared" si="0"/>
        <v>950</v>
      </c>
      <c r="D20">
        <f>'[1]普通怪-攻击'!$D$20</f>
        <v>1378</v>
      </c>
      <c r="E20">
        <f>'[1]普通怪-攻击'!$E$20</f>
        <v>663</v>
      </c>
      <c r="F20">
        <f>ROUND('[1]普通怪-攻击'!$F$20*1000,0)</f>
        <v>105</v>
      </c>
      <c r="G20">
        <f>ROUND('[1]普通怪-攻击'!$H$20*100,0)</f>
        <v>70</v>
      </c>
      <c r="H20">
        <f>'[1]普通怪-攻击'!$I$20</f>
        <v>196</v>
      </c>
      <c r="I20">
        <f>'[1]普通怪-攻击'!$J$20</f>
        <v>413</v>
      </c>
    </row>
    <row r="21" spans="1:9" x14ac:dyDescent="0.15">
      <c r="A21">
        <v>20</v>
      </c>
      <c r="B21">
        <f>'[1]普通怪-攻击'!$C$21</f>
        <v>6600</v>
      </c>
      <c r="C21">
        <f t="shared" si="0"/>
        <v>1100</v>
      </c>
      <c r="D21">
        <f>'[1]普通怪-攻击'!$D$21</f>
        <v>1881</v>
      </c>
      <c r="E21">
        <f>'[1]普通怪-攻击'!$E$21</f>
        <v>796</v>
      </c>
      <c r="F21">
        <f>ROUND('[1]普通怪-攻击'!$F$21*1000,0)</f>
        <v>107</v>
      </c>
      <c r="G21">
        <f>ROUND('[1]普通怪-攻击'!$H$21*100,0)</f>
        <v>70</v>
      </c>
      <c r="H21">
        <f>'[1]普通怪-攻击'!$I$21</f>
        <v>222</v>
      </c>
      <c r="I21">
        <f>'[1]普通怪-攻击'!$J$21</f>
        <v>564</v>
      </c>
    </row>
    <row r="22" spans="1:9" x14ac:dyDescent="0.15">
      <c r="A22">
        <v>21</v>
      </c>
      <c r="B22">
        <f>'[1]普通怪-攻击'!$C$22</f>
        <v>9450</v>
      </c>
      <c r="C22">
        <f t="shared" si="0"/>
        <v>2850</v>
      </c>
      <c r="D22">
        <f>'[1]普通怪-攻击'!$D$22</f>
        <v>2632</v>
      </c>
      <c r="E22">
        <f>'[1]普通怪-攻击'!$E$22</f>
        <v>982</v>
      </c>
      <c r="F22">
        <f>ROUND('[1]普通怪-攻击'!$F$22*1000,0)</f>
        <v>109</v>
      </c>
      <c r="G22">
        <f>ROUND('[1]普通怪-攻击'!$H$22*100,0)</f>
        <v>70</v>
      </c>
      <c r="H22">
        <f>'[1]普通怪-攻击'!$I$22</f>
        <v>261</v>
      </c>
      <c r="I22">
        <f>'[1]普通怪-攻击'!$J$22</f>
        <v>790</v>
      </c>
    </row>
    <row r="23" spans="1:9" x14ac:dyDescent="0.15">
      <c r="A23">
        <v>22</v>
      </c>
      <c r="B23">
        <f>'[1]普通怪-攻击'!$C$23</f>
        <v>12800</v>
      </c>
      <c r="C23">
        <f t="shared" si="0"/>
        <v>3350</v>
      </c>
      <c r="D23">
        <f>'[1]普通怪-攻击'!$D$23</f>
        <v>4171</v>
      </c>
      <c r="E23">
        <f>'[1]普通怪-攻击'!$E$23</f>
        <v>1242</v>
      </c>
      <c r="F23">
        <f>ROUND('[1]普通怪-攻击'!$F$23*1000,0)</f>
        <v>113</v>
      </c>
      <c r="G23">
        <f>ROUND('[1]普通怪-攻击'!$H$23*100,0)</f>
        <v>70</v>
      </c>
      <c r="H23">
        <f>'[1]普通怪-攻击'!$I$23</f>
        <v>320</v>
      </c>
      <c r="I23">
        <f>'[1]普通怪-攻击'!$J$23</f>
        <v>1251</v>
      </c>
    </row>
    <row r="24" spans="1:9" x14ac:dyDescent="0.15">
      <c r="A24">
        <v>23</v>
      </c>
      <c r="B24">
        <f>'[1]普通怪-攻击'!$C$24</f>
        <v>17400</v>
      </c>
      <c r="C24">
        <f t="shared" si="0"/>
        <v>4600</v>
      </c>
      <c r="D24">
        <f>'[1]普通怪-攻击'!$D$24</f>
        <v>5791</v>
      </c>
      <c r="E24">
        <f>'[1]普通怪-攻击'!$E$24</f>
        <v>1606</v>
      </c>
      <c r="F24">
        <f>ROUND('[1]普通怪-攻击'!$F$24*1000,0)</f>
        <v>117</v>
      </c>
      <c r="G24">
        <f>ROUND('[1]普通怪-攻击'!$H$24*100,0)</f>
        <v>70</v>
      </c>
      <c r="H24">
        <f>'[1]普通怪-攻击'!$I$24</f>
        <v>409</v>
      </c>
      <c r="I24">
        <f>'[1]普通怪-攻击'!$J$24</f>
        <v>1737</v>
      </c>
    </row>
    <row r="25" spans="1:9" x14ac:dyDescent="0.15">
      <c r="A25">
        <v>24</v>
      </c>
      <c r="B25">
        <f>'[1]普通怪-攻击'!$C$25</f>
        <v>23250</v>
      </c>
      <c r="C25">
        <f t="shared" si="0"/>
        <v>5850</v>
      </c>
      <c r="D25">
        <f>'[1]普通怪-攻击'!$D$25</f>
        <v>7768</v>
      </c>
      <c r="E25">
        <f>'[1]普通怪-攻击'!$E$25</f>
        <v>2116</v>
      </c>
      <c r="F25">
        <f>ROUND('[1]普通怪-攻击'!$F$25*1000,0)</f>
        <v>123</v>
      </c>
      <c r="G25">
        <f>ROUND('[1]普通怪-攻击'!$H$25*100,0)</f>
        <v>70</v>
      </c>
      <c r="H25">
        <f>'[1]普通怪-攻击'!$I$25</f>
        <v>543</v>
      </c>
      <c r="I25">
        <f>'[1]普通怪-攻击'!$J$25</f>
        <v>2330</v>
      </c>
    </row>
    <row r="26" spans="1:9" x14ac:dyDescent="0.15">
      <c r="A26">
        <v>25</v>
      </c>
      <c r="B26">
        <f>'[1]普通怪-攻击'!$C$26</f>
        <v>30750</v>
      </c>
      <c r="C26">
        <f t="shared" si="0"/>
        <v>7500</v>
      </c>
      <c r="D26">
        <f>'[1]普通怪-攻击'!$D$26</f>
        <v>10187</v>
      </c>
      <c r="E26">
        <f>'[1]普通怪-攻击'!$E$26</f>
        <v>2830</v>
      </c>
      <c r="F26">
        <f>ROUND('[1]普通怪-攻击'!$F$26*1000,0)</f>
        <v>131</v>
      </c>
      <c r="G26">
        <f>ROUND('[1]普通怪-攻击'!$H$26*100,0)</f>
        <v>70</v>
      </c>
      <c r="H26">
        <f>'[1]普通怪-攻击'!$I$26</f>
        <v>744</v>
      </c>
      <c r="I26">
        <f>'[1]普通怪-攻击'!$J$26</f>
        <v>3056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-0.499984740745262"/>
  </sheetPr>
  <dimension ref="A1:I26"/>
  <sheetViews>
    <sheetView topLeftCell="A19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'[1]普通怪-回复'!$C$2</f>
        <v>50</v>
      </c>
      <c r="C2">
        <f>B2-0</f>
        <v>50</v>
      </c>
      <c r="D2">
        <f>'[1]普通怪-回复'!$D$2</f>
        <v>24</v>
      </c>
      <c r="E2">
        <f>'[1]普通怪-回复'!$E$2</f>
        <v>5</v>
      </c>
      <c r="F2">
        <f>ROUND('[1]普通怪-回复'!$F$2 *1000,0)</f>
        <v>0</v>
      </c>
      <c r="G2">
        <f>ROUND('[1]普通怪-回复'!$H$2 *100,0)</f>
        <v>100</v>
      </c>
      <c r="H2">
        <f>'[1]普通怪-回复'!$I$2</f>
        <v>5</v>
      </c>
      <c r="I2">
        <f>'[1]普通怪-回复'!$J$2</f>
        <v>11</v>
      </c>
    </row>
    <row r="3" spans="1:9" x14ac:dyDescent="0.15">
      <c r="A3">
        <v>2</v>
      </c>
      <c r="B3">
        <f>'[1]普通怪-回复'!$C$3</f>
        <v>100</v>
      </c>
      <c r="C3">
        <f>B3-B2</f>
        <v>50</v>
      </c>
      <c r="D3">
        <f>'[1]普通怪-回复'!$D$3</f>
        <v>27</v>
      </c>
      <c r="E3">
        <f>'[1]普通怪-回复'!$E$3</f>
        <v>8</v>
      </c>
      <c r="F3">
        <f>ROUND('[1]普通怪-回复'!$F$3 *1000,0)</f>
        <v>0</v>
      </c>
      <c r="G3">
        <f>ROUND('[1]普通怪-回复'!$H$3 *100,0)</f>
        <v>100</v>
      </c>
      <c r="H3">
        <f>'[1]普通怪-回复'!$I$3</f>
        <v>9</v>
      </c>
      <c r="I3">
        <f>'[1]普通怪-回复'!$J$3</f>
        <v>12</v>
      </c>
    </row>
    <row r="4" spans="1:9" x14ac:dyDescent="0.15">
      <c r="A4">
        <v>3</v>
      </c>
      <c r="B4">
        <f>'[1]普通怪-回复'!$C$4</f>
        <v>150</v>
      </c>
      <c r="C4">
        <f t="shared" ref="C4:C26" si="0">B4-B3</f>
        <v>50</v>
      </c>
      <c r="D4">
        <f>'[1]普通怪-回复'!$D$4</f>
        <v>27</v>
      </c>
      <c r="E4">
        <f>'[1]普通怪-回复'!$E$4</f>
        <v>14</v>
      </c>
      <c r="F4">
        <f>ROUND('[1]普通怪-回复'!$F$4 *1000,0)</f>
        <v>0</v>
      </c>
      <c r="G4">
        <f>ROUND('[1]普通怪-回复'!$H$4 *100,0)</f>
        <v>100</v>
      </c>
      <c r="H4">
        <f>'[1]普通怪-回复'!$I$4</f>
        <v>13</v>
      </c>
      <c r="I4">
        <f>'[1]普通怪-回复'!$J$4</f>
        <v>12</v>
      </c>
    </row>
    <row r="5" spans="1:9" x14ac:dyDescent="0.15">
      <c r="A5">
        <v>4</v>
      </c>
      <c r="B5">
        <f>'[1]普通怪-回复'!$C$5</f>
        <v>250</v>
      </c>
      <c r="C5">
        <f t="shared" si="0"/>
        <v>100</v>
      </c>
      <c r="D5">
        <f>'[1]普通怪-回复'!$D$5</f>
        <v>30</v>
      </c>
      <c r="E5">
        <f>'[1]普通怪-回复'!$E$5</f>
        <v>27</v>
      </c>
      <c r="F5">
        <f>ROUND('[1]普通怪-回复'!$F$5 *1000,0)</f>
        <v>0</v>
      </c>
      <c r="G5">
        <f>ROUND('[1]普通怪-回复'!$H$5 *100,0)</f>
        <v>100</v>
      </c>
      <c r="H5">
        <f>'[1]普通怪-回复'!$I$5</f>
        <v>17</v>
      </c>
      <c r="I5">
        <f>'[1]普通怪-回复'!$J$5</f>
        <v>14</v>
      </c>
    </row>
    <row r="6" spans="1:9" x14ac:dyDescent="0.15">
      <c r="A6">
        <v>5</v>
      </c>
      <c r="B6">
        <f>'[1]普通怪-回复'!$C$6</f>
        <v>350</v>
      </c>
      <c r="C6">
        <f t="shared" si="0"/>
        <v>100</v>
      </c>
      <c r="D6">
        <f>'[1]普通怪-回复'!$D$6</f>
        <v>34</v>
      </c>
      <c r="E6">
        <f>'[1]普通怪-回复'!$E$6</f>
        <v>39</v>
      </c>
      <c r="F6">
        <f>ROUND('[1]普通怪-回复'!$F$6 *1000,0)</f>
        <v>0</v>
      </c>
      <c r="G6">
        <f>ROUND('[1]普通怪-回复'!$H$6 *100,0)</f>
        <v>100</v>
      </c>
      <c r="H6">
        <f>'[1]普通怪-回复'!$I$6</f>
        <v>21</v>
      </c>
      <c r="I6">
        <f>'[1]普通怪-回复'!$J$6</f>
        <v>15</v>
      </c>
    </row>
    <row r="7" spans="1:9" x14ac:dyDescent="0.15">
      <c r="A7">
        <v>6</v>
      </c>
      <c r="B7">
        <f>'[1]普通怪-回复'!$C$7</f>
        <v>500</v>
      </c>
      <c r="C7">
        <f t="shared" si="0"/>
        <v>150</v>
      </c>
      <c r="D7">
        <f>'[1]普通怪-回复'!$D$7</f>
        <v>48</v>
      </c>
      <c r="E7">
        <f>'[1]普通怪-回复'!$E$7</f>
        <v>53</v>
      </c>
      <c r="F7">
        <f>ROUND('[1]普通怪-回复'!$F$7 *1000,0)</f>
        <v>0</v>
      </c>
      <c r="G7">
        <f>ROUND('[1]普通怪-回复'!$H$7 *100,0)</f>
        <v>100</v>
      </c>
      <c r="H7">
        <f>'[1]普通怪-回复'!$I$7</f>
        <v>25</v>
      </c>
      <c r="I7">
        <f>'[1]普通怪-回复'!$J$7</f>
        <v>22</v>
      </c>
    </row>
    <row r="8" spans="1:9" x14ac:dyDescent="0.15">
      <c r="A8">
        <v>7</v>
      </c>
      <c r="B8">
        <f>'[1]普通怪-回复'!$C$8</f>
        <v>650</v>
      </c>
      <c r="C8">
        <f t="shared" si="0"/>
        <v>150</v>
      </c>
      <c r="D8">
        <f>'[1]普通怪-回复'!$D$8</f>
        <v>53</v>
      </c>
      <c r="E8">
        <f>'[1]普通怪-回复'!$E$8</f>
        <v>74</v>
      </c>
      <c r="F8">
        <f>ROUND('[1]普通怪-回复'!$F$8 *1000,0)</f>
        <v>0</v>
      </c>
      <c r="G8">
        <f>ROUND('[1]普通怪-回复'!$H$8 *100,0)</f>
        <v>100</v>
      </c>
      <c r="H8">
        <f>'[1]普通怪-回复'!$I$8</f>
        <v>29</v>
      </c>
      <c r="I8">
        <f>'[1]普通怪-回复'!$J$8</f>
        <v>24</v>
      </c>
    </row>
    <row r="9" spans="1:9" x14ac:dyDescent="0.15">
      <c r="A9">
        <v>8</v>
      </c>
      <c r="B9">
        <f>'[1]普通怪-回复'!$C$9</f>
        <v>850</v>
      </c>
      <c r="C9">
        <f t="shared" si="0"/>
        <v>200</v>
      </c>
      <c r="D9">
        <f>'[1]普通怪-回复'!$D$9</f>
        <v>100</v>
      </c>
      <c r="E9">
        <f>'[1]普通怪-回复'!$E$9</f>
        <v>95</v>
      </c>
      <c r="F9">
        <f>ROUND('[1]普通怪-回复'!$F$9 *1000,0)</f>
        <v>0</v>
      </c>
      <c r="G9">
        <f>ROUND('[1]普通怪-回复'!$H$9 *100,0)</f>
        <v>100</v>
      </c>
      <c r="H9">
        <f>'[1]普通怪-回复'!$I$9</f>
        <v>34</v>
      </c>
      <c r="I9">
        <f>'[1]普通怪-回复'!$J$9</f>
        <v>45</v>
      </c>
    </row>
    <row r="10" spans="1:9" x14ac:dyDescent="0.15">
      <c r="A10">
        <v>9</v>
      </c>
      <c r="B10">
        <f>'[1]普通怪-回复'!$C$10</f>
        <v>1050</v>
      </c>
      <c r="C10">
        <f t="shared" si="0"/>
        <v>200</v>
      </c>
      <c r="D10">
        <f>'[1]普通怪-回复'!$D$10</f>
        <v>119</v>
      </c>
      <c r="E10">
        <f>'[1]普通怪-回复'!$E$10</f>
        <v>117</v>
      </c>
      <c r="F10">
        <f>ROUND('[1]普通怪-回复'!$F$10*1000,0)</f>
        <v>0</v>
      </c>
      <c r="G10">
        <f>ROUND('[1]普通怪-回复'!$H$10*100,0)</f>
        <v>100</v>
      </c>
      <c r="H10">
        <f>'[1]普通怪-回复'!$I$10</f>
        <v>40</v>
      </c>
      <c r="I10">
        <f>'[1]普通怪-回复'!$J$10</f>
        <v>54</v>
      </c>
    </row>
    <row r="11" spans="1:9" x14ac:dyDescent="0.15">
      <c r="A11">
        <v>10</v>
      </c>
      <c r="B11">
        <f>'[1]普通怪-回复'!$C$11</f>
        <v>1250</v>
      </c>
      <c r="C11">
        <f t="shared" si="0"/>
        <v>200</v>
      </c>
      <c r="D11">
        <f>'[1]普通怪-回复'!$D$11</f>
        <v>136</v>
      </c>
      <c r="E11">
        <f>'[1]普通怪-回复'!$E$11</f>
        <v>141</v>
      </c>
      <c r="F11">
        <f>ROUND('[1]普通怪-回复'!$F$11*1000,0)</f>
        <v>0</v>
      </c>
      <c r="G11">
        <f>ROUND('[1]普通怪-回复'!$H$11*100,0)</f>
        <v>100</v>
      </c>
      <c r="H11">
        <f>'[1]普通怪-回复'!$I$11</f>
        <v>47</v>
      </c>
      <c r="I11">
        <f>'[1]普通怪-回复'!$J$11</f>
        <v>61</v>
      </c>
    </row>
    <row r="12" spans="1:9" x14ac:dyDescent="0.15">
      <c r="A12">
        <v>11</v>
      </c>
      <c r="B12">
        <f>'[1]普通怪-回复'!$C$12</f>
        <v>1500</v>
      </c>
      <c r="C12">
        <f t="shared" si="0"/>
        <v>250</v>
      </c>
      <c r="D12">
        <f>'[1]普通怪-回复'!$D$12</f>
        <v>217</v>
      </c>
      <c r="E12">
        <f>'[1]普通怪-回复'!$E$12</f>
        <v>165</v>
      </c>
      <c r="F12">
        <f>ROUND('[1]普通怪-回复'!$F$12*1000,0)</f>
        <v>0</v>
      </c>
      <c r="G12">
        <f>ROUND('[1]普通怪-回复'!$H$12*100,0)</f>
        <v>100</v>
      </c>
      <c r="H12">
        <f>'[1]普通怪-回复'!$I$12</f>
        <v>55</v>
      </c>
      <c r="I12">
        <f>'[1]普通怪-回复'!$J$12</f>
        <v>98</v>
      </c>
    </row>
    <row r="13" spans="1:9" x14ac:dyDescent="0.15">
      <c r="A13">
        <v>12</v>
      </c>
      <c r="B13">
        <f>'[1]普通怪-回复'!$C$13</f>
        <v>1750</v>
      </c>
      <c r="C13">
        <f t="shared" si="0"/>
        <v>250</v>
      </c>
      <c r="D13">
        <f>'[1]普通怪-回复'!$D$13</f>
        <v>249</v>
      </c>
      <c r="E13">
        <f>'[1]普通怪-回复'!$E$13</f>
        <v>192</v>
      </c>
      <c r="F13">
        <f>ROUND('[1]普通怪-回复'!$F$13*1000,0)</f>
        <v>0</v>
      </c>
      <c r="G13">
        <f>ROUND('[1]普通怪-回复'!$H$13*100,0)</f>
        <v>100</v>
      </c>
      <c r="H13">
        <f>'[1]普通怪-回复'!$I$13</f>
        <v>64</v>
      </c>
      <c r="I13">
        <f>'[1]普通怪-回复'!$J$13</f>
        <v>112</v>
      </c>
    </row>
    <row r="14" spans="1:9" x14ac:dyDescent="0.15">
      <c r="A14">
        <v>13</v>
      </c>
      <c r="B14">
        <f>'[1]普通怪-回复'!$C$14</f>
        <v>2050</v>
      </c>
      <c r="C14">
        <f t="shared" si="0"/>
        <v>300</v>
      </c>
      <c r="D14">
        <f>'[1]普通怪-回复'!$D$14</f>
        <v>291</v>
      </c>
      <c r="E14">
        <f>'[1]普通怪-回复'!$E$14</f>
        <v>222</v>
      </c>
      <c r="F14">
        <f>ROUND('[1]普通怪-回复'!$F$14*1000,0)</f>
        <v>0</v>
      </c>
      <c r="G14">
        <f>ROUND('[1]普通怪-回复'!$H$14*100,0)</f>
        <v>100</v>
      </c>
      <c r="H14">
        <f>'[1]普通怪-回复'!$I$14</f>
        <v>74</v>
      </c>
      <c r="I14">
        <f>'[1]普通怪-回复'!$J$14</f>
        <v>131</v>
      </c>
    </row>
    <row r="15" spans="1:9" x14ac:dyDescent="0.15">
      <c r="A15">
        <v>14</v>
      </c>
      <c r="B15">
        <f>'[1]普通怪-回复'!$C$15</f>
        <v>2400</v>
      </c>
      <c r="C15">
        <f t="shared" si="0"/>
        <v>350</v>
      </c>
      <c r="D15">
        <f>'[1]普通怪-回复'!$D$15</f>
        <v>426</v>
      </c>
      <c r="E15">
        <f>'[1]普通怪-回复'!$E$15</f>
        <v>255</v>
      </c>
      <c r="F15">
        <f>ROUND('[1]普通怪-回复'!$F$15*1000,0)</f>
        <v>0</v>
      </c>
      <c r="G15">
        <f>ROUND('[1]普通怪-回复'!$H$15*100,0)</f>
        <v>100</v>
      </c>
      <c r="H15">
        <f>'[1]普通怪-回复'!$I$15</f>
        <v>85</v>
      </c>
      <c r="I15">
        <f>'[1]普通怪-回复'!$J$15</f>
        <v>192</v>
      </c>
    </row>
    <row r="16" spans="1:9" x14ac:dyDescent="0.15">
      <c r="A16">
        <v>15</v>
      </c>
      <c r="B16">
        <f>'[1]普通怪-回复'!$C$16</f>
        <v>2850</v>
      </c>
      <c r="C16">
        <f t="shared" si="0"/>
        <v>450</v>
      </c>
      <c r="D16">
        <f>'[1]普通怪-回复'!$D$16</f>
        <v>517</v>
      </c>
      <c r="E16">
        <f>'[1]普通怪-回复'!$E$16</f>
        <v>292</v>
      </c>
      <c r="F16">
        <f>ROUND('[1]普通怪-回复'!$F$16*1000,0)</f>
        <v>0</v>
      </c>
      <c r="G16">
        <f>ROUND('[1]普通怪-回复'!$H$16*100,0)</f>
        <v>100</v>
      </c>
      <c r="H16">
        <f>'[1]普通怪-回复'!$I$16</f>
        <v>97</v>
      </c>
      <c r="I16">
        <f>'[1]普通怪-回复'!$J$16</f>
        <v>233</v>
      </c>
    </row>
    <row r="17" spans="1:9" x14ac:dyDescent="0.15">
      <c r="A17">
        <v>16</v>
      </c>
      <c r="B17">
        <f>'[1]普通怪-回复'!$C$17</f>
        <v>3350</v>
      </c>
      <c r="C17">
        <f t="shared" si="0"/>
        <v>500</v>
      </c>
      <c r="D17">
        <f>'[1]普通怪-回复'!$D$17</f>
        <v>733</v>
      </c>
      <c r="E17">
        <f>'[1]普通怪-回复'!$E$17</f>
        <v>333</v>
      </c>
      <c r="F17">
        <f>ROUND('[1]普通怪-回复'!$F$17*1000,0)</f>
        <v>0</v>
      </c>
      <c r="G17">
        <f>ROUND('[1]普通怪-回复'!$H$17*100,0)</f>
        <v>100</v>
      </c>
      <c r="H17">
        <f>'[1]普通怪-回复'!$I$17</f>
        <v>110</v>
      </c>
      <c r="I17">
        <f>'[1]普通怪-回复'!$J$17</f>
        <v>330</v>
      </c>
    </row>
    <row r="18" spans="1:9" x14ac:dyDescent="0.15">
      <c r="A18">
        <v>17</v>
      </c>
      <c r="B18">
        <f>'[1]普通怪-回复'!$C$18</f>
        <v>3900</v>
      </c>
      <c r="C18">
        <f t="shared" si="0"/>
        <v>550</v>
      </c>
      <c r="D18">
        <f>'[1]普通怪-回复'!$D$18</f>
        <v>861</v>
      </c>
      <c r="E18">
        <f>'[1]普通怪-回复'!$E$18</f>
        <v>379</v>
      </c>
      <c r="F18">
        <f>ROUND('[1]普通怪-回复'!$F$18*1000,0)</f>
        <v>0</v>
      </c>
      <c r="G18">
        <f>ROUND('[1]普通怪-回复'!$H$18*100,0)</f>
        <v>100</v>
      </c>
      <c r="H18">
        <f>'[1]普通怪-回复'!$I$18</f>
        <v>125</v>
      </c>
      <c r="I18">
        <f>'[1]普通怪-回复'!$J$18</f>
        <v>387</v>
      </c>
    </row>
    <row r="19" spans="1:9" x14ac:dyDescent="0.15">
      <c r="A19">
        <v>18</v>
      </c>
      <c r="B19">
        <f>'[1]普通怪-回复'!$C$19</f>
        <v>4550</v>
      </c>
      <c r="C19">
        <f t="shared" si="0"/>
        <v>650</v>
      </c>
      <c r="D19">
        <f>'[1]普通怪-回复'!$D$19</f>
        <v>1018</v>
      </c>
      <c r="E19">
        <f>'[1]普通怪-回复'!$E$19</f>
        <v>430</v>
      </c>
      <c r="F19">
        <f>ROUND('[1]普通怪-回复'!$F$19*1000,0)</f>
        <v>0</v>
      </c>
      <c r="G19">
        <f>ROUND('[1]普通怪-回复'!$H$19*100,0)</f>
        <v>100</v>
      </c>
      <c r="H19">
        <f>'[1]普通怪-回复'!$I$19</f>
        <v>142</v>
      </c>
      <c r="I19">
        <f>'[1]普通怪-回复'!$J$19</f>
        <v>458</v>
      </c>
    </row>
    <row r="20" spans="1:9" x14ac:dyDescent="0.15">
      <c r="A20">
        <v>19</v>
      </c>
      <c r="B20">
        <f>'[1]普通怪-回复'!$C$20</f>
        <v>5500</v>
      </c>
      <c r="C20">
        <f t="shared" si="0"/>
        <v>950</v>
      </c>
      <c r="D20">
        <f>'[1]普通怪-回复'!$D$20</f>
        <v>1460</v>
      </c>
      <c r="E20">
        <f>'[1]普通怪-回复'!$E$20</f>
        <v>487</v>
      </c>
      <c r="F20">
        <f>ROUND('[1]普通怪-回复'!$F$20*1000,0)</f>
        <v>0</v>
      </c>
      <c r="G20">
        <f>ROUND('[1]普通怪-回复'!$H$20*100,0)</f>
        <v>100</v>
      </c>
      <c r="H20">
        <f>'[1]普通怪-回复'!$I$20</f>
        <v>161</v>
      </c>
      <c r="I20">
        <f>'[1]普通怪-回复'!$J$20</f>
        <v>657</v>
      </c>
    </row>
    <row r="21" spans="1:9" x14ac:dyDescent="0.15">
      <c r="A21">
        <v>20</v>
      </c>
      <c r="B21">
        <f>'[1]普通怪-回复'!$C$21</f>
        <v>6600</v>
      </c>
      <c r="C21">
        <f t="shared" si="0"/>
        <v>1100</v>
      </c>
      <c r="D21">
        <f>'[1]普通怪-回复'!$D$21</f>
        <v>1939</v>
      </c>
      <c r="E21">
        <f>'[1]普通怪-回复'!$E$21</f>
        <v>600</v>
      </c>
      <c r="F21">
        <f>ROUND('[1]普通怪-回复'!$F$21*1000,0)</f>
        <v>0</v>
      </c>
      <c r="G21">
        <f>ROUND('[1]普通怪-回复'!$H$21*100,0)</f>
        <v>100</v>
      </c>
      <c r="H21">
        <f>'[1]普通怪-回复'!$I$21</f>
        <v>182</v>
      </c>
      <c r="I21">
        <f>'[1]普通怪-回复'!$J$21</f>
        <v>873</v>
      </c>
    </row>
    <row r="22" spans="1:9" x14ac:dyDescent="0.15">
      <c r="A22">
        <v>21</v>
      </c>
      <c r="B22">
        <f>'[1]普通怪-回复'!$C$22</f>
        <v>9450</v>
      </c>
      <c r="C22">
        <f t="shared" si="0"/>
        <v>2850</v>
      </c>
      <c r="D22">
        <f>'[1]普通怪-回复'!$D$22</f>
        <v>2647</v>
      </c>
      <c r="E22">
        <f>'[1]普通怪-回复'!$E$22</f>
        <v>764</v>
      </c>
      <c r="F22">
        <f>ROUND('[1]普通怪-回复'!$F$22*1000,0)</f>
        <v>0</v>
      </c>
      <c r="G22">
        <f>ROUND('[1]普通怪-回复'!$H$22*100,0)</f>
        <v>100</v>
      </c>
      <c r="H22">
        <f>'[1]普通怪-回复'!$I$22</f>
        <v>214</v>
      </c>
      <c r="I22">
        <f>'[1]普通怪-回复'!$J$22</f>
        <v>1191</v>
      </c>
    </row>
    <row r="23" spans="1:9" x14ac:dyDescent="0.15">
      <c r="A23">
        <v>22</v>
      </c>
      <c r="B23">
        <f>'[1]普通怪-回复'!$C$23</f>
        <v>12800</v>
      </c>
      <c r="C23">
        <f t="shared" si="0"/>
        <v>3350</v>
      </c>
      <c r="D23">
        <f>'[1]普通怪-回复'!$D$23</f>
        <v>4036</v>
      </c>
      <c r="E23">
        <f>'[1]普通怪-回复'!$E$23</f>
        <v>1032</v>
      </c>
      <c r="F23">
        <f>ROUND('[1]普通怪-回复'!$F$23*1000,0)</f>
        <v>0</v>
      </c>
      <c r="G23">
        <f>ROUND('[1]普通怪-回复'!$H$23*100,0)</f>
        <v>100</v>
      </c>
      <c r="H23">
        <f>'[1]普通怪-回复'!$I$23</f>
        <v>262</v>
      </c>
      <c r="I23">
        <f>'[1]普通怪-回复'!$J$23</f>
        <v>1816</v>
      </c>
    </row>
    <row r="24" spans="1:9" x14ac:dyDescent="0.15">
      <c r="A24">
        <v>23</v>
      </c>
      <c r="B24">
        <f>'[1]普通怪-回复'!$C$24</f>
        <v>17400</v>
      </c>
      <c r="C24">
        <f t="shared" si="0"/>
        <v>4600</v>
      </c>
      <c r="D24">
        <f>'[1]普通怪-回复'!$D$24</f>
        <v>5509</v>
      </c>
      <c r="E24">
        <f>'[1]普通怪-回复'!$E$24</f>
        <v>1400</v>
      </c>
      <c r="F24">
        <f>ROUND('[1]普通怪-回复'!$F$24*1000,0)</f>
        <v>0</v>
      </c>
      <c r="G24">
        <f>ROUND('[1]普通怪-回复'!$H$24*100,0)</f>
        <v>100</v>
      </c>
      <c r="H24">
        <f>'[1]普通怪-回复'!$I$24</f>
        <v>334</v>
      </c>
      <c r="I24">
        <f>'[1]普通怪-回复'!$J$24</f>
        <v>2479</v>
      </c>
    </row>
    <row r="25" spans="1:9" x14ac:dyDescent="0.15">
      <c r="A25">
        <v>24</v>
      </c>
      <c r="B25">
        <f>'[1]普通怪-回复'!$C$25</f>
        <v>23250</v>
      </c>
      <c r="C25">
        <f t="shared" si="0"/>
        <v>5850</v>
      </c>
      <c r="D25">
        <f>'[1]普通怪-回复'!$D$25</f>
        <v>7370</v>
      </c>
      <c r="E25">
        <f>'[1]普通怪-回复'!$E$25</f>
        <v>1868</v>
      </c>
      <c r="F25">
        <f>ROUND('[1]普通怪-回复'!$F$25*1000,0)</f>
        <v>0</v>
      </c>
      <c r="G25">
        <f>ROUND('[1]普通怪-回复'!$H$25*100,0)</f>
        <v>100</v>
      </c>
      <c r="H25">
        <f>'[1]普通怪-回复'!$I$25</f>
        <v>442</v>
      </c>
      <c r="I25">
        <f>'[1]普通怪-回复'!$J$25</f>
        <v>3317</v>
      </c>
    </row>
    <row r="26" spans="1:9" x14ac:dyDescent="0.15">
      <c r="A26">
        <v>25</v>
      </c>
      <c r="B26">
        <f>'[1]普通怪-回复'!$C$26</f>
        <v>30750</v>
      </c>
      <c r="C26">
        <f t="shared" si="0"/>
        <v>7500</v>
      </c>
      <c r="D26">
        <f>'[1]普通怪-回复'!$D$26</f>
        <v>9738</v>
      </c>
      <c r="E26">
        <f>'[1]普通怪-回复'!$E$26</f>
        <v>2468</v>
      </c>
      <c r="F26">
        <f>ROUND('[1]普通怪-回复'!$F$26*1000,0)</f>
        <v>0</v>
      </c>
      <c r="G26">
        <f>ROUND('[1]普通怪-回复'!$H$26*100,0)</f>
        <v>100</v>
      </c>
      <c r="H26">
        <f>'[1]普通怪-回复'!$I$26</f>
        <v>604</v>
      </c>
      <c r="I26">
        <f>'[1]普通怪-回复'!$J$26</f>
        <v>4382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'[1]普通怪-敏捷'!$C$2</f>
        <v>50</v>
      </c>
      <c r="C2">
        <f>B2-0</f>
        <v>50</v>
      </c>
      <c r="D2">
        <f>'[1]普通怪-敏捷'!$D$2</f>
        <v>26</v>
      </c>
      <c r="E2">
        <f>'[1]普通怪-敏捷'!$E$2</f>
        <v>5</v>
      </c>
      <c r="F2">
        <f>ROUND('[1]普通怪-敏捷'!$F$2 *1000,0)</f>
        <v>100</v>
      </c>
      <c r="G2">
        <f>ROUND('[1]普通怪-敏捷'!$H$2 *100,0)</f>
        <v>100</v>
      </c>
      <c r="H2">
        <f>'[1]普通怪-敏捷'!$I$2</f>
        <v>5</v>
      </c>
      <c r="I2">
        <f>'[1]普通怪-敏捷'!$J$2</f>
        <v>8</v>
      </c>
    </row>
    <row r="3" spans="1:9" x14ac:dyDescent="0.15">
      <c r="A3">
        <v>2</v>
      </c>
      <c r="B3">
        <f>'[1]普通怪-敏捷'!$C$3</f>
        <v>100</v>
      </c>
      <c r="C3">
        <f>B3-B2</f>
        <v>50</v>
      </c>
      <c r="D3">
        <f>'[1]普通怪-敏捷'!$D$3</f>
        <v>27</v>
      </c>
      <c r="E3">
        <f>'[1]普通怪-敏捷'!$E$3</f>
        <v>10</v>
      </c>
      <c r="F3">
        <f>ROUND('[1]普通怪-敏捷'!$F$3 *1000,0)</f>
        <v>100</v>
      </c>
      <c r="G3">
        <f>ROUND('[1]普通怪-敏捷'!$H$3 *100,0)</f>
        <v>100</v>
      </c>
      <c r="H3">
        <f>'[1]普通怪-敏捷'!$I$3</f>
        <v>8</v>
      </c>
      <c r="I3">
        <f>'[1]普通怪-敏捷'!$J$3</f>
        <v>8</v>
      </c>
    </row>
    <row r="4" spans="1:9" x14ac:dyDescent="0.15">
      <c r="A4">
        <v>3</v>
      </c>
      <c r="B4">
        <f>'[1]普通怪-敏捷'!$C$4</f>
        <v>150</v>
      </c>
      <c r="C4">
        <f t="shared" ref="C4:C26" si="0">B4-B3</f>
        <v>50</v>
      </c>
      <c r="D4">
        <f>'[1]普通怪-敏捷'!$D$4</f>
        <v>30</v>
      </c>
      <c r="E4">
        <f>'[1]普通怪-敏捷'!$E$4</f>
        <v>13</v>
      </c>
      <c r="F4">
        <f>ROUND('[1]普通怪-敏捷'!$F$4 *1000,0)</f>
        <v>100</v>
      </c>
      <c r="G4">
        <f>ROUND('[1]普通怪-敏捷'!$H$4 *100,0)</f>
        <v>100</v>
      </c>
      <c r="H4">
        <f>'[1]普通怪-敏捷'!$I$4</f>
        <v>12</v>
      </c>
      <c r="I4">
        <f>'[1]普通怪-敏捷'!$J$4</f>
        <v>9</v>
      </c>
    </row>
    <row r="5" spans="1:9" x14ac:dyDescent="0.15">
      <c r="A5">
        <v>4</v>
      </c>
      <c r="B5">
        <f>'[1]普通怪-敏捷'!$C$5</f>
        <v>250</v>
      </c>
      <c r="C5">
        <f t="shared" si="0"/>
        <v>100</v>
      </c>
      <c r="D5">
        <f>'[1]普通怪-敏捷'!$D$5</f>
        <v>32</v>
      </c>
      <c r="E5">
        <f>'[1]普通怪-敏捷'!$E$5</f>
        <v>26</v>
      </c>
      <c r="F5">
        <f>ROUND('[1]普通怪-敏捷'!$F$5 *1000,0)</f>
        <v>100</v>
      </c>
      <c r="G5">
        <f>ROUND('[1]普通怪-敏捷'!$H$5 *100,0)</f>
        <v>100</v>
      </c>
      <c r="H5">
        <f>'[1]普通怪-敏捷'!$I$5</f>
        <v>16</v>
      </c>
      <c r="I5">
        <f>'[1]普通怪-敏捷'!$J$5</f>
        <v>10</v>
      </c>
    </row>
    <row r="6" spans="1:9" x14ac:dyDescent="0.15">
      <c r="A6">
        <v>5</v>
      </c>
      <c r="B6">
        <f>'[1]普通怪-敏捷'!$C$6</f>
        <v>350</v>
      </c>
      <c r="C6">
        <f t="shared" si="0"/>
        <v>100</v>
      </c>
      <c r="D6">
        <f>'[1]普通怪-敏捷'!$D$6</f>
        <v>35</v>
      </c>
      <c r="E6">
        <f>'[1]普通怪-敏捷'!$E$6</f>
        <v>34</v>
      </c>
      <c r="F6">
        <f>ROUND('[1]普通怪-敏捷'!$F$6 *1000,0)</f>
        <v>100</v>
      </c>
      <c r="G6">
        <f>ROUND('[1]普通怪-敏捷'!$H$6 *100,0)</f>
        <v>120</v>
      </c>
      <c r="H6">
        <f>'[1]普通怪-敏捷'!$I$6</f>
        <v>20</v>
      </c>
      <c r="I6">
        <f>'[1]普通怪-敏捷'!$J$6</f>
        <v>11</v>
      </c>
    </row>
    <row r="7" spans="1:9" x14ac:dyDescent="0.15">
      <c r="A7">
        <v>6</v>
      </c>
      <c r="B7">
        <f>'[1]普通怪-敏捷'!$C$7</f>
        <v>500</v>
      </c>
      <c r="C7">
        <f t="shared" si="0"/>
        <v>150</v>
      </c>
      <c r="D7">
        <f>'[1]普通怪-敏捷'!$D$7</f>
        <v>49</v>
      </c>
      <c r="E7">
        <f>'[1]普通怪-敏捷'!$E$7</f>
        <v>47</v>
      </c>
      <c r="F7">
        <f>ROUND('[1]普通怪-敏捷'!$F$7 *1000,0)</f>
        <v>100</v>
      </c>
      <c r="G7">
        <f>ROUND('[1]普通怪-敏捷'!$H$7 *100,0)</f>
        <v>120</v>
      </c>
      <c r="H7">
        <f>'[1]普通怪-敏捷'!$I$7</f>
        <v>24</v>
      </c>
      <c r="I7">
        <f>'[1]普通怪-敏捷'!$J$7</f>
        <v>15</v>
      </c>
    </row>
    <row r="8" spans="1:9" x14ac:dyDescent="0.15">
      <c r="A8">
        <v>7</v>
      </c>
      <c r="B8">
        <f>'[1]普通怪-敏捷'!$C$8</f>
        <v>650</v>
      </c>
      <c r="C8">
        <f t="shared" si="0"/>
        <v>150</v>
      </c>
      <c r="D8">
        <f>'[1]普通怪-敏捷'!$D$8</f>
        <v>60</v>
      </c>
      <c r="E8">
        <f>'[1]普通怪-敏捷'!$E$8</f>
        <v>60</v>
      </c>
      <c r="F8">
        <f>ROUND('[1]普通怪-敏捷'!$F$8 *1000,0)</f>
        <v>101</v>
      </c>
      <c r="G8">
        <f>ROUND('[1]普通怪-敏捷'!$H$8 *100,0)</f>
        <v>120</v>
      </c>
      <c r="H8">
        <f>'[1]普通怪-敏捷'!$I$8</f>
        <v>29</v>
      </c>
      <c r="I8">
        <f>'[1]普通怪-敏捷'!$J$8</f>
        <v>18</v>
      </c>
    </row>
    <row r="9" spans="1:9" x14ac:dyDescent="0.15">
      <c r="A9">
        <v>8</v>
      </c>
      <c r="B9">
        <f>'[1]普通怪-敏捷'!$C$9</f>
        <v>850</v>
      </c>
      <c r="C9">
        <f t="shared" si="0"/>
        <v>200</v>
      </c>
      <c r="D9">
        <f>'[1]普通怪-敏捷'!$D$9</f>
        <v>83</v>
      </c>
      <c r="E9">
        <f>'[1]普通怪-敏捷'!$E$9</f>
        <v>94</v>
      </c>
      <c r="F9">
        <f>ROUND('[1]普通怪-敏捷'!$F$9 *1000,0)</f>
        <v>101</v>
      </c>
      <c r="G9">
        <f>ROUND('[1]普通怪-敏捷'!$H$9 *100,0)</f>
        <v>120</v>
      </c>
      <c r="H9">
        <f>'[1]普通怪-敏捷'!$I$9</f>
        <v>35</v>
      </c>
      <c r="I9">
        <f>'[1]普通怪-敏捷'!$J$9</f>
        <v>25</v>
      </c>
    </row>
    <row r="10" spans="1:9" x14ac:dyDescent="0.15">
      <c r="A10">
        <v>9</v>
      </c>
      <c r="B10">
        <f>'[1]普通怪-敏捷'!$C$10</f>
        <v>1050</v>
      </c>
      <c r="C10">
        <f t="shared" si="0"/>
        <v>200</v>
      </c>
      <c r="D10">
        <f>'[1]普通怪-敏捷'!$D$10</f>
        <v>93</v>
      </c>
      <c r="E10">
        <f>'[1]普通怪-敏捷'!$E$10</f>
        <v>119</v>
      </c>
      <c r="F10">
        <f>ROUND('[1]普通怪-敏捷'!$F$10*1000,0)</f>
        <v>101</v>
      </c>
      <c r="G10">
        <f>ROUND('[1]普通怪-敏捷'!$H$10*100,0)</f>
        <v>120</v>
      </c>
      <c r="H10">
        <f>'[1]普通怪-敏捷'!$I$10</f>
        <v>42</v>
      </c>
      <c r="I10">
        <f>'[1]普通怪-敏捷'!$J$10</f>
        <v>28</v>
      </c>
    </row>
    <row r="11" spans="1:9" x14ac:dyDescent="0.15">
      <c r="A11">
        <v>10</v>
      </c>
      <c r="B11">
        <f>'[1]普通怪-敏捷'!$C$11</f>
        <v>1250</v>
      </c>
      <c r="C11">
        <f t="shared" si="0"/>
        <v>200</v>
      </c>
      <c r="D11">
        <f>'[1]普通怪-敏捷'!$D$11</f>
        <v>96</v>
      </c>
      <c r="E11">
        <f>'[1]普通怪-敏捷'!$E$11</f>
        <v>141</v>
      </c>
      <c r="F11">
        <f>ROUND('[1]普通怪-敏捷'!$F$11*1000,0)</f>
        <v>101</v>
      </c>
      <c r="G11">
        <f>ROUND('[1]普通怪-敏捷'!$H$11*100,0)</f>
        <v>130</v>
      </c>
      <c r="H11">
        <f>'[1]普通怪-敏捷'!$I$11</f>
        <v>50</v>
      </c>
      <c r="I11">
        <f>'[1]普通怪-敏捷'!$J$11</f>
        <v>29</v>
      </c>
    </row>
    <row r="12" spans="1:9" x14ac:dyDescent="0.15">
      <c r="A12">
        <v>11</v>
      </c>
      <c r="B12">
        <f>'[1]普通怪-敏捷'!$C$12</f>
        <v>1500</v>
      </c>
      <c r="C12">
        <f t="shared" si="0"/>
        <v>250</v>
      </c>
      <c r="D12">
        <f>'[1]普通怪-敏捷'!$D$12</f>
        <v>175</v>
      </c>
      <c r="E12">
        <f>'[1]普通怪-敏捷'!$E$12</f>
        <v>165</v>
      </c>
      <c r="F12">
        <f>ROUND('[1]普通怪-敏捷'!$F$12*1000,0)</f>
        <v>101</v>
      </c>
      <c r="G12">
        <f>ROUND('[1]普通怪-敏捷'!$H$12*100,0)</f>
        <v>130</v>
      </c>
      <c r="H12">
        <f>'[1]普通怪-敏捷'!$I$12</f>
        <v>59</v>
      </c>
      <c r="I12">
        <f>'[1]普通怪-敏捷'!$J$12</f>
        <v>53</v>
      </c>
    </row>
    <row r="13" spans="1:9" x14ac:dyDescent="0.15">
      <c r="A13">
        <v>12</v>
      </c>
      <c r="B13">
        <f>'[1]普通怪-敏捷'!$C$13</f>
        <v>1750</v>
      </c>
      <c r="C13">
        <f t="shared" si="0"/>
        <v>250</v>
      </c>
      <c r="D13">
        <f>'[1]普通怪-敏捷'!$D$13</f>
        <v>200</v>
      </c>
      <c r="E13">
        <f>'[1]普通怪-敏捷'!$E$13</f>
        <v>192</v>
      </c>
      <c r="F13">
        <f>ROUND('[1]普通怪-敏捷'!$F$13*1000,0)</f>
        <v>102</v>
      </c>
      <c r="G13">
        <f>ROUND('[1]普通怪-敏捷'!$H$13*100,0)</f>
        <v>130</v>
      </c>
      <c r="H13">
        <f>'[1]普通怪-敏捷'!$I$13</f>
        <v>69</v>
      </c>
      <c r="I13">
        <f>'[1]普通怪-敏捷'!$J$13</f>
        <v>60</v>
      </c>
    </row>
    <row r="14" spans="1:9" x14ac:dyDescent="0.15">
      <c r="A14">
        <v>13</v>
      </c>
      <c r="B14">
        <f>'[1]普通怪-敏捷'!$C$14</f>
        <v>2050</v>
      </c>
      <c r="C14">
        <f t="shared" si="0"/>
        <v>300</v>
      </c>
      <c r="D14">
        <f>'[1]普通怪-敏捷'!$D$14</f>
        <v>233</v>
      </c>
      <c r="E14">
        <f>'[1]普通怪-敏捷'!$E$14</f>
        <v>222</v>
      </c>
      <c r="F14">
        <f>ROUND('[1]普通怪-敏捷'!$F$14*1000,0)</f>
        <v>102</v>
      </c>
      <c r="G14">
        <f>ROUND('[1]普通怪-敏捷'!$H$14*100,0)</f>
        <v>130</v>
      </c>
      <c r="H14">
        <f>'[1]普通怪-敏捷'!$I$14</f>
        <v>80</v>
      </c>
      <c r="I14">
        <f>'[1]普通怪-敏捷'!$J$14</f>
        <v>70</v>
      </c>
    </row>
    <row r="15" spans="1:9" x14ac:dyDescent="0.15">
      <c r="A15">
        <v>14</v>
      </c>
      <c r="B15">
        <f>'[1]普通怪-敏捷'!$C$15</f>
        <v>2400</v>
      </c>
      <c r="C15">
        <f t="shared" si="0"/>
        <v>350</v>
      </c>
      <c r="D15">
        <f>'[1]普通怪-敏捷'!$D$15</f>
        <v>368</v>
      </c>
      <c r="E15">
        <f>'[1]普通怪-敏捷'!$E$15</f>
        <v>255</v>
      </c>
      <c r="F15">
        <f>ROUND('[1]普通怪-敏捷'!$F$15*1000,0)</f>
        <v>102</v>
      </c>
      <c r="G15">
        <f>ROUND('[1]普通怪-敏捷'!$H$15*100,0)</f>
        <v>130</v>
      </c>
      <c r="H15">
        <f>'[1]普通怪-敏捷'!$I$15</f>
        <v>92</v>
      </c>
      <c r="I15">
        <f>'[1]普通怪-敏捷'!$J$15</f>
        <v>110</v>
      </c>
    </row>
    <row r="16" spans="1:9" x14ac:dyDescent="0.15">
      <c r="A16">
        <v>15</v>
      </c>
      <c r="B16">
        <f>'[1]普通怪-敏捷'!$C$16</f>
        <v>2850</v>
      </c>
      <c r="C16">
        <f t="shared" si="0"/>
        <v>450</v>
      </c>
      <c r="D16">
        <f>'[1]普通怪-敏捷'!$D$16</f>
        <v>433</v>
      </c>
      <c r="E16">
        <f>'[1]普通怪-敏捷'!$E$16</f>
        <v>292</v>
      </c>
      <c r="F16">
        <f>ROUND('[1]普通怪-敏捷'!$F$16*1000,0)</f>
        <v>103</v>
      </c>
      <c r="G16">
        <f>ROUND('[1]普通怪-敏捷'!$H$16*100,0)</f>
        <v>140</v>
      </c>
      <c r="H16">
        <f>'[1]普通怪-敏捷'!$I$16</f>
        <v>105</v>
      </c>
      <c r="I16">
        <f>'[1]普通怪-敏捷'!$J$16</f>
        <v>130</v>
      </c>
    </row>
    <row r="17" spans="1:9" x14ac:dyDescent="0.15">
      <c r="A17">
        <v>16</v>
      </c>
      <c r="B17">
        <f>'[1]普通怪-敏捷'!$C$17</f>
        <v>3350</v>
      </c>
      <c r="C17">
        <f t="shared" si="0"/>
        <v>500</v>
      </c>
      <c r="D17">
        <f>'[1]普通怪-敏捷'!$D$17</f>
        <v>649</v>
      </c>
      <c r="E17">
        <f>'[1]普通怪-敏捷'!$E$17</f>
        <v>333</v>
      </c>
      <c r="F17">
        <f>ROUND('[1]普通怪-敏捷'!$F$17*1000,0)</f>
        <v>103</v>
      </c>
      <c r="G17">
        <f>ROUND('[1]普通怪-敏捷'!$H$17*100,0)</f>
        <v>140</v>
      </c>
      <c r="H17">
        <f>'[1]普通怪-敏捷'!$I$17</f>
        <v>120</v>
      </c>
      <c r="I17">
        <f>'[1]普通怪-敏捷'!$J$17</f>
        <v>195</v>
      </c>
    </row>
    <row r="18" spans="1:9" x14ac:dyDescent="0.15">
      <c r="A18">
        <v>17</v>
      </c>
      <c r="B18">
        <f>'[1]普通怪-敏捷'!$C$18</f>
        <v>3900</v>
      </c>
      <c r="C18">
        <f t="shared" si="0"/>
        <v>550</v>
      </c>
      <c r="D18">
        <f>'[1]普通怪-敏捷'!$D$18</f>
        <v>768</v>
      </c>
      <c r="E18">
        <f>'[1]普通怪-敏捷'!$E$18</f>
        <v>379</v>
      </c>
      <c r="F18">
        <f>ROUND('[1]普通怪-敏捷'!$F$18*1000,0)</f>
        <v>104</v>
      </c>
      <c r="G18">
        <f>ROUND('[1]普通怪-敏捷'!$H$18*100,0)</f>
        <v>140</v>
      </c>
      <c r="H18">
        <f>'[1]普通怪-敏捷'!$I$18</f>
        <v>137</v>
      </c>
      <c r="I18">
        <f>'[1]普通怪-敏捷'!$J$18</f>
        <v>230</v>
      </c>
    </row>
    <row r="19" spans="1:9" x14ac:dyDescent="0.15">
      <c r="A19">
        <v>18</v>
      </c>
      <c r="B19">
        <f>'[1]普通怪-敏捷'!$C$19</f>
        <v>4550</v>
      </c>
      <c r="C19">
        <f t="shared" si="0"/>
        <v>650</v>
      </c>
      <c r="D19">
        <f>'[1]普通怪-敏捷'!$D$19</f>
        <v>915</v>
      </c>
      <c r="E19">
        <f>'[1]普通怪-敏捷'!$E$19</f>
        <v>430</v>
      </c>
      <c r="F19">
        <f>ROUND('[1]普通怪-敏捷'!$F$19*1000,0)</f>
        <v>105</v>
      </c>
      <c r="G19">
        <f>ROUND('[1]普通怪-敏捷'!$H$19*100,0)</f>
        <v>140</v>
      </c>
      <c r="H19">
        <f>'[1]普通怪-敏捷'!$I$19</f>
        <v>156</v>
      </c>
      <c r="I19">
        <f>'[1]普通怪-敏捷'!$J$19</f>
        <v>275</v>
      </c>
    </row>
    <row r="20" spans="1:9" x14ac:dyDescent="0.15">
      <c r="A20">
        <v>19</v>
      </c>
      <c r="B20">
        <f>'[1]普通怪-敏捷'!$C$20</f>
        <v>5500</v>
      </c>
      <c r="C20">
        <f t="shared" si="0"/>
        <v>950</v>
      </c>
      <c r="D20">
        <f>'[1]普通怪-敏捷'!$D$20</f>
        <v>1372</v>
      </c>
      <c r="E20">
        <f>'[1]普通怪-敏捷'!$E$20</f>
        <v>487</v>
      </c>
      <c r="F20">
        <f>ROUND('[1]普通怪-敏捷'!$F$20*1000,0)</f>
        <v>105</v>
      </c>
      <c r="G20">
        <f>ROUND('[1]普通怪-敏捷'!$H$20*100,0)</f>
        <v>140</v>
      </c>
      <c r="H20">
        <f>'[1]普通怪-敏捷'!$I$20</f>
        <v>177</v>
      </c>
      <c r="I20">
        <f>'[1]普通怪-敏捷'!$J$20</f>
        <v>412</v>
      </c>
    </row>
    <row r="21" spans="1:9" x14ac:dyDescent="0.15">
      <c r="A21">
        <v>20</v>
      </c>
      <c r="B21">
        <f>'[1]普通怪-敏捷'!$C$21</f>
        <v>6600</v>
      </c>
      <c r="C21">
        <f t="shared" si="0"/>
        <v>1100</v>
      </c>
      <c r="D21">
        <f>'[1]普通怪-敏捷'!$D$21</f>
        <v>1803</v>
      </c>
      <c r="E21">
        <f>'[1]普通怪-敏捷'!$E$21</f>
        <v>600</v>
      </c>
      <c r="F21">
        <f>ROUND('[1]普通怪-敏捷'!$F$21*1000,0)</f>
        <v>107</v>
      </c>
      <c r="G21">
        <f>ROUND('[1]普通怪-敏捷'!$H$21*100,0)</f>
        <v>150</v>
      </c>
      <c r="H21">
        <f>'[1]普通怪-敏捷'!$I$21</f>
        <v>200</v>
      </c>
      <c r="I21">
        <f>'[1]普通怪-敏捷'!$J$21</f>
        <v>541</v>
      </c>
    </row>
    <row r="22" spans="1:9" x14ac:dyDescent="0.15">
      <c r="A22">
        <v>21</v>
      </c>
      <c r="B22">
        <f>'[1]普通怪-敏捷'!$C$22</f>
        <v>9450</v>
      </c>
      <c r="C22">
        <f t="shared" si="0"/>
        <v>2850</v>
      </c>
      <c r="D22">
        <f>'[1]普通怪-敏捷'!$D$22</f>
        <v>2490</v>
      </c>
      <c r="E22">
        <f>'[1]普通怪-敏捷'!$E$22</f>
        <v>764</v>
      </c>
      <c r="F22">
        <f>ROUND('[1]普通怪-敏捷'!$F$22*1000,0)</f>
        <v>109</v>
      </c>
      <c r="G22">
        <f>ROUND('[1]普通怪-敏捷'!$H$22*100,0)</f>
        <v>150</v>
      </c>
      <c r="H22">
        <f>'[1]普通怪-敏捷'!$I$22</f>
        <v>235</v>
      </c>
      <c r="I22">
        <f>'[1]普通怪-敏捷'!$J$22</f>
        <v>747</v>
      </c>
    </row>
    <row r="23" spans="1:9" x14ac:dyDescent="0.15">
      <c r="A23">
        <v>22</v>
      </c>
      <c r="B23">
        <f>'[1]普通怪-敏捷'!$C$23</f>
        <v>12800</v>
      </c>
      <c r="C23">
        <f t="shared" si="0"/>
        <v>3350</v>
      </c>
      <c r="D23">
        <f>'[1]普通怪-敏捷'!$D$23</f>
        <v>3867</v>
      </c>
      <c r="E23">
        <f>'[1]普通怪-敏捷'!$E$23</f>
        <v>1032</v>
      </c>
      <c r="F23">
        <f>ROUND('[1]普通怪-敏捷'!$F$23*1000,0)</f>
        <v>113</v>
      </c>
      <c r="G23">
        <f>ROUND('[1]普通怪-敏捷'!$H$23*100,0)</f>
        <v>150</v>
      </c>
      <c r="H23">
        <f>'[1]普通怪-敏捷'!$I$23</f>
        <v>288</v>
      </c>
      <c r="I23">
        <f>'[1]普通怪-敏捷'!$J$23</f>
        <v>1160</v>
      </c>
    </row>
    <row r="24" spans="1:9" x14ac:dyDescent="0.15">
      <c r="A24">
        <v>23</v>
      </c>
      <c r="B24">
        <f>'[1]普通怪-敏捷'!$C$24</f>
        <v>17400</v>
      </c>
      <c r="C24">
        <f t="shared" si="0"/>
        <v>4600</v>
      </c>
      <c r="D24">
        <f>'[1]普通怪-敏捷'!$D$24</f>
        <v>5274</v>
      </c>
      <c r="E24">
        <f>'[1]普通怪-敏捷'!$E$24</f>
        <v>1400</v>
      </c>
      <c r="F24">
        <f>ROUND('[1]普通怪-敏捷'!$F$24*1000,0)</f>
        <v>117</v>
      </c>
      <c r="G24">
        <f>ROUND('[1]普通怪-敏捷'!$H$24*100,0)</f>
        <v>150</v>
      </c>
      <c r="H24">
        <f>'[1]普通怪-敏捷'!$I$24</f>
        <v>368</v>
      </c>
      <c r="I24">
        <f>'[1]普通怪-敏捷'!$J$24</f>
        <v>1582</v>
      </c>
    </row>
    <row r="25" spans="1:9" x14ac:dyDescent="0.15">
      <c r="A25">
        <v>24</v>
      </c>
      <c r="B25">
        <f>'[1]普通怪-敏捷'!$C$25</f>
        <v>23250</v>
      </c>
      <c r="C25">
        <f t="shared" si="0"/>
        <v>5850</v>
      </c>
      <c r="D25">
        <f>'[1]普通怪-敏捷'!$D$25</f>
        <v>6900</v>
      </c>
      <c r="E25">
        <f>'[1]普通怪-敏捷'!$E$25</f>
        <v>1868</v>
      </c>
      <c r="F25">
        <f>ROUND('[1]普通怪-敏捷'!$F$25*1000,0)</f>
        <v>123</v>
      </c>
      <c r="G25">
        <f>ROUND('[1]普通怪-敏捷'!$H$25*100,0)</f>
        <v>160</v>
      </c>
      <c r="H25">
        <f>'[1]普通怪-敏捷'!$I$25</f>
        <v>488</v>
      </c>
      <c r="I25">
        <f>'[1]普通怪-敏捷'!$J$25</f>
        <v>2070</v>
      </c>
    </row>
    <row r="26" spans="1:9" x14ac:dyDescent="0.15">
      <c r="A26">
        <v>25</v>
      </c>
      <c r="B26">
        <f>'[1]普通怪-敏捷'!$C$26</f>
        <v>30750</v>
      </c>
      <c r="C26">
        <f t="shared" si="0"/>
        <v>7500</v>
      </c>
      <c r="D26">
        <f>'[1]普通怪-敏捷'!$D$26</f>
        <v>9081</v>
      </c>
      <c r="E26">
        <f>'[1]普通怪-敏捷'!$E$26</f>
        <v>2468</v>
      </c>
      <c r="F26">
        <f>ROUND('[1]普通怪-敏捷'!$F$26*1000,0)</f>
        <v>131</v>
      </c>
      <c r="G26">
        <f>ROUND('[1]普通怪-敏捷'!$H$26*100,0)</f>
        <v>160</v>
      </c>
      <c r="H26">
        <f>'[1]普通怪-敏捷'!$I$26</f>
        <v>668</v>
      </c>
      <c r="I26">
        <f>'[1]普通怪-敏捷'!$J$26</f>
        <v>2724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'[1]普通怪-防御'!$C$2</f>
        <v>50</v>
      </c>
      <c r="C2">
        <f>B2-0</f>
        <v>50</v>
      </c>
      <c r="D2">
        <f>'[1]普通怪-防御'!$D$2</f>
        <v>24</v>
      </c>
      <c r="E2">
        <f>'[1]普通怪-防御'!$E$2</f>
        <v>5</v>
      </c>
      <c r="F2">
        <f>ROUND('[1]普通怪-防御'!$F$2 *1000,0)</f>
        <v>0</v>
      </c>
      <c r="G2">
        <f>ROUND('[1]普通怪-防御'!$H$2 *100,0)</f>
        <v>70</v>
      </c>
      <c r="H2">
        <f>'[1]普通怪-防御'!$I$2</f>
        <v>7</v>
      </c>
      <c r="I2">
        <f>'[1]普通怪-防御'!$J$2</f>
        <v>7</v>
      </c>
    </row>
    <row r="3" spans="1:9" x14ac:dyDescent="0.15">
      <c r="A3">
        <v>2</v>
      </c>
      <c r="B3">
        <f>'[1]普通怪-防御'!$C$3</f>
        <v>100</v>
      </c>
      <c r="C3">
        <f>B3-B2</f>
        <v>50</v>
      </c>
      <c r="D3">
        <f>'[1]普通怪-防御'!$D$3</f>
        <v>25</v>
      </c>
      <c r="E3">
        <f>'[1]普通怪-防御'!$E$3</f>
        <v>10</v>
      </c>
      <c r="F3">
        <f>ROUND('[1]普通怪-防御'!$F$3 *1000,0)</f>
        <v>0</v>
      </c>
      <c r="G3">
        <f>ROUND('[1]普通怪-防御'!$H$3 *100,0)</f>
        <v>70</v>
      </c>
      <c r="H3">
        <f>'[1]普通怪-防御'!$I$3</f>
        <v>12</v>
      </c>
      <c r="I3">
        <f>'[1]普通怪-防御'!$J$3</f>
        <v>8</v>
      </c>
    </row>
    <row r="4" spans="1:9" x14ac:dyDescent="0.15">
      <c r="A4">
        <v>3</v>
      </c>
      <c r="B4">
        <f>'[1]普通怪-防御'!$C$4</f>
        <v>150</v>
      </c>
      <c r="C4">
        <f t="shared" ref="C4:C26" si="0">B4-B3</f>
        <v>50</v>
      </c>
      <c r="D4">
        <f>'[1]普通怪-防御'!$D$4</f>
        <v>27</v>
      </c>
      <c r="E4">
        <f>'[1]普通怪-防御'!$E$4</f>
        <v>14</v>
      </c>
      <c r="F4">
        <f>ROUND('[1]普通怪-防御'!$F$4 *1000,0)</f>
        <v>0</v>
      </c>
      <c r="G4">
        <f>ROUND('[1]普通怪-防御'!$H$4 *100,0)</f>
        <v>70</v>
      </c>
      <c r="H4">
        <f>'[1]普通怪-防御'!$I$4</f>
        <v>17</v>
      </c>
      <c r="I4">
        <f>'[1]普通怪-防御'!$J$4</f>
        <v>8</v>
      </c>
    </row>
    <row r="5" spans="1:9" x14ac:dyDescent="0.15">
      <c r="A5">
        <v>4</v>
      </c>
      <c r="B5">
        <f>'[1]普通怪-防御'!$C$5</f>
        <v>250</v>
      </c>
      <c r="C5">
        <f t="shared" si="0"/>
        <v>100</v>
      </c>
      <c r="D5">
        <f>'[1]普通怪-防御'!$D$5</f>
        <v>30</v>
      </c>
      <c r="E5">
        <f>'[1]普通怪-防御'!$E$5</f>
        <v>22</v>
      </c>
      <c r="F5">
        <f>ROUND('[1]普通怪-防御'!$F$5 *1000,0)</f>
        <v>0</v>
      </c>
      <c r="G5">
        <f>ROUND('[1]普通怪-防御'!$H$5 *100,0)</f>
        <v>70</v>
      </c>
      <c r="H5">
        <f>'[1]普通怪-防御'!$I$5</f>
        <v>27</v>
      </c>
      <c r="I5">
        <f>'[1]普通怪-防御'!$J$5</f>
        <v>9</v>
      </c>
    </row>
    <row r="6" spans="1:9" x14ac:dyDescent="0.15">
      <c r="A6">
        <v>5</v>
      </c>
      <c r="B6">
        <f>'[1]普通怪-防御'!$C$6</f>
        <v>350</v>
      </c>
      <c r="C6">
        <f t="shared" si="0"/>
        <v>100</v>
      </c>
      <c r="D6">
        <f>'[1]普通怪-防御'!$D$6</f>
        <v>33</v>
      </c>
      <c r="E6">
        <f>'[1]普通怪-防御'!$E$6</f>
        <v>30</v>
      </c>
      <c r="F6">
        <f>ROUND('[1]普通怪-防御'!$F$6 *1000,0)</f>
        <v>0</v>
      </c>
      <c r="G6">
        <f>ROUND('[1]普通怪-防御'!$H$6 *100,0)</f>
        <v>70</v>
      </c>
      <c r="H6">
        <f>'[1]普通怪-防御'!$I$6</f>
        <v>38</v>
      </c>
      <c r="I6">
        <f>'[1]普通怪-防御'!$J$6</f>
        <v>10</v>
      </c>
    </row>
    <row r="7" spans="1:9" x14ac:dyDescent="0.15">
      <c r="A7">
        <v>6</v>
      </c>
      <c r="B7">
        <f>'[1]普通怪-防御'!$C$7</f>
        <v>500</v>
      </c>
      <c r="C7">
        <f t="shared" si="0"/>
        <v>150</v>
      </c>
      <c r="D7">
        <f>'[1]普通怪-防御'!$D$7</f>
        <v>37</v>
      </c>
      <c r="E7">
        <f>'[1]普通怪-防御'!$E$7</f>
        <v>40</v>
      </c>
      <c r="F7">
        <f>ROUND('[1]普通怪-防御'!$F$7 *1000,0)</f>
        <v>0</v>
      </c>
      <c r="G7">
        <f>ROUND('[1]普通怪-防御'!$H$7 *100,0)</f>
        <v>70</v>
      </c>
      <c r="H7">
        <f>'[1]普通怪-防御'!$I$7</f>
        <v>56</v>
      </c>
      <c r="I7">
        <f>'[1]普通怪-防御'!$J$7</f>
        <v>11</v>
      </c>
    </row>
    <row r="8" spans="1:9" x14ac:dyDescent="0.15">
      <c r="A8">
        <v>7</v>
      </c>
      <c r="B8">
        <f>'[1]普通怪-防御'!$C$8</f>
        <v>650</v>
      </c>
      <c r="C8">
        <f t="shared" si="0"/>
        <v>150</v>
      </c>
      <c r="D8">
        <f>'[1]普通怪-防御'!$D$8</f>
        <v>45</v>
      </c>
      <c r="E8">
        <f>'[1]普通怪-防御'!$E$8</f>
        <v>56</v>
      </c>
      <c r="F8">
        <f>ROUND('[1]普通怪-防御'!$F$8 *1000,0)</f>
        <v>0</v>
      </c>
      <c r="G8">
        <f>ROUND('[1]普通怪-防御'!$H$8 *100,0)</f>
        <v>70</v>
      </c>
      <c r="H8">
        <f>'[1]普通怪-防御'!$I$8</f>
        <v>65</v>
      </c>
      <c r="I8">
        <f>'[1]普通怪-防御'!$J$8</f>
        <v>14</v>
      </c>
    </row>
    <row r="9" spans="1:9" x14ac:dyDescent="0.15">
      <c r="A9">
        <v>8</v>
      </c>
      <c r="B9">
        <f>'[1]普通怪-防御'!$C$9</f>
        <v>850</v>
      </c>
      <c r="C9">
        <f t="shared" si="0"/>
        <v>200</v>
      </c>
      <c r="D9">
        <f>'[1]普通怪-防御'!$D$9</f>
        <v>66</v>
      </c>
      <c r="E9">
        <f>'[1]普通怪-防御'!$E$9</f>
        <v>92</v>
      </c>
      <c r="F9">
        <f>ROUND('[1]普通怪-防御'!$F$9 *1000,0)</f>
        <v>0</v>
      </c>
      <c r="G9">
        <f>ROUND('[1]普通怪-防御'!$H$9 *100,0)</f>
        <v>70</v>
      </c>
      <c r="H9">
        <f>'[1]普通怪-防御'!$I$9</f>
        <v>84</v>
      </c>
      <c r="I9">
        <f>'[1]普通怪-防御'!$J$9</f>
        <v>20</v>
      </c>
    </row>
    <row r="10" spans="1:9" x14ac:dyDescent="0.15">
      <c r="A10">
        <v>9</v>
      </c>
      <c r="B10">
        <f>'[1]普通怪-防御'!$C$10</f>
        <v>1050</v>
      </c>
      <c r="C10">
        <f t="shared" si="0"/>
        <v>200</v>
      </c>
      <c r="D10">
        <f>'[1]普通怪-防御'!$D$10</f>
        <v>75</v>
      </c>
      <c r="E10">
        <f>'[1]普通怪-防御'!$E$10</f>
        <v>116</v>
      </c>
      <c r="F10">
        <f>ROUND('[1]普通怪-防御'!$F$10*1000,0)</f>
        <v>0</v>
      </c>
      <c r="G10">
        <f>ROUND('[1]普通怪-防御'!$H$10*100,0)</f>
        <v>70</v>
      </c>
      <c r="H10">
        <f>'[1]普通怪-防御'!$I$10</f>
        <v>101</v>
      </c>
      <c r="I10">
        <f>'[1]普通怪-防御'!$J$10</f>
        <v>23</v>
      </c>
    </row>
    <row r="11" spans="1:9" x14ac:dyDescent="0.15">
      <c r="A11">
        <v>10</v>
      </c>
      <c r="B11">
        <f>'[1]普通怪-防御'!$C$11</f>
        <v>1250</v>
      </c>
      <c r="C11">
        <f t="shared" si="0"/>
        <v>200</v>
      </c>
      <c r="D11">
        <f>'[1]普通怪-防御'!$D$11</f>
        <v>81</v>
      </c>
      <c r="E11">
        <f>'[1]普通怪-防御'!$E$11</f>
        <v>141</v>
      </c>
      <c r="F11">
        <f>ROUND('[1]普通怪-防御'!$F$11*1000,0)</f>
        <v>0</v>
      </c>
      <c r="G11">
        <f>ROUND('[1]普通怪-防御'!$H$11*100,0)</f>
        <v>70</v>
      </c>
      <c r="H11">
        <f>'[1]普通怪-防御'!$I$11</f>
        <v>120</v>
      </c>
      <c r="I11">
        <f>'[1]普通怪-防御'!$J$11</f>
        <v>24</v>
      </c>
    </row>
    <row r="12" spans="1:9" x14ac:dyDescent="0.15">
      <c r="A12">
        <v>11</v>
      </c>
      <c r="B12">
        <f>'[1]普通怪-防御'!$C$12</f>
        <v>1500</v>
      </c>
      <c r="C12">
        <f t="shared" si="0"/>
        <v>250</v>
      </c>
      <c r="D12">
        <f>'[1]普通怪-防御'!$D$12</f>
        <v>158</v>
      </c>
      <c r="E12">
        <f>'[1]普通怪-防御'!$E$12</f>
        <v>165</v>
      </c>
      <c r="F12">
        <f>ROUND('[1]普通怪-防御'!$F$12*1000,0)</f>
        <v>0</v>
      </c>
      <c r="G12">
        <f>ROUND('[1]普通怪-防御'!$H$12*100,0)</f>
        <v>70</v>
      </c>
      <c r="H12">
        <f>'[1]普通怪-防御'!$I$12</f>
        <v>141</v>
      </c>
      <c r="I12">
        <f>'[1]普通怪-防御'!$J$12</f>
        <v>47</v>
      </c>
    </row>
    <row r="13" spans="1:9" x14ac:dyDescent="0.15">
      <c r="A13">
        <v>12</v>
      </c>
      <c r="B13">
        <f>'[1]普通怪-防御'!$C$13</f>
        <v>1750</v>
      </c>
      <c r="C13">
        <f t="shared" si="0"/>
        <v>250</v>
      </c>
      <c r="D13">
        <f>'[1]普通怪-防御'!$D$13</f>
        <v>180</v>
      </c>
      <c r="E13">
        <f>'[1]普通怪-防御'!$E$13</f>
        <v>192</v>
      </c>
      <c r="F13">
        <f>ROUND('[1]普通怪-防御'!$F$13*1000,0)</f>
        <v>0</v>
      </c>
      <c r="G13">
        <f>ROUND('[1]普通怪-防御'!$H$13*100,0)</f>
        <v>70</v>
      </c>
      <c r="H13">
        <f>'[1]普通怪-防御'!$I$13</f>
        <v>164</v>
      </c>
      <c r="I13">
        <f>'[1]普通怪-防御'!$J$13</f>
        <v>54</v>
      </c>
    </row>
    <row r="14" spans="1:9" x14ac:dyDescent="0.15">
      <c r="A14">
        <v>13</v>
      </c>
      <c r="B14">
        <f>'[1]普通怪-防御'!$C$14</f>
        <v>2050</v>
      </c>
      <c r="C14">
        <f t="shared" si="0"/>
        <v>300</v>
      </c>
      <c r="D14">
        <f>'[1]普通怪-防御'!$D$14</f>
        <v>211</v>
      </c>
      <c r="E14">
        <f>'[1]普通怪-防御'!$E$14</f>
        <v>222</v>
      </c>
      <c r="F14">
        <f>ROUND('[1]普通怪-防御'!$F$14*1000,0)</f>
        <v>0</v>
      </c>
      <c r="G14">
        <f>ROUND('[1]普通怪-防御'!$H$14*100,0)</f>
        <v>70</v>
      </c>
      <c r="H14">
        <f>'[1]普通怪-防御'!$I$14</f>
        <v>190</v>
      </c>
      <c r="I14">
        <f>'[1]普通怪-防御'!$J$14</f>
        <v>63</v>
      </c>
    </row>
    <row r="15" spans="1:9" x14ac:dyDescent="0.15">
      <c r="A15">
        <v>14</v>
      </c>
      <c r="B15">
        <f>'[1]普通怪-防御'!$C$15</f>
        <v>2400</v>
      </c>
      <c r="C15">
        <f t="shared" si="0"/>
        <v>350</v>
      </c>
      <c r="D15">
        <f>'[1]普通怪-防御'!$D$15</f>
        <v>341</v>
      </c>
      <c r="E15">
        <f>'[1]普通怪-防御'!$E$15</f>
        <v>255</v>
      </c>
      <c r="F15">
        <f>ROUND('[1]普通怪-防御'!$F$15*1000,0)</f>
        <v>0</v>
      </c>
      <c r="G15">
        <f>ROUND('[1]普通怪-防御'!$H$15*100,0)</f>
        <v>70</v>
      </c>
      <c r="H15">
        <f>'[1]普通怪-防御'!$I$15</f>
        <v>219</v>
      </c>
      <c r="I15">
        <f>'[1]普通怪-防御'!$J$15</f>
        <v>102</v>
      </c>
    </row>
    <row r="16" spans="1:9" x14ac:dyDescent="0.15">
      <c r="A16">
        <v>15</v>
      </c>
      <c r="B16">
        <f>'[1]普通怪-防御'!$C$16</f>
        <v>2850</v>
      </c>
      <c r="C16">
        <f t="shared" si="0"/>
        <v>450</v>
      </c>
      <c r="D16">
        <f>'[1]普通怪-防御'!$D$16</f>
        <v>422</v>
      </c>
      <c r="E16">
        <f>'[1]普通怪-防御'!$E$16</f>
        <v>292</v>
      </c>
      <c r="F16">
        <f>ROUND('[1]普通怪-防御'!$F$16*1000,0)</f>
        <v>0</v>
      </c>
      <c r="G16">
        <f>ROUND('[1]普通怪-防御'!$H$16*100,0)</f>
        <v>70</v>
      </c>
      <c r="H16">
        <f>'[1]普通怪-防御'!$I$16</f>
        <v>251</v>
      </c>
      <c r="I16">
        <f>'[1]普通怪-防御'!$J$16</f>
        <v>127</v>
      </c>
    </row>
    <row r="17" spans="1:9" x14ac:dyDescent="0.15">
      <c r="A17">
        <v>16</v>
      </c>
      <c r="B17">
        <f>'[1]普通怪-防御'!$C$17</f>
        <v>3350</v>
      </c>
      <c r="C17">
        <f t="shared" si="0"/>
        <v>500</v>
      </c>
      <c r="D17">
        <f>'[1]普通怪-防御'!$D$17</f>
        <v>637</v>
      </c>
      <c r="E17">
        <f>'[1]普通怪-防御'!$E$17</f>
        <v>333</v>
      </c>
      <c r="F17">
        <f>ROUND('[1]普通怪-防御'!$F$17*1000,0)</f>
        <v>0</v>
      </c>
      <c r="G17">
        <f>ROUND('[1]普通怪-防御'!$H$17*100,0)</f>
        <v>70</v>
      </c>
      <c r="H17">
        <f>'[1]普通怪-防御'!$I$17</f>
        <v>287</v>
      </c>
      <c r="I17">
        <f>'[1]普通怪-防御'!$J$17</f>
        <v>191</v>
      </c>
    </row>
    <row r="18" spans="1:9" x14ac:dyDescent="0.15">
      <c r="A18">
        <v>17</v>
      </c>
      <c r="B18">
        <f>'[1]普通怪-防御'!$C$18</f>
        <v>3900</v>
      </c>
      <c r="C18">
        <f t="shared" si="0"/>
        <v>550</v>
      </c>
      <c r="D18">
        <f>'[1]普通怪-防御'!$D$18</f>
        <v>754</v>
      </c>
      <c r="E18">
        <f>'[1]普通怪-防御'!$E$18</f>
        <v>379</v>
      </c>
      <c r="F18">
        <f>ROUND('[1]普通怪-防御'!$F$18*1000,0)</f>
        <v>0</v>
      </c>
      <c r="G18">
        <f>ROUND('[1]普通怪-防御'!$H$18*100,0)</f>
        <v>70</v>
      </c>
      <c r="H18">
        <f>'[1]普通怪-防御'!$I$18</f>
        <v>327</v>
      </c>
      <c r="I18">
        <f>'[1]普通怪-防御'!$J$18</f>
        <v>226</v>
      </c>
    </row>
    <row r="19" spans="1:9" x14ac:dyDescent="0.15">
      <c r="A19">
        <v>18</v>
      </c>
      <c r="B19">
        <f>'[1]普通怪-防御'!$C$19</f>
        <v>4550</v>
      </c>
      <c r="C19">
        <f t="shared" si="0"/>
        <v>650</v>
      </c>
      <c r="D19">
        <f>'[1]普通怪-防御'!$D$19</f>
        <v>901</v>
      </c>
      <c r="E19">
        <f>'[1]普通怪-防御'!$E$19</f>
        <v>430</v>
      </c>
      <c r="F19">
        <f>ROUND('[1]普通怪-防御'!$F$19*1000,0)</f>
        <v>0</v>
      </c>
      <c r="G19">
        <f>ROUND('[1]普通怪-防御'!$H$19*100,0)</f>
        <v>70</v>
      </c>
      <c r="H19">
        <f>'[1]普通怪-防御'!$I$19</f>
        <v>371</v>
      </c>
      <c r="I19">
        <f>'[1]普通怪-防御'!$J$19</f>
        <v>270</v>
      </c>
    </row>
    <row r="20" spans="1:9" x14ac:dyDescent="0.15">
      <c r="A20">
        <v>19</v>
      </c>
      <c r="B20">
        <f>'[1]普通怪-防御'!$C$20</f>
        <v>5500</v>
      </c>
      <c r="C20">
        <f t="shared" si="0"/>
        <v>950</v>
      </c>
      <c r="D20">
        <f>'[1]普通怪-防御'!$D$20</f>
        <v>1358</v>
      </c>
      <c r="E20">
        <f>'[1]普通怪-防御'!$E$20</f>
        <v>487</v>
      </c>
      <c r="F20">
        <f>ROUND('[1]普通怪-防御'!$F$20*1000,0)</f>
        <v>0</v>
      </c>
      <c r="G20">
        <f>ROUND('[1]普通怪-防御'!$H$20*100,0)</f>
        <v>70</v>
      </c>
      <c r="H20">
        <f>'[1]普通怪-防御'!$I$20</f>
        <v>420</v>
      </c>
      <c r="I20">
        <f>'[1]普通怪-防御'!$J$20</f>
        <v>407</v>
      </c>
    </row>
    <row r="21" spans="1:9" x14ac:dyDescent="0.15">
      <c r="A21">
        <v>20</v>
      </c>
      <c r="B21">
        <f>'[1]普通怪-防御'!$C$21</f>
        <v>6600</v>
      </c>
      <c r="C21">
        <f t="shared" si="0"/>
        <v>1100</v>
      </c>
      <c r="D21">
        <f>'[1]普通怪-防御'!$D$21</f>
        <v>1863</v>
      </c>
      <c r="E21">
        <f>'[1]普通怪-防御'!$E$21</f>
        <v>600</v>
      </c>
      <c r="F21">
        <f>ROUND('[1]普通怪-防御'!$F$21*1000,0)</f>
        <v>0</v>
      </c>
      <c r="G21">
        <f>ROUND('[1]普通怪-防御'!$H$21*100,0)</f>
        <v>70</v>
      </c>
      <c r="H21">
        <f>'[1]普通怪-防御'!$I$21</f>
        <v>475</v>
      </c>
      <c r="I21">
        <f>'[1]普通怪-防御'!$J$21</f>
        <v>559</v>
      </c>
    </row>
    <row r="22" spans="1:9" x14ac:dyDescent="0.15">
      <c r="A22">
        <v>21</v>
      </c>
      <c r="B22">
        <f>'[1]普通怪-防御'!$C$22</f>
        <v>9450</v>
      </c>
      <c r="C22">
        <f t="shared" si="0"/>
        <v>2850</v>
      </c>
      <c r="D22">
        <f>'[1]普通怪-防御'!$D$22</f>
        <v>2605</v>
      </c>
      <c r="E22">
        <f>'[1]普通怪-防御'!$E$22</f>
        <v>764</v>
      </c>
      <c r="F22">
        <f>ROUND('[1]普通怪-防御'!$F$22*1000,0)</f>
        <v>0</v>
      </c>
      <c r="G22">
        <f>ROUND('[1]普通怪-防御'!$H$22*100,0)</f>
        <v>70</v>
      </c>
      <c r="H22">
        <f>'[1]普通怪-防御'!$I$22</f>
        <v>558</v>
      </c>
      <c r="I22">
        <f>'[1]普通怪-防御'!$J$22</f>
        <v>782</v>
      </c>
    </row>
    <row r="23" spans="1:9" x14ac:dyDescent="0.15">
      <c r="A23">
        <v>22</v>
      </c>
      <c r="B23">
        <f>'[1]普通怪-防御'!$C$23</f>
        <v>12800</v>
      </c>
      <c r="C23">
        <f t="shared" si="0"/>
        <v>3350</v>
      </c>
      <c r="D23">
        <f>'[1]普通怪-防御'!$D$23</f>
        <v>4084</v>
      </c>
      <c r="E23">
        <f>'[1]普通怪-防御'!$E$23</f>
        <v>1032</v>
      </c>
      <c r="F23">
        <f>ROUND('[1]普通怪-防御'!$F$23*1000,0)</f>
        <v>0</v>
      </c>
      <c r="G23">
        <f>ROUND('[1]普通怪-防御'!$H$23*100,0)</f>
        <v>70</v>
      </c>
      <c r="H23">
        <f>'[1]普通怪-防御'!$I$23</f>
        <v>683</v>
      </c>
      <c r="I23">
        <f>'[1]普通怪-防御'!$J$23</f>
        <v>1225</v>
      </c>
    </row>
    <row r="24" spans="1:9" x14ac:dyDescent="0.15">
      <c r="A24">
        <v>23</v>
      </c>
      <c r="B24">
        <f>'[1]普通怪-防御'!$C$24</f>
        <v>17400</v>
      </c>
      <c r="C24">
        <f t="shared" si="0"/>
        <v>4600</v>
      </c>
      <c r="D24">
        <f>'[1]普通怪-防御'!$D$24</f>
        <v>5623</v>
      </c>
      <c r="E24">
        <f>'[1]普通怪-防御'!$E$24</f>
        <v>1400</v>
      </c>
      <c r="F24">
        <f>ROUND('[1]普通怪-防御'!$F$24*1000,0)</f>
        <v>0</v>
      </c>
      <c r="G24">
        <f>ROUND('[1]普通怪-防御'!$H$24*100,0)</f>
        <v>70</v>
      </c>
      <c r="H24">
        <f>'[1]普通怪-防御'!$I$24</f>
        <v>871</v>
      </c>
      <c r="I24">
        <f>'[1]普通怪-防御'!$J$24</f>
        <v>1687</v>
      </c>
    </row>
    <row r="25" spans="1:9" x14ac:dyDescent="0.15">
      <c r="A25">
        <v>24</v>
      </c>
      <c r="B25">
        <f>'[1]普通怪-防御'!$C$25</f>
        <v>23250</v>
      </c>
      <c r="C25">
        <f t="shared" si="0"/>
        <v>5850</v>
      </c>
      <c r="D25">
        <f>'[1]普通怪-防御'!$D$25</f>
        <v>7531</v>
      </c>
      <c r="E25">
        <f>'[1]普通怪-防御'!$E$25</f>
        <v>1868</v>
      </c>
      <c r="F25">
        <f>ROUND('[1]普通怪-防御'!$F$25*1000,0)</f>
        <v>0</v>
      </c>
      <c r="G25">
        <f>ROUND('[1]普通怪-防御'!$H$25*100,0)</f>
        <v>70</v>
      </c>
      <c r="H25">
        <f>'[1]普通怪-防御'!$I$25</f>
        <v>1153</v>
      </c>
      <c r="I25">
        <f>'[1]普通怪-防御'!$J$25</f>
        <v>2259</v>
      </c>
    </row>
    <row r="26" spans="1:9" x14ac:dyDescent="0.15">
      <c r="A26">
        <v>25</v>
      </c>
      <c r="B26">
        <f>'[1]普通怪-防御'!$C$26</f>
        <v>30750</v>
      </c>
      <c r="C26">
        <f t="shared" si="0"/>
        <v>7500</v>
      </c>
      <c r="D26">
        <f>'[1]普通怪-防御'!$D$26</f>
        <v>9908</v>
      </c>
      <c r="E26">
        <f>'[1]普通怪-防御'!$E$26</f>
        <v>2468</v>
      </c>
      <c r="F26">
        <f>ROUND('[1]普通怪-防御'!$F$26*1000,0)</f>
        <v>0</v>
      </c>
      <c r="G26">
        <f>ROUND('[1]普通怪-防御'!$H$26*100,0)</f>
        <v>70</v>
      </c>
      <c r="H26">
        <f>'[1]普通怪-防御'!$I$26</f>
        <v>1576</v>
      </c>
      <c r="I26">
        <f>'[1]普通怪-防御'!$J$26</f>
        <v>2972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'[1]精英怪-攻击'!$C$2</f>
        <v>50</v>
      </c>
      <c r="C2">
        <f>B2-0</f>
        <v>50</v>
      </c>
      <c r="D2">
        <f>'[1]精英怪-攻击'!$D$2</f>
        <v>32</v>
      </c>
      <c r="E2">
        <f>'[1]精英怪-攻击'!$E$2</f>
        <v>8</v>
      </c>
      <c r="F2">
        <f>ROUND('[1]精英怪-攻击'!$F$2 *1000,0)</f>
        <v>0</v>
      </c>
      <c r="G2">
        <f>ROUND('[1]精英怪-攻击'!$H$2 *100,0)</f>
        <v>100</v>
      </c>
      <c r="H2">
        <f>'[1]精英怪-攻击'!$I$2</f>
        <v>7</v>
      </c>
      <c r="I2">
        <f>'[1]精英怪-攻击'!$J$2</f>
        <v>10</v>
      </c>
    </row>
    <row r="3" spans="1:9" x14ac:dyDescent="0.15">
      <c r="A3">
        <v>2</v>
      </c>
      <c r="B3">
        <f>'[1]精英怪-攻击'!$C$3</f>
        <v>100</v>
      </c>
      <c r="C3">
        <f>B3-B2</f>
        <v>50</v>
      </c>
      <c r="D3">
        <f>'[1]精英怪-攻击'!$D$3</f>
        <v>36</v>
      </c>
      <c r="E3">
        <f>'[1]精英怪-攻击'!$E$3</f>
        <v>14</v>
      </c>
      <c r="F3">
        <f>ROUND('[1]精英怪-攻击'!$F$3 *1000,0)</f>
        <v>0</v>
      </c>
      <c r="G3">
        <f>ROUND('[1]精英怪-攻击'!$H$3 *100,0)</f>
        <v>100</v>
      </c>
      <c r="H3">
        <f>'[1]精英怪-攻击'!$I$3</f>
        <v>11</v>
      </c>
      <c r="I3">
        <f>'[1]精英怪-攻击'!$J$3</f>
        <v>11</v>
      </c>
    </row>
    <row r="4" spans="1:9" x14ac:dyDescent="0.15">
      <c r="A4">
        <v>3</v>
      </c>
      <c r="B4">
        <f>'[1]精英怪-攻击'!$C$4</f>
        <v>150</v>
      </c>
      <c r="C4">
        <f t="shared" ref="C4:C26" si="0">B4-B3</f>
        <v>50</v>
      </c>
      <c r="D4">
        <f>'[1]精英怪-攻击'!$D$4</f>
        <v>36</v>
      </c>
      <c r="E4">
        <f>'[1]精英怪-攻击'!$E$4</f>
        <v>22</v>
      </c>
      <c r="F4">
        <f>ROUND('[1]精英怪-攻击'!$F$4 *1000,0)</f>
        <v>3</v>
      </c>
      <c r="G4">
        <f>ROUND('[1]精英怪-攻击'!$H$4 *100,0)</f>
        <v>100</v>
      </c>
      <c r="H4">
        <f>'[1]精英怪-攻击'!$I$4</f>
        <v>16</v>
      </c>
      <c r="I4">
        <f>'[1]精英怪-攻击'!$J$4</f>
        <v>11</v>
      </c>
    </row>
    <row r="5" spans="1:9" x14ac:dyDescent="0.15">
      <c r="A5">
        <v>4</v>
      </c>
      <c r="B5">
        <f>'[1]精英怪-攻击'!$C$5</f>
        <v>250</v>
      </c>
      <c r="C5">
        <f t="shared" si="0"/>
        <v>100</v>
      </c>
      <c r="D5">
        <f>'[1]精英怪-攻击'!$D$5</f>
        <v>49</v>
      </c>
      <c r="E5">
        <f>'[1]精英怪-攻击'!$E$5</f>
        <v>32</v>
      </c>
      <c r="F5">
        <f>ROUND('[1]精英怪-攻击'!$F$5 *1000,0)</f>
        <v>3</v>
      </c>
      <c r="G5">
        <f>ROUND('[1]精英怪-攻击'!$H$5 *100,0)</f>
        <v>100</v>
      </c>
      <c r="H5">
        <f>'[1]精英怪-攻击'!$I$5</f>
        <v>22</v>
      </c>
      <c r="I5">
        <f>'[1]精英怪-攻击'!$J$5</f>
        <v>15</v>
      </c>
    </row>
    <row r="6" spans="1:9" x14ac:dyDescent="0.15">
      <c r="A6">
        <v>5</v>
      </c>
      <c r="B6">
        <f>'[1]精英怪-攻击'!$C$6</f>
        <v>350</v>
      </c>
      <c r="C6">
        <f t="shared" si="0"/>
        <v>100</v>
      </c>
      <c r="D6">
        <f>'[1]精英怪-攻击'!$D$6</f>
        <v>57</v>
      </c>
      <c r="E6">
        <f>'[1]精英怪-攻击'!$E$6</f>
        <v>45</v>
      </c>
      <c r="F6">
        <f>ROUND('[1]精英怪-攻击'!$F$6 *1000,0)</f>
        <v>5</v>
      </c>
      <c r="G6">
        <f>ROUND('[1]精英怪-攻击'!$H$6 *100,0)</f>
        <v>100</v>
      </c>
      <c r="H6">
        <f>'[1]精英怪-攻击'!$I$6</f>
        <v>29</v>
      </c>
      <c r="I6">
        <f>'[1]精英怪-攻击'!$J$6</f>
        <v>17</v>
      </c>
    </row>
    <row r="7" spans="1:9" x14ac:dyDescent="0.15">
      <c r="A7">
        <v>6</v>
      </c>
      <c r="B7">
        <f>'[1]精英怪-攻击'!$C$7</f>
        <v>500</v>
      </c>
      <c r="C7">
        <f t="shared" si="0"/>
        <v>150</v>
      </c>
      <c r="D7">
        <f>'[1]精英怪-攻击'!$D$7</f>
        <v>78</v>
      </c>
      <c r="E7">
        <f>'[1]精英怪-攻击'!$E$7</f>
        <v>60</v>
      </c>
      <c r="F7">
        <f>ROUND('[1]精英怪-攻击'!$F$7 *1000,0)</f>
        <v>10</v>
      </c>
      <c r="G7">
        <f>ROUND('[1]精英怪-攻击'!$H$7 *100,0)</f>
        <v>100</v>
      </c>
      <c r="H7">
        <f>'[1]精英怪-攻击'!$I$7</f>
        <v>37</v>
      </c>
      <c r="I7">
        <f>'[1]精英怪-攻击'!$J$7</f>
        <v>23</v>
      </c>
    </row>
    <row r="8" spans="1:9" x14ac:dyDescent="0.15">
      <c r="A8">
        <v>7</v>
      </c>
      <c r="B8">
        <f>'[1]精英怪-攻击'!$C$8</f>
        <v>650</v>
      </c>
      <c r="C8">
        <f t="shared" si="0"/>
        <v>150</v>
      </c>
      <c r="D8">
        <f>'[1]精英怪-攻击'!$D$8</f>
        <v>74</v>
      </c>
      <c r="E8">
        <f>'[1]精英怪-攻击'!$E$8</f>
        <v>92</v>
      </c>
      <c r="F8">
        <f>ROUND('[1]精英怪-攻击'!$F$8 *1000,0)</f>
        <v>15</v>
      </c>
      <c r="G8">
        <f>ROUND('[1]精英怪-攻击'!$H$8 *100,0)</f>
        <v>100</v>
      </c>
      <c r="H8">
        <f>'[1]精英怪-攻击'!$I$8</f>
        <v>46</v>
      </c>
      <c r="I8">
        <f>'[1]精英怪-攻击'!$J$8</f>
        <v>22</v>
      </c>
    </row>
    <row r="9" spans="1:9" x14ac:dyDescent="0.15">
      <c r="A9">
        <v>8</v>
      </c>
      <c r="B9">
        <f>'[1]精英怪-攻击'!$C$9</f>
        <v>850</v>
      </c>
      <c r="C9">
        <f t="shared" si="0"/>
        <v>200</v>
      </c>
      <c r="D9">
        <f>'[1]精英怪-攻击'!$D$9</f>
        <v>123</v>
      </c>
      <c r="E9">
        <f>'[1]精英怪-攻击'!$E$9</f>
        <v>130</v>
      </c>
      <c r="F9">
        <f>ROUND('[1]精英怪-攻击'!$F$9 *1000,0)</f>
        <v>25</v>
      </c>
      <c r="G9">
        <f>ROUND('[1]精英怪-攻击'!$H$9 *100,0)</f>
        <v>100</v>
      </c>
      <c r="H9">
        <f>'[1]精英怪-攻击'!$I$9</f>
        <v>56</v>
      </c>
      <c r="I9">
        <f>'[1]精英怪-攻击'!$J$9</f>
        <v>37</v>
      </c>
    </row>
    <row r="10" spans="1:9" x14ac:dyDescent="0.15">
      <c r="A10">
        <v>9</v>
      </c>
      <c r="B10">
        <f>'[1]精英怪-攻击'!$C$10</f>
        <v>1050</v>
      </c>
      <c r="C10">
        <f t="shared" si="0"/>
        <v>200</v>
      </c>
      <c r="D10">
        <f>'[1]精英怪-攻击'!$D$10</f>
        <v>138</v>
      </c>
      <c r="E10">
        <f>'[1]精英怪-攻击'!$E$10</f>
        <v>165</v>
      </c>
      <c r="F10">
        <f>ROUND('[1]精英怪-攻击'!$F$10*1000,0)</f>
        <v>29</v>
      </c>
      <c r="G10">
        <f>ROUND('[1]精英怪-攻击'!$H$10*100,0)</f>
        <v>100</v>
      </c>
      <c r="H10">
        <f>'[1]精英怪-攻击'!$I$10</f>
        <v>67</v>
      </c>
      <c r="I10">
        <f>'[1]精英怪-攻击'!$J$10</f>
        <v>41</v>
      </c>
    </row>
    <row r="11" spans="1:9" x14ac:dyDescent="0.15">
      <c r="A11">
        <v>10</v>
      </c>
      <c r="B11">
        <f>'[1]精英怪-攻击'!$C$11</f>
        <v>1250</v>
      </c>
      <c r="C11">
        <f t="shared" si="0"/>
        <v>200</v>
      </c>
      <c r="D11">
        <f>'[1]精英怪-攻击'!$D$11</f>
        <v>148</v>
      </c>
      <c r="E11">
        <f>'[1]精英怪-攻击'!$E$11</f>
        <v>203</v>
      </c>
      <c r="F11">
        <f>ROUND('[1]精英怪-攻击'!$F$11*1000,0)</f>
        <v>37</v>
      </c>
      <c r="G11">
        <f>ROUND('[1]精英怪-攻击'!$H$11*100,0)</f>
        <v>100</v>
      </c>
      <c r="H11">
        <f>'[1]精英怪-攻击'!$I$11</f>
        <v>79</v>
      </c>
      <c r="I11">
        <f>'[1]精英怪-攻击'!$J$11</f>
        <v>44</v>
      </c>
    </row>
    <row r="12" spans="1:9" x14ac:dyDescent="0.15">
      <c r="A12">
        <v>11</v>
      </c>
      <c r="B12">
        <f>'[1]精英怪-攻击'!$C$12</f>
        <v>1500</v>
      </c>
      <c r="C12">
        <f t="shared" si="0"/>
        <v>250</v>
      </c>
      <c r="D12">
        <f>'[1]精英怪-攻击'!$D$12</f>
        <v>254</v>
      </c>
      <c r="E12">
        <f>'[1]精英怪-攻击'!$E$12</f>
        <v>238</v>
      </c>
      <c r="F12">
        <f>ROUND('[1]精英怪-攻击'!$F$12*1000,0)</f>
        <v>46</v>
      </c>
      <c r="G12">
        <f>ROUND('[1]精英怪-攻击'!$H$12*100,0)</f>
        <v>100</v>
      </c>
      <c r="H12">
        <f>'[1]精英怪-攻击'!$I$12</f>
        <v>92</v>
      </c>
      <c r="I12">
        <f>'[1]精英怪-攻击'!$J$12</f>
        <v>76</v>
      </c>
    </row>
    <row r="13" spans="1:9" x14ac:dyDescent="0.15">
      <c r="A13">
        <v>12</v>
      </c>
      <c r="B13">
        <f>'[1]精英怪-攻击'!$C$13</f>
        <v>1750</v>
      </c>
      <c r="C13">
        <f t="shared" si="0"/>
        <v>250</v>
      </c>
      <c r="D13">
        <f>'[1]精英怪-攻击'!$D$13</f>
        <v>289</v>
      </c>
      <c r="E13">
        <f>'[1]精英怪-攻击'!$E$13</f>
        <v>277</v>
      </c>
      <c r="F13">
        <f>ROUND('[1]精英怪-攻击'!$F$13*1000,0)</f>
        <v>55</v>
      </c>
      <c r="G13">
        <f>ROUND('[1]精英怪-攻击'!$H$13*100,0)</f>
        <v>100</v>
      </c>
      <c r="H13">
        <f>'[1]精英怪-攻击'!$I$13</f>
        <v>106</v>
      </c>
      <c r="I13">
        <f>'[1]精英怪-攻击'!$J$13</f>
        <v>87</v>
      </c>
    </row>
    <row r="14" spans="1:9" x14ac:dyDescent="0.15">
      <c r="A14">
        <v>13</v>
      </c>
      <c r="B14">
        <f>'[1]精英怪-攻击'!$C$14</f>
        <v>2050</v>
      </c>
      <c r="C14">
        <f t="shared" si="0"/>
        <v>300</v>
      </c>
      <c r="D14">
        <f>'[1]精英怪-攻击'!$D$14</f>
        <v>336</v>
      </c>
      <c r="E14">
        <f>'[1]精英怪-攻击'!$E$14</f>
        <v>320</v>
      </c>
      <c r="F14">
        <f>ROUND('[1]精英怪-攻击'!$F$14*1000,0)</f>
        <v>65</v>
      </c>
      <c r="G14">
        <f>ROUND('[1]精英怪-攻击'!$H$14*100,0)</f>
        <v>100</v>
      </c>
      <c r="H14">
        <f>'[1]精英怪-攻击'!$I$14</f>
        <v>122</v>
      </c>
      <c r="I14">
        <f>'[1]精英怪-攻击'!$J$14</f>
        <v>101</v>
      </c>
    </row>
    <row r="15" spans="1:9" x14ac:dyDescent="0.15">
      <c r="A15">
        <v>14</v>
      </c>
      <c r="B15">
        <f>'[1]精英怪-攻击'!$C$15</f>
        <v>2400</v>
      </c>
      <c r="C15">
        <f t="shared" si="0"/>
        <v>350</v>
      </c>
      <c r="D15">
        <f>'[1]精英怪-攻击'!$D$15</f>
        <v>514</v>
      </c>
      <c r="E15">
        <f>'[1]精英怪-攻击'!$E$15</f>
        <v>368</v>
      </c>
      <c r="F15">
        <f>ROUND('[1]精英怪-攻击'!$F$15*1000,0)</f>
        <v>76</v>
      </c>
      <c r="G15">
        <f>ROUND('[1]精英怪-攻击'!$H$15*100,0)</f>
        <v>100</v>
      </c>
      <c r="H15">
        <f>'[1]精英怪-攻击'!$I$15</f>
        <v>140</v>
      </c>
      <c r="I15">
        <f>'[1]精英怪-攻击'!$J$15</f>
        <v>154</v>
      </c>
    </row>
    <row r="16" spans="1:9" x14ac:dyDescent="0.15">
      <c r="A16">
        <v>15</v>
      </c>
      <c r="B16">
        <f>'[1]精英怪-攻击'!$C$16</f>
        <v>2850</v>
      </c>
      <c r="C16">
        <f t="shared" si="0"/>
        <v>450</v>
      </c>
      <c r="D16">
        <f>'[1]精英怪-攻击'!$D$16</f>
        <v>625</v>
      </c>
      <c r="E16">
        <f>'[1]精英怪-攻击'!$E$16</f>
        <v>421</v>
      </c>
      <c r="F16">
        <f>ROUND('[1]精英怪-攻击'!$F$16*1000,0)</f>
        <v>89</v>
      </c>
      <c r="G16">
        <f>ROUND('[1]精英怪-攻击'!$H$16*100,0)</f>
        <v>100</v>
      </c>
      <c r="H16">
        <f>'[1]精英怪-攻击'!$I$16</f>
        <v>160</v>
      </c>
      <c r="I16">
        <f>'[1]精英怪-攻击'!$J$16</f>
        <v>188</v>
      </c>
    </row>
    <row r="17" spans="1:9" x14ac:dyDescent="0.15">
      <c r="A17">
        <v>16</v>
      </c>
      <c r="B17">
        <f>'[1]精英怪-攻击'!$C$17</f>
        <v>3350</v>
      </c>
      <c r="C17">
        <f t="shared" si="0"/>
        <v>500</v>
      </c>
      <c r="D17">
        <f>'[1]精英怪-攻击'!$D$17</f>
        <v>915</v>
      </c>
      <c r="E17">
        <f>'[1]精英怪-攻击'!$E$17</f>
        <v>480</v>
      </c>
      <c r="F17">
        <f>ROUND('[1]精英怪-攻击'!$F$17*1000,0)</f>
        <v>100</v>
      </c>
      <c r="G17">
        <f>ROUND('[1]精英怪-攻击'!$H$17*100,0)</f>
        <v>100</v>
      </c>
      <c r="H17">
        <f>'[1]精英怪-攻击'!$I$17</f>
        <v>182</v>
      </c>
      <c r="I17">
        <f>'[1]精英怪-攻击'!$J$17</f>
        <v>275</v>
      </c>
    </row>
    <row r="18" spans="1:9" x14ac:dyDescent="0.15">
      <c r="A18">
        <v>17</v>
      </c>
      <c r="B18">
        <f>'[1]精英怪-攻击'!$C$18</f>
        <v>3900</v>
      </c>
      <c r="C18">
        <f t="shared" si="0"/>
        <v>550</v>
      </c>
      <c r="D18">
        <f>'[1]精英怪-攻击'!$D$18</f>
        <v>1074</v>
      </c>
      <c r="E18">
        <f>'[1]精英怪-攻击'!$E$18</f>
        <v>546</v>
      </c>
      <c r="F18">
        <f>ROUND('[1]精英怪-攻击'!$F$18*1000,0)</f>
        <v>111</v>
      </c>
      <c r="G18">
        <f>ROUND('[1]精英怪-攻击'!$H$18*100,0)</f>
        <v>100</v>
      </c>
      <c r="H18">
        <f>'[1]精英怪-攻击'!$I$18</f>
        <v>207</v>
      </c>
      <c r="I18">
        <f>'[1]精英怪-攻击'!$J$18</f>
        <v>322</v>
      </c>
    </row>
    <row r="19" spans="1:9" x14ac:dyDescent="0.15">
      <c r="A19">
        <v>18</v>
      </c>
      <c r="B19">
        <f>'[1]精英怪-攻击'!$C$19</f>
        <v>4550</v>
      </c>
      <c r="C19">
        <f t="shared" si="0"/>
        <v>650</v>
      </c>
      <c r="D19">
        <f>'[1]精英怪-攻击'!$D$19</f>
        <v>1268</v>
      </c>
      <c r="E19">
        <f>'[1]精英怪-攻击'!$E$19</f>
        <v>619</v>
      </c>
      <c r="F19">
        <f>ROUND('[1]精英怪-攻击'!$F$19*1000,0)</f>
        <v>125</v>
      </c>
      <c r="G19">
        <f>ROUND('[1]精英怪-攻击'!$H$19*100,0)</f>
        <v>100</v>
      </c>
      <c r="H19">
        <f>'[1]精英怪-攻击'!$I$19</f>
        <v>235</v>
      </c>
      <c r="I19">
        <f>'[1]精英怪-攻击'!$J$19</f>
        <v>380</v>
      </c>
    </row>
    <row r="20" spans="1:9" x14ac:dyDescent="0.15">
      <c r="A20">
        <v>19</v>
      </c>
      <c r="B20">
        <f>'[1]精英怪-攻击'!$C$20</f>
        <v>5500</v>
      </c>
      <c r="C20">
        <f t="shared" si="0"/>
        <v>950</v>
      </c>
      <c r="D20">
        <f>'[1]精英怪-攻击'!$D$20</f>
        <v>1884</v>
      </c>
      <c r="E20">
        <f>'[1]精英怪-攻击'!$E$20</f>
        <v>700</v>
      </c>
      <c r="F20">
        <f>ROUND('[1]精英怪-攻击'!$F$20*1000,0)</f>
        <v>130</v>
      </c>
      <c r="G20">
        <f>ROUND('[1]精英怪-攻击'!$H$20*100,0)</f>
        <v>100</v>
      </c>
      <c r="H20">
        <f>'[1]精英怪-攻击'!$I$20</f>
        <v>266</v>
      </c>
      <c r="I20">
        <f>'[1]精英怪-攻击'!$J$20</f>
        <v>565</v>
      </c>
    </row>
    <row r="21" spans="1:9" x14ac:dyDescent="0.15">
      <c r="A21">
        <v>20</v>
      </c>
      <c r="B21">
        <f>'[1]精英怪-攻击'!$C$21</f>
        <v>6600</v>
      </c>
      <c r="C21">
        <f t="shared" si="0"/>
        <v>1100</v>
      </c>
      <c r="D21">
        <f>'[1]精英怪-攻击'!$D$21</f>
        <v>2529</v>
      </c>
      <c r="E21">
        <f>'[1]精英怪-攻击'!$E$21</f>
        <v>830</v>
      </c>
      <c r="F21">
        <f>ROUND('[1]精英怪-攻击'!$F$21*1000,0)</f>
        <v>180</v>
      </c>
      <c r="G21">
        <f>ROUND('[1]精英怪-攻击'!$H$21*100,0)</f>
        <v>100</v>
      </c>
      <c r="H21">
        <f>'[1]精英怪-攻击'!$I$21</f>
        <v>300</v>
      </c>
      <c r="I21">
        <f>'[1]精英怪-攻击'!$J$21</f>
        <v>759</v>
      </c>
    </row>
    <row r="22" spans="1:9" x14ac:dyDescent="0.15">
      <c r="A22">
        <v>21</v>
      </c>
      <c r="B22">
        <f>'[1]精英怪-攻击'!$C$22</f>
        <v>9450</v>
      </c>
      <c r="C22">
        <f t="shared" si="0"/>
        <v>2850</v>
      </c>
      <c r="D22">
        <f>'[1]精英怪-攻击'!$D$22</f>
        <v>3556</v>
      </c>
      <c r="E22">
        <f>'[1]精英怪-攻击'!$E$22</f>
        <v>1012</v>
      </c>
      <c r="F22">
        <f>ROUND('[1]精英怪-攻击'!$F$22*1000,0)</f>
        <v>180</v>
      </c>
      <c r="G22">
        <f>ROUND('[1]精英怪-攻击'!$H$22*100,0)</f>
        <v>100</v>
      </c>
      <c r="H22">
        <f>'[1]精英怪-攻击'!$I$22</f>
        <v>354</v>
      </c>
      <c r="I22">
        <f>'[1]精英怪-攻击'!$J$22</f>
        <v>1067</v>
      </c>
    </row>
    <row r="23" spans="1:9" x14ac:dyDescent="0.15">
      <c r="A23">
        <v>22</v>
      </c>
      <c r="B23">
        <f>'[1]精英怪-攻击'!$C$23</f>
        <v>12800</v>
      </c>
      <c r="C23">
        <f t="shared" si="0"/>
        <v>3350</v>
      </c>
      <c r="D23">
        <f>'[1]精英怪-攻击'!$D$23</f>
        <v>5638</v>
      </c>
      <c r="E23">
        <f>'[1]精英怪-攻击'!$E$23</f>
        <v>1267</v>
      </c>
      <c r="F23">
        <f>ROUND('[1]精英怪-攻击'!$F$23*1000,0)</f>
        <v>180</v>
      </c>
      <c r="G23">
        <f>ROUND('[1]精英怪-攻击'!$H$23*100,0)</f>
        <v>100</v>
      </c>
      <c r="H23">
        <f>'[1]精英怪-攻击'!$I$23</f>
        <v>440</v>
      </c>
      <c r="I23">
        <f>'[1]精英怪-攻击'!$J$23</f>
        <v>1691</v>
      </c>
    </row>
    <row r="24" spans="1:9" x14ac:dyDescent="0.15">
      <c r="A24">
        <v>23</v>
      </c>
      <c r="B24">
        <f>'[1]精英怪-攻击'!$C$24</f>
        <v>17400</v>
      </c>
      <c r="C24">
        <f t="shared" si="0"/>
        <v>4600</v>
      </c>
      <c r="D24">
        <f>'[1]精英怪-攻击'!$D$24</f>
        <v>7792</v>
      </c>
      <c r="E24">
        <f>'[1]精英怪-攻击'!$E$24</f>
        <v>1624</v>
      </c>
      <c r="F24">
        <f>ROUND('[1]精英怪-攻击'!$F$24*1000,0)</f>
        <v>200</v>
      </c>
      <c r="G24">
        <f>ROUND('[1]精英怪-攻击'!$H$24*100,0)</f>
        <v>100</v>
      </c>
      <c r="H24">
        <f>'[1]精英怪-攻击'!$I$24</f>
        <v>578</v>
      </c>
      <c r="I24">
        <f>'[1]精英怪-攻击'!$J$24</f>
        <v>2338</v>
      </c>
    </row>
    <row r="25" spans="1:9" x14ac:dyDescent="0.15">
      <c r="A25">
        <v>24</v>
      </c>
      <c r="B25">
        <f>'[1]精英怪-攻击'!$C$25</f>
        <v>23250</v>
      </c>
      <c r="C25">
        <f t="shared" si="0"/>
        <v>5850</v>
      </c>
      <c r="D25">
        <f>'[1]精英怪-攻击'!$D$25</f>
        <v>10450</v>
      </c>
      <c r="E25">
        <f>'[1]精英怪-攻击'!$E$25</f>
        <v>2124</v>
      </c>
      <c r="F25">
        <f>ROUND('[1]精英怪-攻击'!$F$25*1000,0)</f>
        <v>200</v>
      </c>
      <c r="G25">
        <f>ROUND('[1]精英怪-攻击'!$H$25*100,0)</f>
        <v>100</v>
      </c>
      <c r="H25">
        <f>'[1]精英怪-攻击'!$I$25</f>
        <v>799</v>
      </c>
      <c r="I25">
        <f>'[1]精英怪-攻击'!$J$25</f>
        <v>3135</v>
      </c>
    </row>
    <row r="26" spans="1:9" x14ac:dyDescent="0.15">
      <c r="A26">
        <v>25</v>
      </c>
      <c r="B26">
        <f>'[1]精英怪-攻击'!$C$26</f>
        <v>30750</v>
      </c>
      <c r="C26">
        <f t="shared" si="0"/>
        <v>7500</v>
      </c>
      <c r="D26">
        <f>'[1]精英怪-攻击'!$D$26</f>
        <v>13685</v>
      </c>
      <c r="E26">
        <f>'[1]精英怪-攻击'!$E$26</f>
        <v>2824</v>
      </c>
      <c r="F26">
        <f>ROUND('[1]精英怪-攻击'!$F$26*1000,0)</f>
        <v>200</v>
      </c>
      <c r="G26">
        <f>ROUND('[1]精英怪-攻击'!$H$26*100,0)</f>
        <v>100</v>
      </c>
      <c r="H26">
        <f>'[1]精英怪-攻击'!$I$26</f>
        <v>1153</v>
      </c>
      <c r="I26">
        <f>'[1]精英怪-攻击'!$J$26</f>
        <v>4106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'[1]精英怪-回复'!$C$2</f>
        <v>50</v>
      </c>
      <c r="C2">
        <f>B2-0</f>
        <v>50</v>
      </c>
      <c r="D2">
        <f>'[1]精英怪-回复'!$D$2</f>
        <v>29</v>
      </c>
      <c r="E2">
        <f>'[1]精英怪-回复'!$E$2</f>
        <v>7</v>
      </c>
      <c r="F2">
        <f>ROUND('[1]精英怪-回复'!$F$2 *1000,0)</f>
        <v>100</v>
      </c>
      <c r="G2">
        <f>ROUND('[1]精英怪-回复'!$H$2 *100,0)</f>
        <v>100</v>
      </c>
      <c r="H2">
        <f>'[1]精英怪-回复'!$I$2</f>
        <v>7</v>
      </c>
      <c r="I2">
        <f>'[1]精英怪-回复'!$J$2</f>
        <v>15</v>
      </c>
    </row>
    <row r="3" spans="1:9" x14ac:dyDescent="0.15">
      <c r="A3">
        <v>2</v>
      </c>
      <c r="B3">
        <f>'[1]精英怪-回复'!$C$3</f>
        <v>100</v>
      </c>
      <c r="C3">
        <f>B3-B2</f>
        <v>50</v>
      </c>
      <c r="D3">
        <f>'[1]精英怪-回复'!$D$3</f>
        <v>31</v>
      </c>
      <c r="E3">
        <f>'[1]精英怪-回复'!$E$3</f>
        <v>13</v>
      </c>
      <c r="F3">
        <f>ROUND('[1]精英怪-回复'!$F$3 *1000,0)</f>
        <v>100</v>
      </c>
      <c r="G3">
        <f>ROUND('[1]精英怪-回复'!$H$3 *100,0)</f>
        <v>100</v>
      </c>
      <c r="H3">
        <f>'[1]精英怪-回复'!$I$3</f>
        <v>11</v>
      </c>
      <c r="I3">
        <f>'[1]精英怪-回复'!$J$3</f>
        <v>16</v>
      </c>
    </row>
    <row r="4" spans="1:9" x14ac:dyDescent="0.15">
      <c r="A4">
        <v>3</v>
      </c>
      <c r="B4">
        <f>'[1]精英怪-回复'!$C$4</f>
        <v>150</v>
      </c>
      <c r="C4">
        <f t="shared" ref="C4:C26" si="0">B4-B3</f>
        <v>50</v>
      </c>
      <c r="D4">
        <f>'[1]精英怪-回复'!$D$4</f>
        <v>32</v>
      </c>
      <c r="E4">
        <f>'[1]精英怪-回复'!$E$4</f>
        <v>21</v>
      </c>
      <c r="F4">
        <f>ROUND('[1]精英怪-回复'!$F$4 *1000,0)</f>
        <v>100</v>
      </c>
      <c r="G4">
        <f>ROUND('[1]精英怪-回复'!$H$4 *100,0)</f>
        <v>100</v>
      </c>
      <c r="H4">
        <f>'[1]精英怪-回复'!$I$4</f>
        <v>15</v>
      </c>
      <c r="I4">
        <f>'[1]精英怪-回复'!$J$4</f>
        <v>16</v>
      </c>
    </row>
    <row r="5" spans="1:9" x14ac:dyDescent="0.15">
      <c r="A5">
        <v>4</v>
      </c>
      <c r="B5">
        <f>'[1]精英怪-回复'!$C$5</f>
        <v>250</v>
      </c>
      <c r="C5">
        <f t="shared" si="0"/>
        <v>100</v>
      </c>
      <c r="D5">
        <f>'[1]精英怪-回复'!$D$5</f>
        <v>44</v>
      </c>
      <c r="E5">
        <f>'[1]精英怪-回复'!$E$5</f>
        <v>32</v>
      </c>
      <c r="F5">
        <f>ROUND('[1]精英怪-回复'!$F$5 *1000,0)</f>
        <v>100</v>
      </c>
      <c r="G5">
        <f>ROUND('[1]精英怪-回复'!$H$5 *100,0)</f>
        <v>100</v>
      </c>
      <c r="H5">
        <f>'[1]精英怪-回复'!$I$5</f>
        <v>19</v>
      </c>
      <c r="I5">
        <f>'[1]精英怪-回复'!$J$5</f>
        <v>22</v>
      </c>
    </row>
    <row r="6" spans="1:9" x14ac:dyDescent="0.15">
      <c r="A6">
        <v>5</v>
      </c>
      <c r="B6">
        <f>'[1]精英怪-回复'!$C$6</f>
        <v>350</v>
      </c>
      <c r="C6">
        <f t="shared" si="0"/>
        <v>100</v>
      </c>
      <c r="D6">
        <f>'[1]精英怪-回复'!$D$6</f>
        <v>53</v>
      </c>
      <c r="E6">
        <f>'[1]精英怪-回复'!$E$6</f>
        <v>44</v>
      </c>
      <c r="F6">
        <f>ROUND('[1]精英怪-回复'!$F$6 *1000,0)</f>
        <v>100</v>
      </c>
      <c r="G6">
        <f>ROUND('[1]精英怪-回复'!$H$6 *100,0)</f>
        <v>100</v>
      </c>
      <c r="H6">
        <f>'[1]精英怪-回复'!$I$6</f>
        <v>24</v>
      </c>
      <c r="I6">
        <f>'[1]精英怪-回复'!$J$6</f>
        <v>27</v>
      </c>
    </row>
    <row r="7" spans="1:9" x14ac:dyDescent="0.15">
      <c r="A7">
        <v>6</v>
      </c>
      <c r="B7">
        <f>'[1]精英怪-回复'!$C$7</f>
        <v>500</v>
      </c>
      <c r="C7">
        <f t="shared" si="0"/>
        <v>150</v>
      </c>
      <c r="D7">
        <f>'[1]精英怪-回复'!$D$7</f>
        <v>75</v>
      </c>
      <c r="E7">
        <f>'[1]精英怪-回复'!$E$7</f>
        <v>57</v>
      </c>
      <c r="F7">
        <f>ROUND('[1]精英怪-回复'!$F$7 *1000,0)</f>
        <v>100</v>
      </c>
      <c r="G7">
        <f>ROUND('[1]精英怪-回复'!$H$7 *100,0)</f>
        <v>100</v>
      </c>
      <c r="H7">
        <f>'[1]精英怪-回复'!$I$7</f>
        <v>30</v>
      </c>
      <c r="I7">
        <f>'[1]精英怪-回复'!$J$7</f>
        <v>38</v>
      </c>
    </row>
    <row r="8" spans="1:9" x14ac:dyDescent="0.15">
      <c r="A8">
        <v>7</v>
      </c>
      <c r="B8">
        <f>'[1]精英怪-回复'!$C$8</f>
        <v>650</v>
      </c>
      <c r="C8">
        <f t="shared" si="0"/>
        <v>150</v>
      </c>
      <c r="D8">
        <f>'[1]精英怪-回复'!$D$8</f>
        <v>95</v>
      </c>
      <c r="E8">
        <f>'[1]精英怪-回复'!$E$8</f>
        <v>70</v>
      </c>
      <c r="F8">
        <f>ROUND('[1]精英怪-回复'!$F$8 *1000,0)</f>
        <v>101</v>
      </c>
      <c r="G8">
        <f>ROUND('[1]精英怪-回复'!$H$8 *100,0)</f>
        <v>100</v>
      </c>
      <c r="H8">
        <f>'[1]精英怪-回复'!$I$8</f>
        <v>37</v>
      </c>
      <c r="I8">
        <f>'[1]精英怪-回复'!$J$8</f>
        <v>48</v>
      </c>
    </row>
    <row r="9" spans="1:9" x14ac:dyDescent="0.15">
      <c r="A9">
        <v>8</v>
      </c>
      <c r="B9">
        <f>'[1]精英怪-回复'!$C$9</f>
        <v>850</v>
      </c>
      <c r="C9">
        <f t="shared" si="0"/>
        <v>200</v>
      </c>
      <c r="D9">
        <f>'[1]精英怪-回复'!$D$9</f>
        <v>162</v>
      </c>
      <c r="E9">
        <f>'[1]精英怪-回复'!$E$9</f>
        <v>90</v>
      </c>
      <c r="F9">
        <f>ROUND('[1]精英怪-回复'!$F$9 *1000,0)</f>
        <v>101</v>
      </c>
      <c r="G9">
        <f>ROUND('[1]精英怪-回复'!$H$9 *100,0)</f>
        <v>100</v>
      </c>
      <c r="H9">
        <f>'[1]精英怪-回复'!$I$9</f>
        <v>45</v>
      </c>
      <c r="I9">
        <f>'[1]精英怪-回复'!$J$9</f>
        <v>81</v>
      </c>
    </row>
    <row r="10" spans="1:9" x14ac:dyDescent="0.15">
      <c r="A10">
        <v>9</v>
      </c>
      <c r="B10">
        <f>'[1]精英怪-回复'!$C$10</f>
        <v>1050</v>
      </c>
      <c r="C10">
        <f t="shared" si="0"/>
        <v>200</v>
      </c>
      <c r="D10">
        <f>'[1]精英怪-回复'!$D$10</f>
        <v>182</v>
      </c>
      <c r="E10">
        <f>'[1]精英怪-回复'!$E$10</f>
        <v>120</v>
      </c>
      <c r="F10">
        <f>ROUND('[1]精英怪-回复'!$F$10*1000,0)</f>
        <v>101</v>
      </c>
      <c r="G10">
        <f>ROUND('[1]精英怪-回复'!$H$10*100,0)</f>
        <v>100</v>
      </c>
      <c r="H10">
        <f>'[1]精英怪-回复'!$I$10</f>
        <v>54</v>
      </c>
      <c r="I10">
        <f>'[1]精英怪-回复'!$J$10</f>
        <v>91</v>
      </c>
    </row>
    <row r="11" spans="1:9" x14ac:dyDescent="0.15">
      <c r="A11">
        <v>10</v>
      </c>
      <c r="B11">
        <f>'[1]精英怪-回复'!$C$11</f>
        <v>1250</v>
      </c>
      <c r="C11">
        <f t="shared" si="0"/>
        <v>200</v>
      </c>
      <c r="D11">
        <f>'[1]精英怪-回复'!$D$11</f>
        <v>192</v>
      </c>
      <c r="E11">
        <f>'[1]精英怪-回复'!$E$11</f>
        <v>157</v>
      </c>
      <c r="F11">
        <f>ROUND('[1]精英怪-回复'!$F$11*1000,0)</f>
        <v>101</v>
      </c>
      <c r="G11">
        <f>ROUND('[1]精英怪-回复'!$H$11*100,0)</f>
        <v>100</v>
      </c>
      <c r="H11">
        <f>'[1]精英怪-回复'!$I$11</f>
        <v>64</v>
      </c>
      <c r="I11">
        <f>'[1]精英怪-回复'!$J$11</f>
        <v>96</v>
      </c>
    </row>
    <row r="12" spans="1:9" x14ac:dyDescent="0.15">
      <c r="A12">
        <v>11</v>
      </c>
      <c r="B12">
        <f>'[1]精英怪-回复'!$C$12</f>
        <v>1500</v>
      </c>
      <c r="C12">
        <f t="shared" si="0"/>
        <v>250</v>
      </c>
      <c r="D12">
        <f>'[1]精英怪-回复'!$D$12</f>
        <v>300</v>
      </c>
      <c r="E12">
        <f>'[1]精英怪-回复'!$E$12</f>
        <v>184</v>
      </c>
      <c r="F12">
        <f>ROUND('[1]精英怪-回复'!$F$12*1000,0)</f>
        <v>101</v>
      </c>
      <c r="G12">
        <f>ROUND('[1]精英怪-回复'!$H$12*100,0)</f>
        <v>100</v>
      </c>
      <c r="H12">
        <f>'[1]精英怪-回复'!$I$12</f>
        <v>75</v>
      </c>
      <c r="I12">
        <f>'[1]精英怪-回复'!$J$12</f>
        <v>150</v>
      </c>
    </row>
    <row r="13" spans="1:9" x14ac:dyDescent="0.15">
      <c r="A13">
        <v>12</v>
      </c>
      <c r="B13">
        <f>'[1]精英怪-回复'!$C$13</f>
        <v>1750</v>
      </c>
      <c r="C13">
        <f t="shared" si="0"/>
        <v>250</v>
      </c>
      <c r="D13">
        <f>'[1]精英怪-回复'!$D$13</f>
        <v>345</v>
      </c>
      <c r="E13">
        <f>'[1]精英怪-回复'!$E$13</f>
        <v>213</v>
      </c>
      <c r="F13">
        <f>ROUND('[1]精英怪-回复'!$F$13*1000,0)</f>
        <v>102</v>
      </c>
      <c r="G13">
        <f>ROUND('[1]精英怪-回复'!$H$13*100,0)</f>
        <v>100</v>
      </c>
      <c r="H13">
        <f>'[1]精英怪-回复'!$I$13</f>
        <v>87</v>
      </c>
      <c r="I13">
        <f>'[1]精英怪-回复'!$J$13</f>
        <v>173</v>
      </c>
    </row>
    <row r="14" spans="1:9" x14ac:dyDescent="0.15">
      <c r="A14">
        <v>13</v>
      </c>
      <c r="B14">
        <f>'[1]精英怪-回复'!$C$14</f>
        <v>2050</v>
      </c>
      <c r="C14">
        <f t="shared" si="0"/>
        <v>300</v>
      </c>
      <c r="D14">
        <f>'[1]精英怪-回复'!$D$14</f>
        <v>403</v>
      </c>
      <c r="E14">
        <f>'[1]精英怪-回复'!$E$14</f>
        <v>247</v>
      </c>
      <c r="F14">
        <f>ROUND('[1]精英怪-回复'!$F$14*1000,0)</f>
        <v>102</v>
      </c>
      <c r="G14">
        <f>ROUND('[1]精英怪-回复'!$H$14*100,0)</f>
        <v>100</v>
      </c>
      <c r="H14">
        <f>'[1]精英怪-回复'!$I$14</f>
        <v>100</v>
      </c>
      <c r="I14">
        <f>'[1]精英怪-回复'!$J$14</f>
        <v>202</v>
      </c>
    </row>
    <row r="15" spans="1:9" x14ac:dyDescent="0.15">
      <c r="A15">
        <v>14</v>
      </c>
      <c r="B15">
        <f>'[1]精英怪-回复'!$C$15</f>
        <v>2400</v>
      </c>
      <c r="C15">
        <f t="shared" si="0"/>
        <v>350</v>
      </c>
      <c r="D15">
        <f>'[1]精英怪-回复'!$D$15</f>
        <v>582</v>
      </c>
      <c r="E15">
        <f>'[1]精英怪-回复'!$E$15</f>
        <v>283</v>
      </c>
      <c r="F15">
        <f>ROUND('[1]精英怪-回复'!$F$15*1000,0)</f>
        <v>102</v>
      </c>
      <c r="G15">
        <f>ROUND('[1]精英怪-回复'!$H$15*100,0)</f>
        <v>100</v>
      </c>
      <c r="H15">
        <f>'[1]精英怪-回复'!$I$15</f>
        <v>115</v>
      </c>
      <c r="I15">
        <f>'[1]精英怪-回复'!$J$15</f>
        <v>291</v>
      </c>
    </row>
    <row r="16" spans="1:9" x14ac:dyDescent="0.15">
      <c r="A16">
        <v>15</v>
      </c>
      <c r="B16">
        <f>'[1]精英怪-回复'!$C$16</f>
        <v>2850</v>
      </c>
      <c r="C16">
        <f t="shared" si="0"/>
        <v>450</v>
      </c>
      <c r="D16">
        <f>'[1]精英怪-回复'!$D$16</f>
        <v>704</v>
      </c>
      <c r="E16">
        <f>'[1]精英怪-回复'!$E$16</f>
        <v>324</v>
      </c>
      <c r="F16">
        <f>ROUND('[1]精英怪-回复'!$F$16*1000,0)</f>
        <v>103</v>
      </c>
      <c r="G16">
        <f>ROUND('[1]精英怪-回复'!$H$16*100,0)</f>
        <v>100</v>
      </c>
      <c r="H16">
        <f>'[1]精英怪-回复'!$I$16</f>
        <v>132</v>
      </c>
      <c r="I16">
        <f>'[1]精英怪-回复'!$J$16</f>
        <v>352</v>
      </c>
    </row>
    <row r="17" spans="1:9" x14ac:dyDescent="0.15">
      <c r="A17">
        <v>16</v>
      </c>
      <c r="B17">
        <f>'[1]精英怪-回复'!$C$17</f>
        <v>3350</v>
      </c>
      <c r="C17">
        <f t="shared" si="0"/>
        <v>500</v>
      </c>
      <c r="D17">
        <f>'[1]精英怪-回复'!$D$17</f>
        <v>986</v>
      </c>
      <c r="E17">
        <f>'[1]精英怪-回复'!$E$17</f>
        <v>369</v>
      </c>
      <c r="F17">
        <f>ROUND('[1]精英怪-回复'!$F$17*1000,0)</f>
        <v>103</v>
      </c>
      <c r="G17">
        <f>ROUND('[1]精英怪-回复'!$H$17*100,0)</f>
        <v>100</v>
      </c>
      <c r="H17">
        <f>'[1]精英怪-回复'!$I$17</f>
        <v>151</v>
      </c>
      <c r="I17">
        <f>'[1]精英怪-回复'!$J$17</f>
        <v>493</v>
      </c>
    </row>
    <row r="18" spans="1:9" x14ac:dyDescent="0.15">
      <c r="A18">
        <v>17</v>
      </c>
      <c r="B18">
        <f>'[1]精英怪-回复'!$C$18</f>
        <v>3900</v>
      </c>
      <c r="C18">
        <f t="shared" si="0"/>
        <v>550</v>
      </c>
      <c r="D18">
        <f>'[1]精英怪-回复'!$D$18</f>
        <v>1160</v>
      </c>
      <c r="E18">
        <f>'[1]精英怪-回复'!$E$18</f>
        <v>418</v>
      </c>
      <c r="F18">
        <f>ROUND('[1]精英怪-回复'!$F$18*1000,0)</f>
        <v>104</v>
      </c>
      <c r="G18">
        <f>ROUND('[1]精英怪-回复'!$H$18*100,0)</f>
        <v>100</v>
      </c>
      <c r="H18">
        <f>'[1]精英怪-回复'!$I$18</f>
        <v>172</v>
      </c>
      <c r="I18">
        <f>'[1]精英怪-回复'!$J$18</f>
        <v>580</v>
      </c>
    </row>
    <row r="19" spans="1:9" x14ac:dyDescent="0.15">
      <c r="A19">
        <v>18</v>
      </c>
      <c r="B19">
        <f>'[1]精英怪-回复'!$C$19</f>
        <v>4550</v>
      </c>
      <c r="C19">
        <f t="shared" si="0"/>
        <v>650</v>
      </c>
      <c r="D19">
        <f>'[1]精英怪-回复'!$D$19</f>
        <v>1371</v>
      </c>
      <c r="E19">
        <f>'[1]精英怪-回复'!$E$19</f>
        <v>473</v>
      </c>
      <c r="F19">
        <f>ROUND('[1]精英怪-回复'!$F$19*1000,0)</f>
        <v>105</v>
      </c>
      <c r="G19">
        <f>ROUND('[1]精英怪-回复'!$H$19*100,0)</f>
        <v>100</v>
      </c>
      <c r="H19">
        <f>'[1]精英怪-回复'!$I$19</f>
        <v>195</v>
      </c>
      <c r="I19">
        <f>'[1]精英怪-回复'!$J$19</f>
        <v>686</v>
      </c>
    </row>
    <row r="20" spans="1:9" x14ac:dyDescent="0.15">
      <c r="A20">
        <v>19</v>
      </c>
      <c r="B20">
        <f>'[1]精英怪-回复'!$C$20</f>
        <v>5500</v>
      </c>
      <c r="C20">
        <f t="shared" si="0"/>
        <v>950</v>
      </c>
      <c r="D20">
        <f>'[1]精英怪-回复'!$D$20</f>
        <v>1950</v>
      </c>
      <c r="E20">
        <f>'[1]精英怪-回复'!$E$20</f>
        <v>535</v>
      </c>
      <c r="F20">
        <f>ROUND('[1]精英怪-回复'!$F$20*1000,0)</f>
        <v>105</v>
      </c>
      <c r="G20">
        <f>ROUND('[1]精英怪-回复'!$H$20*100,0)</f>
        <v>100</v>
      </c>
      <c r="H20">
        <f>'[1]精英怪-回复'!$I$20</f>
        <v>221</v>
      </c>
      <c r="I20">
        <f>'[1]精英怪-回复'!$J$20</f>
        <v>975</v>
      </c>
    </row>
    <row r="21" spans="1:9" x14ac:dyDescent="0.15">
      <c r="A21">
        <v>20</v>
      </c>
      <c r="B21">
        <f>'[1]精英怪-回复'!$C$21</f>
        <v>6600</v>
      </c>
      <c r="C21">
        <f t="shared" si="0"/>
        <v>1100</v>
      </c>
      <c r="D21">
        <f>'[1]精英怪-回复'!$D$21</f>
        <v>2557</v>
      </c>
      <c r="E21">
        <f>'[1]精英怪-回复'!$E$21</f>
        <v>680</v>
      </c>
      <c r="F21">
        <f>ROUND('[1]精英怪-回复'!$F$21*1000,0)</f>
        <v>107</v>
      </c>
      <c r="G21">
        <f>ROUND('[1]精英怪-回复'!$H$21*100,0)</f>
        <v>100</v>
      </c>
      <c r="H21">
        <f>'[1]精英怪-回复'!$I$21</f>
        <v>250</v>
      </c>
      <c r="I21">
        <f>'[1]精英怪-回复'!$J$21</f>
        <v>1279</v>
      </c>
    </row>
    <row r="22" spans="1:9" x14ac:dyDescent="0.15">
      <c r="A22">
        <v>21</v>
      </c>
      <c r="B22">
        <f>'[1]精英怪-回复'!$C$22</f>
        <v>9450</v>
      </c>
      <c r="C22">
        <f t="shared" si="0"/>
        <v>2850</v>
      </c>
      <c r="D22">
        <f>'[1]精英怪-回复'!$D$22</f>
        <v>3613</v>
      </c>
      <c r="E22">
        <f>'[1]精英怪-回复'!$E$22</f>
        <v>764</v>
      </c>
      <c r="F22">
        <f>ROUND('[1]精英怪-回复'!$F$22*1000,0)</f>
        <v>109</v>
      </c>
      <c r="G22">
        <f>ROUND('[1]精英怪-回复'!$H$22*100,0)</f>
        <v>100</v>
      </c>
      <c r="H22">
        <f>'[1]精英怪-回复'!$I$22</f>
        <v>296</v>
      </c>
      <c r="I22">
        <f>'[1]精英怪-回复'!$J$22</f>
        <v>1807</v>
      </c>
    </row>
    <row r="23" spans="1:9" x14ac:dyDescent="0.15">
      <c r="A23">
        <v>22</v>
      </c>
      <c r="B23">
        <f>'[1]精英怪-回复'!$C$23</f>
        <v>12800</v>
      </c>
      <c r="C23">
        <f t="shared" si="0"/>
        <v>3350</v>
      </c>
      <c r="D23">
        <f>'[1]精英怪-回复'!$D$23</f>
        <v>5465</v>
      </c>
      <c r="E23">
        <f>'[1]精英怪-回复'!$E$23</f>
        <v>1032</v>
      </c>
      <c r="F23">
        <f>ROUND('[1]精英怪-回复'!$F$23*1000,0)</f>
        <v>113</v>
      </c>
      <c r="G23">
        <f>ROUND('[1]精英怪-回复'!$H$23*100,0)</f>
        <v>100</v>
      </c>
      <c r="H23">
        <f>'[1]精英怪-回复'!$I$23</f>
        <v>370</v>
      </c>
      <c r="I23">
        <f>'[1]精英怪-回复'!$J$23</f>
        <v>2733</v>
      </c>
    </row>
    <row r="24" spans="1:9" x14ac:dyDescent="0.15">
      <c r="A24">
        <v>23</v>
      </c>
      <c r="B24">
        <f>'[1]精英怪-回复'!$C$24</f>
        <v>17400</v>
      </c>
      <c r="C24">
        <f t="shared" si="0"/>
        <v>4600</v>
      </c>
      <c r="D24">
        <f>'[1]精英怪-回复'!$D$24</f>
        <v>7434</v>
      </c>
      <c r="E24">
        <f>'[1]精英怪-回复'!$E$24</f>
        <v>1400</v>
      </c>
      <c r="F24">
        <f>ROUND('[1]精英怪-回复'!$F$24*1000,0)</f>
        <v>117</v>
      </c>
      <c r="G24">
        <f>ROUND('[1]精英怪-回复'!$H$24*100,0)</f>
        <v>100</v>
      </c>
      <c r="H24">
        <f>'[1]精英怪-回复'!$I$24</f>
        <v>488</v>
      </c>
      <c r="I24">
        <f>'[1]精英怪-回复'!$J$24</f>
        <v>3717</v>
      </c>
    </row>
    <row r="25" spans="1:9" x14ac:dyDescent="0.15">
      <c r="A25">
        <v>24</v>
      </c>
      <c r="B25">
        <f>'[1]精英怪-回复'!$C$25</f>
        <v>23250</v>
      </c>
      <c r="C25">
        <f t="shared" si="0"/>
        <v>5850</v>
      </c>
      <c r="D25">
        <f>'[1]精英怪-回复'!$D$25</f>
        <v>9896</v>
      </c>
      <c r="E25">
        <f>'[1]精英怪-回复'!$E$25</f>
        <v>1868</v>
      </c>
      <c r="F25">
        <f>ROUND('[1]精英怪-回复'!$F$25*1000,0)</f>
        <v>123</v>
      </c>
      <c r="G25">
        <f>ROUND('[1]精英怪-回复'!$H$25*100,0)</f>
        <v>100</v>
      </c>
      <c r="H25">
        <f>'[1]精英怪-回复'!$I$25</f>
        <v>677</v>
      </c>
      <c r="I25">
        <f>'[1]精英怪-回复'!$J$25</f>
        <v>4948</v>
      </c>
    </row>
    <row r="26" spans="1:9" x14ac:dyDescent="0.15">
      <c r="A26">
        <v>25</v>
      </c>
      <c r="B26">
        <f>'[1]精英怪-回复'!$C$26</f>
        <v>30750</v>
      </c>
      <c r="C26">
        <f t="shared" si="0"/>
        <v>7500</v>
      </c>
      <c r="D26">
        <f>'[1]精英怪-回复'!$D$26</f>
        <v>12986</v>
      </c>
      <c r="E26">
        <f>'[1]精英怪-回复'!$E$26</f>
        <v>2468</v>
      </c>
      <c r="F26">
        <f>ROUND('[1]精英怪-回复'!$F$26*1000,0)</f>
        <v>131</v>
      </c>
      <c r="G26">
        <f>ROUND('[1]精英怪-回复'!$H$26*100,0)</f>
        <v>100</v>
      </c>
      <c r="H26">
        <f>'[1]精英怪-回复'!$I$26</f>
        <v>979</v>
      </c>
      <c r="I26">
        <f>'[1]精英怪-回复'!$J$26</f>
        <v>6493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'[1]精英怪-敏捷'!$C$2</f>
        <v>50</v>
      </c>
      <c r="C2">
        <f>B2-0</f>
        <v>50</v>
      </c>
      <c r="D2">
        <f>'[1]精英怪-敏捷'!$D$2</f>
        <v>29</v>
      </c>
      <c r="E2">
        <f>'[1]精英怪-敏捷'!$E$2</f>
        <v>10</v>
      </c>
      <c r="F2">
        <f>ROUND('[1]精英怪-敏捷'!$F$2 *1000,0)</f>
        <v>0</v>
      </c>
      <c r="G2">
        <f>ROUND('[1]精英怪-敏捷'!$H$2 *100,0)</f>
        <v>100</v>
      </c>
      <c r="H2">
        <f>'[1]精英怪-敏捷'!$I$2</f>
        <v>7</v>
      </c>
      <c r="I2">
        <f>'[1]精英怪-敏捷'!$J$2</f>
        <v>9</v>
      </c>
    </row>
    <row r="3" spans="1:9" x14ac:dyDescent="0.15">
      <c r="A3">
        <v>2</v>
      </c>
      <c r="B3">
        <f>'[1]精英怪-敏捷'!$C$3</f>
        <v>100</v>
      </c>
      <c r="C3">
        <f>B3-B2</f>
        <v>50</v>
      </c>
      <c r="D3">
        <f>'[1]精英怪-敏捷'!$D$3</f>
        <v>30</v>
      </c>
      <c r="E3">
        <f>'[1]精英怪-敏捷'!$E$3</f>
        <v>19</v>
      </c>
      <c r="F3">
        <f>ROUND('[1]精英怪-敏捷'!$F$3 *1000,0)</f>
        <v>0</v>
      </c>
      <c r="G3">
        <f>ROUND('[1]精英怪-敏捷'!$H$3 *100,0)</f>
        <v>100</v>
      </c>
      <c r="H3">
        <f>'[1]精英怪-敏捷'!$I$3</f>
        <v>11</v>
      </c>
      <c r="I3">
        <f>'[1]精英怪-敏捷'!$J$3</f>
        <v>9</v>
      </c>
    </row>
    <row r="4" spans="1:9" x14ac:dyDescent="0.15">
      <c r="A4">
        <v>3</v>
      </c>
      <c r="B4">
        <f>'[1]精英怪-敏捷'!$C$4</f>
        <v>150</v>
      </c>
      <c r="C4">
        <f t="shared" ref="C4:C26" si="0">B4-B3</f>
        <v>50</v>
      </c>
      <c r="D4">
        <f>'[1]精英怪-敏捷'!$D$4</f>
        <v>32</v>
      </c>
      <c r="E4">
        <f>'[1]精英怪-敏捷'!$E$4</f>
        <v>27</v>
      </c>
      <c r="F4">
        <f>ROUND('[1]精英怪-敏捷'!$F$4 *1000,0)</f>
        <v>3</v>
      </c>
      <c r="G4">
        <f>ROUND('[1]精英怪-敏捷'!$H$4 *100,0)</f>
        <v>100</v>
      </c>
      <c r="H4">
        <f>'[1]精英怪-敏捷'!$I$4</f>
        <v>14</v>
      </c>
      <c r="I4">
        <f>'[1]精英怪-敏捷'!$J$4</f>
        <v>10</v>
      </c>
    </row>
    <row r="5" spans="1:9" x14ac:dyDescent="0.15">
      <c r="A5">
        <v>4</v>
      </c>
      <c r="B5">
        <f>'[1]精英怪-敏捷'!$C$5</f>
        <v>250</v>
      </c>
      <c r="C5">
        <f t="shared" si="0"/>
        <v>100</v>
      </c>
      <c r="D5">
        <f>'[1]精英怪-敏捷'!$D$5</f>
        <v>40</v>
      </c>
      <c r="E5">
        <f>'[1]精英怪-敏捷'!$E$5</f>
        <v>42</v>
      </c>
      <c r="F5">
        <f>ROUND('[1]精英怪-敏捷'!$F$5 *1000,0)</f>
        <v>3</v>
      </c>
      <c r="G5">
        <f>ROUND('[1]精英怪-敏捷'!$H$5 *100,0)</f>
        <v>100</v>
      </c>
      <c r="H5">
        <f>'[1]精英怪-敏捷'!$I$5</f>
        <v>19</v>
      </c>
      <c r="I5">
        <f>'[1]精英怪-敏捷'!$J$5</f>
        <v>12</v>
      </c>
    </row>
    <row r="6" spans="1:9" x14ac:dyDescent="0.15">
      <c r="A6">
        <v>5</v>
      </c>
      <c r="B6">
        <f>'[1]精英怪-敏捷'!$C$6</f>
        <v>350</v>
      </c>
      <c r="C6">
        <f t="shared" si="0"/>
        <v>100</v>
      </c>
      <c r="D6">
        <f>'[1]精英怪-敏捷'!$D$6</f>
        <v>45</v>
      </c>
      <c r="E6">
        <f>'[1]精英怪-敏捷'!$E$6</f>
        <v>54</v>
      </c>
      <c r="F6">
        <f>ROUND('[1]精英怪-敏捷'!$F$6 *1000,0)</f>
        <v>5</v>
      </c>
      <c r="G6">
        <f>ROUND('[1]精英怪-敏捷'!$H$6 *100,0)</f>
        <v>120</v>
      </c>
      <c r="H6">
        <f>'[1]精英怪-敏捷'!$I$6</f>
        <v>24</v>
      </c>
      <c r="I6">
        <f>'[1]精英怪-敏捷'!$J$6</f>
        <v>14</v>
      </c>
    </row>
    <row r="7" spans="1:9" x14ac:dyDescent="0.15">
      <c r="A7">
        <v>6</v>
      </c>
      <c r="B7">
        <f>'[1]精英怪-敏捷'!$C$7</f>
        <v>500</v>
      </c>
      <c r="C7">
        <f t="shared" si="0"/>
        <v>150</v>
      </c>
      <c r="D7">
        <f>'[1]精英怪-敏捷'!$D$7</f>
        <v>65</v>
      </c>
      <c r="E7">
        <f>'[1]精英怪-敏捷'!$E$7</f>
        <v>70</v>
      </c>
      <c r="F7">
        <f>ROUND('[1]精英怪-敏捷'!$F$7 *1000,0)</f>
        <v>10</v>
      </c>
      <c r="G7">
        <f>ROUND('[1]精英怪-敏捷'!$H$7 *100,0)</f>
        <v>120</v>
      </c>
      <c r="H7">
        <f>'[1]精英怪-敏捷'!$I$7</f>
        <v>30</v>
      </c>
      <c r="I7">
        <f>'[1]精英怪-敏捷'!$J$7</f>
        <v>20</v>
      </c>
    </row>
    <row r="8" spans="1:9" x14ac:dyDescent="0.15">
      <c r="A8">
        <v>7</v>
      </c>
      <c r="B8">
        <f>'[1]精英怪-敏捷'!$C$8</f>
        <v>650</v>
      </c>
      <c r="C8">
        <f t="shared" si="0"/>
        <v>150</v>
      </c>
      <c r="D8">
        <f>'[1]精英怪-敏捷'!$D$8</f>
        <v>77</v>
      </c>
      <c r="E8">
        <f>'[1]精英怪-敏捷'!$E$8</f>
        <v>90</v>
      </c>
      <c r="F8">
        <f>ROUND('[1]精英怪-敏捷'!$F$8 *1000,0)</f>
        <v>15</v>
      </c>
      <c r="G8">
        <f>ROUND('[1]精英怪-敏捷'!$H$8 *100,0)</f>
        <v>120</v>
      </c>
      <c r="H8">
        <f>'[1]精英怪-敏捷'!$I$8</f>
        <v>37</v>
      </c>
      <c r="I8">
        <f>'[1]精英怪-敏捷'!$J$8</f>
        <v>23</v>
      </c>
    </row>
    <row r="9" spans="1:9" x14ac:dyDescent="0.15">
      <c r="A9">
        <v>8</v>
      </c>
      <c r="B9">
        <f>'[1]精英怪-敏捷'!$C$9</f>
        <v>850</v>
      </c>
      <c r="C9">
        <f t="shared" si="0"/>
        <v>200</v>
      </c>
      <c r="D9">
        <f>'[1]精英怪-敏捷'!$D$9</f>
        <v>143</v>
      </c>
      <c r="E9">
        <f>'[1]精英怪-敏捷'!$E$9</f>
        <v>115</v>
      </c>
      <c r="F9">
        <f>ROUND('[1]精英怪-敏捷'!$F$9 *1000,0)</f>
        <v>25</v>
      </c>
      <c r="G9">
        <f>ROUND('[1]精英怪-敏捷'!$H$9 *100,0)</f>
        <v>120</v>
      </c>
      <c r="H9">
        <f>'[1]精英怪-敏捷'!$I$9</f>
        <v>45</v>
      </c>
      <c r="I9">
        <f>'[1]精英怪-敏捷'!$J$9</f>
        <v>43</v>
      </c>
    </row>
    <row r="10" spans="1:9" x14ac:dyDescent="0.15">
      <c r="A10">
        <v>9</v>
      </c>
      <c r="B10">
        <f>'[1]精英怪-敏捷'!$C$10</f>
        <v>1050</v>
      </c>
      <c r="C10">
        <f t="shared" si="0"/>
        <v>200</v>
      </c>
      <c r="D10">
        <f>'[1]精英怪-敏捷'!$D$10</f>
        <v>167</v>
      </c>
      <c r="E10">
        <f>'[1]精英怪-敏捷'!$E$10</f>
        <v>143</v>
      </c>
      <c r="F10">
        <f>ROUND('[1]精英怪-敏捷'!$F$10*1000,0)</f>
        <v>29</v>
      </c>
      <c r="G10">
        <f>ROUND('[1]精英怪-敏捷'!$H$10*100,0)</f>
        <v>120</v>
      </c>
      <c r="H10">
        <f>'[1]精英怪-敏捷'!$I$10</f>
        <v>54</v>
      </c>
      <c r="I10">
        <f>'[1]精英怪-敏捷'!$J$10</f>
        <v>50</v>
      </c>
    </row>
    <row r="11" spans="1:9" x14ac:dyDescent="0.15">
      <c r="A11">
        <v>10</v>
      </c>
      <c r="B11">
        <f>'[1]精英怪-敏捷'!$C$11</f>
        <v>1250</v>
      </c>
      <c r="C11">
        <f t="shared" si="0"/>
        <v>200</v>
      </c>
      <c r="D11">
        <f>'[1]精英怪-敏捷'!$D$11</f>
        <v>180</v>
      </c>
      <c r="E11">
        <f>'[1]精英怪-敏捷'!$E$11</f>
        <v>169</v>
      </c>
      <c r="F11">
        <f>ROUND('[1]精英怪-敏捷'!$F$11*1000,0)</f>
        <v>37</v>
      </c>
      <c r="G11">
        <f>ROUND('[1]精英怪-敏捷'!$H$11*100,0)</f>
        <v>130</v>
      </c>
      <c r="H11">
        <f>'[1]精英怪-敏捷'!$I$11</f>
        <v>64</v>
      </c>
      <c r="I11">
        <f>'[1]精英怪-敏捷'!$J$11</f>
        <v>54</v>
      </c>
    </row>
    <row r="12" spans="1:9" x14ac:dyDescent="0.15">
      <c r="A12">
        <v>11</v>
      </c>
      <c r="B12">
        <f>'[1]精英怪-敏捷'!$C$12</f>
        <v>1500</v>
      </c>
      <c r="C12">
        <f t="shared" si="0"/>
        <v>250</v>
      </c>
      <c r="D12">
        <f>'[1]精英怪-敏捷'!$D$12</f>
        <v>292</v>
      </c>
      <c r="E12">
        <f>'[1]精英怪-敏捷'!$E$12</f>
        <v>198</v>
      </c>
      <c r="F12">
        <f>ROUND('[1]精英怪-敏捷'!$F$12*1000,0)</f>
        <v>46</v>
      </c>
      <c r="G12">
        <f>ROUND('[1]精英怪-敏捷'!$H$12*100,0)</f>
        <v>130</v>
      </c>
      <c r="H12">
        <f>'[1]精英怪-敏捷'!$I$12</f>
        <v>75</v>
      </c>
      <c r="I12">
        <f>'[1]精英怪-敏捷'!$J$12</f>
        <v>88</v>
      </c>
    </row>
    <row r="13" spans="1:9" x14ac:dyDescent="0.15">
      <c r="A13">
        <v>12</v>
      </c>
      <c r="B13">
        <f>'[1]精英怪-敏捷'!$C$13</f>
        <v>1750</v>
      </c>
      <c r="C13">
        <f t="shared" si="0"/>
        <v>250</v>
      </c>
      <c r="D13">
        <f>'[1]精英怪-敏捷'!$D$13</f>
        <v>333</v>
      </c>
      <c r="E13">
        <f>'[1]精英怪-敏捷'!$E$13</f>
        <v>230</v>
      </c>
      <c r="F13">
        <f>ROUND('[1]精英怪-敏捷'!$F$13*1000,0)</f>
        <v>55</v>
      </c>
      <c r="G13">
        <f>ROUND('[1]精英怪-敏捷'!$H$13*100,0)</f>
        <v>130</v>
      </c>
      <c r="H13">
        <f>'[1]精英怪-敏捷'!$I$13</f>
        <v>87</v>
      </c>
      <c r="I13">
        <f>'[1]精英怪-敏捷'!$J$13</f>
        <v>100</v>
      </c>
    </row>
    <row r="14" spans="1:9" x14ac:dyDescent="0.15">
      <c r="A14">
        <v>13</v>
      </c>
      <c r="B14">
        <f>'[1]精英怪-敏捷'!$C$14</f>
        <v>2050</v>
      </c>
      <c r="C14">
        <f t="shared" si="0"/>
        <v>300</v>
      </c>
      <c r="D14">
        <f>'[1]精英怪-敏捷'!$D$14</f>
        <v>385</v>
      </c>
      <c r="E14">
        <f>'[1]精英怪-敏捷'!$E$14</f>
        <v>266</v>
      </c>
      <c r="F14">
        <f>ROUND('[1]精英怪-敏捷'!$F$14*1000,0)</f>
        <v>65</v>
      </c>
      <c r="G14">
        <f>ROUND('[1]精英怪-敏捷'!$H$14*100,0)</f>
        <v>130</v>
      </c>
      <c r="H14">
        <f>'[1]精英怪-敏捷'!$I$14</f>
        <v>100</v>
      </c>
      <c r="I14">
        <f>'[1]精英怪-敏捷'!$J$14</f>
        <v>116</v>
      </c>
    </row>
    <row r="15" spans="1:9" x14ac:dyDescent="0.15">
      <c r="A15">
        <v>14</v>
      </c>
      <c r="B15">
        <f>'[1]精英怪-敏捷'!$C$15</f>
        <v>2400</v>
      </c>
      <c r="C15">
        <f t="shared" si="0"/>
        <v>350</v>
      </c>
      <c r="D15">
        <f>'[1]精英怪-敏捷'!$D$15</f>
        <v>571</v>
      </c>
      <c r="E15">
        <f>'[1]精英怪-敏捷'!$E$15</f>
        <v>306</v>
      </c>
      <c r="F15">
        <f>ROUND('[1]精英怪-敏捷'!$F$15*1000,0)</f>
        <v>76</v>
      </c>
      <c r="G15">
        <f>ROUND('[1]精英怪-敏捷'!$H$15*100,0)</f>
        <v>130</v>
      </c>
      <c r="H15">
        <f>'[1]精英怪-敏捷'!$I$15</f>
        <v>115</v>
      </c>
      <c r="I15">
        <f>'[1]精英怪-敏捷'!$J$15</f>
        <v>171</v>
      </c>
    </row>
    <row r="16" spans="1:9" x14ac:dyDescent="0.15">
      <c r="A16">
        <v>15</v>
      </c>
      <c r="B16">
        <f>'[1]精英怪-敏捷'!$C$16</f>
        <v>2850</v>
      </c>
      <c r="C16">
        <f t="shared" si="0"/>
        <v>450</v>
      </c>
      <c r="D16">
        <f>'[1]精英怪-敏捷'!$D$16</f>
        <v>662</v>
      </c>
      <c r="E16">
        <f>'[1]精英怪-敏捷'!$E$16</f>
        <v>351</v>
      </c>
      <c r="F16">
        <f>ROUND('[1]精英怪-敏捷'!$F$16*1000,0)</f>
        <v>89</v>
      </c>
      <c r="G16">
        <f>ROUND('[1]精英怪-敏捷'!$H$16*100,0)</f>
        <v>140</v>
      </c>
      <c r="H16">
        <f>'[1]精英怪-敏捷'!$I$16</f>
        <v>132</v>
      </c>
      <c r="I16">
        <f>'[1]精英怪-敏捷'!$J$16</f>
        <v>199</v>
      </c>
    </row>
    <row r="17" spans="1:9" x14ac:dyDescent="0.15">
      <c r="A17">
        <v>16</v>
      </c>
      <c r="B17">
        <f>'[1]精英怪-敏捷'!$C$17</f>
        <v>3350</v>
      </c>
      <c r="C17">
        <f t="shared" si="0"/>
        <v>500</v>
      </c>
      <c r="D17">
        <f>'[1]精英怪-敏捷'!$D$17</f>
        <v>955</v>
      </c>
      <c r="E17">
        <f>'[1]精英怪-敏捷'!$E$17</f>
        <v>401</v>
      </c>
      <c r="F17">
        <f>ROUND('[1]精英怪-敏捷'!$F$17*1000,0)</f>
        <v>100</v>
      </c>
      <c r="G17">
        <f>ROUND('[1]精英怪-敏捷'!$H$17*100,0)</f>
        <v>140</v>
      </c>
      <c r="H17">
        <f>'[1]精英怪-敏捷'!$I$17</f>
        <v>151</v>
      </c>
      <c r="I17">
        <f>'[1]精英怪-敏捷'!$J$17</f>
        <v>287</v>
      </c>
    </row>
    <row r="18" spans="1:9" x14ac:dyDescent="0.15">
      <c r="A18">
        <v>17</v>
      </c>
      <c r="B18">
        <f>'[1]精英怪-敏捷'!$C$18</f>
        <v>3900</v>
      </c>
      <c r="C18">
        <f t="shared" si="0"/>
        <v>550</v>
      </c>
      <c r="D18">
        <f>'[1]精英怪-敏捷'!$D$18</f>
        <v>1117</v>
      </c>
      <c r="E18">
        <f>'[1]精英怪-敏捷'!$E$18</f>
        <v>457</v>
      </c>
      <c r="F18">
        <f>ROUND('[1]精英怪-敏捷'!$F$18*1000,0)</f>
        <v>111</v>
      </c>
      <c r="G18">
        <f>ROUND('[1]精英怪-敏捷'!$H$18*100,0)</f>
        <v>140</v>
      </c>
      <c r="H18">
        <f>'[1]精英怪-敏捷'!$I$18</f>
        <v>172</v>
      </c>
      <c r="I18">
        <f>'[1]精英怪-敏捷'!$J$18</f>
        <v>335</v>
      </c>
    </row>
    <row r="19" spans="1:9" x14ac:dyDescent="0.15">
      <c r="A19">
        <v>18</v>
      </c>
      <c r="B19">
        <f>'[1]精英怪-敏捷'!$C$19</f>
        <v>4550</v>
      </c>
      <c r="C19">
        <f t="shared" si="0"/>
        <v>650</v>
      </c>
      <c r="D19">
        <f>'[1]精英怪-敏捷'!$D$19</f>
        <v>1316</v>
      </c>
      <c r="E19">
        <f>'[1]精英怪-敏捷'!$E$19</f>
        <v>519</v>
      </c>
      <c r="F19">
        <f>ROUND('[1]精英怪-敏捷'!$F$19*1000,0)</f>
        <v>125</v>
      </c>
      <c r="G19">
        <f>ROUND('[1]精英怪-敏捷'!$H$19*100,0)</f>
        <v>140</v>
      </c>
      <c r="H19">
        <f>'[1]精英怪-敏捷'!$I$19</f>
        <v>195</v>
      </c>
      <c r="I19">
        <f>'[1]精英怪-敏捷'!$J$19</f>
        <v>395</v>
      </c>
    </row>
    <row r="20" spans="1:9" x14ac:dyDescent="0.15">
      <c r="A20">
        <v>19</v>
      </c>
      <c r="B20">
        <f>'[1]精英怪-敏捷'!$C$20</f>
        <v>5500</v>
      </c>
      <c r="C20">
        <f t="shared" si="0"/>
        <v>950</v>
      </c>
      <c r="D20">
        <f>'[1]精英怪-敏捷'!$D$20</f>
        <v>1935</v>
      </c>
      <c r="E20">
        <f>'[1]精英怪-敏捷'!$E$20</f>
        <v>588</v>
      </c>
      <c r="F20">
        <f>ROUND('[1]精英怪-敏捷'!$F$20*1000,0)</f>
        <v>130</v>
      </c>
      <c r="G20">
        <f>ROUND('[1]精英怪-敏捷'!$H$20*100,0)</f>
        <v>140</v>
      </c>
      <c r="H20">
        <f>'[1]精英怪-敏捷'!$I$20</f>
        <v>221</v>
      </c>
      <c r="I20">
        <f>'[1]精英怪-敏捷'!$J$20</f>
        <v>581</v>
      </c>
    </row>
    <row r="21" spans="1:9" x14ac:dyDescent="0.15">
      <c r="A21">
        <v>20</v>
      </c>
      <c r="B21">
        <f>'[1]精英怪-敏捷'!$C$21</f>
        <v>6600</v>
      </c>
      <c r="C21">
        <f t="shared" si="0"/>
        <v>1100</v>
      </c>
      <c r="D21">
        <f>'[1]精英怪-敏捷'!$D$21</f>
        <v>2525</v>
      </c>
      <c r="E21">
        <f>'[1]精英怪-敏捷'!$E$21</f>
        <v>700</v>
      </c>
      <c r="F21">
        <f>ROUND('[1]精英怪-敏捷'!$F$21*1000,0)</f>
        <v>180</v>
      </c>
      <c r="G21">
        <f>ROUND('[1]精英怪-敏捷'!$H$21*100,0)</f>
        <v>150</v>
      </c>
      <c r="H21">
        <f>'[1]精英怪-敏捷'!$I$21</f>
        <v>250</v>
      </c>
      <c r="I21">
        <f>'[1]精英怪-敏捷'!$J$21</f>
        <v>758</v>
      </c>
    </row>
    <row r="22" spans="1:9" x14ac:dyDescent="0.15">
      <c r="A22">
        <v>21</v>
      </c>
      <c r="B22">
        <f>'[1]精英怪-敏捷'!$C$22</f>
        <v>9450</v>
      </c>
      <c r="C22">
        <f t="shared" si="0"/>
        <v>2850</v>
      </c>
      <c r="D22">
        <f>'[1]精英怪-敏捷'!$D$22</f>
        <v>3719</v>
      </c>
      <c r="E22">
        <f>'[1]精英怪-敏捷'!$E$22</f>
        <v>764</v>
      </c>
      <c r="F22">
        <f>ROUND('[1]精英怪-敏捷'!$F$22*1000,0)</f>
        <v>180</v>
      </c>
      <c r="G22">
        <f>ROUND('[1]精英怪-敏捷'!$H$22*100,0)</f>
        <v>150</v>
      </c>
      <c r="H22">
        <f>'[1]精英怪-敏捷'!$I$22</f>
        <v>299</v>
      </c>
      <c r="I22">
        <f>'[1]精英怪-敏捷'!$J$22</f>
        <v>1116</v>
      </c>
    </row>
    <row r="23" spans="1:9" x14ac:dyDescent="0.15">
      <c r="A23">
        <v>22</v>
      </c>
      <c r="B23">
        <f>'[1]精英怪-敏捷'!$C$23</f>
        <v>12800</v>
      </c>
      <c r="C23">
        <f t="shared" si="0"/>
        <v>3350</v>
      </c>
      <c r="D23">
        <f>'[1]精英怪-敏捷'!$D$23</f>
        <v>5679</v>
      </c>
      <c r="E23">
        <f>'[1]精英怪-敏捷'!$E$23</f>
        <v>1032</v>
      </c>
      <c r="F23">
        <f>ROUND('[1]精英怪-敏捷'!$F$23*1000,0)</f>
        <v>180</v>
      </c>
      <c r="G23">
        <f>ROUND('[1]精英怪-敏捷'!$H$23*100,0)</f>
        <v>150</v>
      </c>
      <c r="H23">
        <f>'[1]精英怪-敏捷'!$I$23</f>
        <v>382</v>
      </c>
      <c r="I23">
        <f>'[1]精英怪-敏捷'!$J$23</f>
        <v>1704</v>
      </c>
    </row>
    <row r="24" spans="1:9" x14ac:dyDescent="0.15">
      <c r="A24">
        <v>23</v>
      </c>
      <c r="B24">
        <f>'[1]精英怪-敏捷'!$C$24</f>
        <v>17400</v>
      </c>
      <c r="C24">
        <f t="shared" si="0"/>
        <v>4600</v>
      </c>
      <c r="D24">
        <f>'[1]精英怪-敏捷'!$D$24</f>
        <v>7664</v>
      </c>
      <c r="E24">
        <f>'[1]精英怪-敏捷'!$E$24</f>
        <v>1400</v>
      </c>
      <c r="F24">
        <f>ROUND('[1]精英怪-敏捷'!$F$24*1000,0)</f>
        <v>200</v>
      </c>
      <c r="G24">
        <f>ROUND('[1]精英怪-敏捷'!$H$24*100,0)</f>
        <v>150</v>
      </c>
      <c r="H24">
        <f>'[1]精英怪-敏捷'!$I$24</f>
        <v>523</v>
      </c>
      <c r="I24">
        <f>'[1]精英怪-敏捷'!$J$24</f>
        <v>2299</v>
      </c>
    </row>
    <row r="25" spans="1:9" x14ac:dyDescent="0.15">
      <c r="A25">
        <v>24</v>
      </c>
      <c r="B25">
        <f>'[1]精英怪-敏捷'!$C$25</f>
        <v>23250</v>
      </c>
      <c r="C25">
        <f t="shared" si="0"/>
        <v>5850</v>
      </c>
      <c r="D25">
        <f>'[1]精英怪-敏捷'!$D$25</f>
        <v>10012</v>
      </c>
      <c r="E25">
        <f>'[1]精英怪-敏捷'!$E$25</f>
        <v>1868</v>
      </c>
      <c r="F25">
        <f>ROUND('[1]精英怪-敏捷'!$F$25*1000,0)</f>
        <v>200</v>
      </c>
      <c r="G25">
        <f>ROUND('[1]精英怪-敏捷'!$H$25*100,0)</f>
        <v>160</v>
      </c>
      <c r="H25">
        <f>'[1]精英怪-敏捷'!$I$25</f>
        <v>763</v>
      </c>
      <c r="I25">
        <f>'[1]精英怪-敏捷'!$J$25</f>
        <v>3004</v>
      </c>
    </row>
    <row r="26" spans="1:9" x14ac:dyDescent="0.15">
      <c r="A26">
        <v>25</v>
      </c>
      <c r="B26">
        <f>'[1]精英怪-敏捷'!$C$26</f>
        <v>30750</v>
      </c>
      <c r="C26">
        <f t="shared" si="0"/>
        <v>7500</v>
      </c>
      <c r="D26">
        <f>'[1]精英怪-敏捷'!$D$26</f>
        <v>13048</v>
      </c>
      <c r="E26">
        <f>'[1]精英怪-敏捷'!$E$26</f>
        <v>2468</v>
      </c>
      <c r="F26">
        <f>ROUND('[1]精英怪-敏捷'!$F$26*1000,0)</f>
        <v>200</v>
      </c>
      <c r="G26">
        <f>ROUND('[1]精英怪-敏捷'!$H$26*100,0)</f>
        <v>160</v>
      </c>
      <c r="H26">
        <f>'[1]精英怪-敏捷'!$I$26</f>
        <v>1171</v>
      </c>
      <c r="I26">
        <f>'[1]精英怪-敏捷'!$J$26</f>
        <v>3914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'[1]精英怪-防御'!$C$2</f>
        <v>50</v>
      </c>
      <c r="C2">
        <f>B2-0</f>
        <v>50</v>
      </c>
      <c r="D2">
        <f>'[1]精英怪-防御'!$D$2</f>
        <v>28</v>
      </c>
      <c r="E2">
        <f>'[1]精英怪-防御'!$E$2</f>
        <v>9</v>
      </c>
      <c r="F2">
        <f>ROUND('[1]精英怪-防御'!$F$2 *1000,0)</f>
        <v>0</v>
      </c>
      <c r="G2">
        <f>ROUND('[1]精英怪-防御'!$H$2 *100,0)</f>
        <v>100</v>
      </c>
      <c r="H2">
        <f>'[1]精英怪-防御'!$I$2</f>
        <v>9</v>
      </c>
      <c r="I2">
        <f>'[1]精英怪-防御'!$J$2</f>
        <v>8</v>
      </c>
    </row>
    <row r="3" spans="1:9" x14ac:dyDescent="0.15">
      <c r="A3">
        <v>2</v>
      </c>
      <c r="B3">
        <f>'[1]精英怪-防御'!$C$3</f>
        <v>100</v>
      </c>
      <c r="C3">
        <f>B3-B2</f>
        <v>50</v>
      </c>
      <c r="D3">
        <f>'[1]精英怪-防御'!$D$3</f>
        <v>29</v>
      </c>
      <c r="E3">
        <f>'[1]精英怪-防御'!$E$3</f>
        <v>12</v>
      </c>
      <c r="F3">
        <f>ROUND('[1]精英怪-防御'!$F$3 *1000,0)</f>
        <v>0</v>
      </c>
      <c r="G3">
        <f>ROUND('[1]精英怪-防御'!$H$3 *100,0)</f>
        <v>100</v>
      </c>
      <c r="H3">
        <f>'[1]精英怪-防御'!$I$3</f>
        <v>18</v>
      </c>
      <c r="I3">
        <f>'[1]精英怪-防御'!$J$3</f>
        <v>9</v>
      </c>
    </row>
    <row r="4" spans="1:9" x14ac:dyDescent="0.15">
      <c r="A4">
        <v>3</v>
      </c>
      <c r="B4">
        <f>'[1]精英怪-防御'!$C$4</f>
        <v>150</v>
      </c>
      <c r="C4">
        <f t="shared" ref="C4:C26" si="0">B4-B3</f>
        <v>50</v>
      </c>
      <c r="D4">
        <f>'[1]精英怪-防御'!$D$4</f>
        <v>33</v>
      </c>
      <c r="E4">
        <f>'[1]精英怪-防御'!$E$4</f>
        <v>15</v>
      </c>
      <c r="F4">
        <f>ROUND('[1]精英怪-防御'!$F$4 *1000,0)</f>
        <v>0</v>
      </c>
      <c r="G4">
        <f>ROUND('[1]精英怪-防御'!$H$4 *100,0)</f>
        <v>100</v>
      </c>
      <c r="H4">
        <f>'[1]精英怪-防御'!$I$4</f>
        <v>25</v>
      </c>
      <c r="I4">
        <f>'[1]精英怪-防御'!$J$4</f>
        <v>10</v>
      </c>
    </row>
    <row r="5" spans="1:9" x14ac:dyDescent="0.15">
      <c r="A5">
        <v>4</v>
      </c>
      <c r="B5">
        <f>'[1]精英怪-防御'!$C$5</f>
        <v>250</v>
      </c>
      <c r="C5">
        <f t="shared" si="0"/>
        <v>100</v>
      </c>
      <c r="D5">
        <f>'[1]精英怪-防御'!$D$5</f>
        <v>45</v>
      </c>
      <c r="E5">
        <f>'[1]精英怪-防御'!$E$5</f>
        <v>22</v>
      </c>
      <c r="F5">
        <f>ROUND('[1]精英怪-防御'!$F$5 *1000,0)</f>
        <v>0</v>
      </c>
      <c r="G5">
        <f>ROUND('[1]精英怪-防御'!$H$5 *100,0)</f>
        <v>100</v>
      </c>
      <c r="H5">
        <f>'[1]精英怪-防御'!$I$5</f>
        <v>35</v>
      </c>
      <c r="I5">
        <f>'[1]精英怪-防御'!$J$5</f>
        <v>14</v>
      </c>
    </row>
    <row r="6" spans="1:9" x14ac:dyDescent="0.15">
      <c r="A6">
        <v>5</v>
      </c>
      <c r="B6">
        <f>'[1]精英怪-防御'!$C$6</f>
        <v>350</v>
      </c>
      <c r="C6">
        <f t="shared" si="0"/>
        <v>100</v>
      </c>
      <c r="D6">
        <f>'[1]精英怪-防御'!$D$6</f>
        <v>52</v>
      </c>
      <c r="E6">
        <f>'[1]精英怪-防御'!$E$6</f>
        <v>35</v>
      </c>
      <c r="F6">
        <f>ROUND('[1]精英怪-防御'!$F$6 *1000,0)</f>
        <v>0</v>
      </c>
      <c r="G6">
        <f>ROUND('[1]精英怪-防御'!$H$6 *100,0)</f>
        <v>100</v>
      </c>
      <c r="H6">
        <f>'[1]精英怪-防御'!$I$6</f>
        <v>43</v>
      </c>
      <c r="I6">
        <f>'[1]精英怪-防御'!$J$6</f>
        <v>16</v>
      </c>
    </row>
    <row r="7" spans="1:9" x14ac:dyDescent="0.15">
      <c r="A7">
        <v>6</v>
      </c>
      <c r="B7">
        <f>'[1]精英怪-防御'!$C$7</f>
        <v>500</v>
      </c>
      <c r="C7">
        <f t="shared" si="0"/>
        <v>150</v>
      </c>
      <c r="D7">
        <f>'[1]精英怪-防御'!$D$7</f>
        <v>71</v>
      </c>
      <c r="E7">
        <f>'[1]精英怪-防御'!$E$7</f>
        <v>47</v>
      </c>
      <c r="F7">
        <f>ROUND('[1]精英怪-防御'!$F$7 *1000,0)</f>
        <v>0</v>
      </c>
      <c r="G7">
        <f>ROUND('[1]精英怪-防御'!$H$7 *100,0)</f>
        <v>100</v>
      </c>
      <c r="H7">
        <f>'[1]精英怪-防御'!$I$7</f>
        <v>56</v>
      </c>
      <c r="I7">
        <f>'[1]精英怪-防御'!$J$7</f>
        <v>21</v>
      </c>
    </row>
    <row r="8" spans="1:9" x14ac:dyDescent="0.15">
      <c r="A8">
        <v>7</v>
      </c>
      <c r="B8">
        <f>'[1]精英怪-防御'!$C$8</f>
        <v>650</v>
      </c>
      <c r="C8">
        <f t="shared" si="0"/>
        <v>150</v>
      </c>
      <c r="D8">
        <f>'[1]精英怪-防御'!$D$8</f>
        <v>89</v>
      </c>
      <c r="E8">
        <f>'[1]精英怪-防御'!$E$8</f>
        <v>60</v>
      </c>
      <c r="F8">
        <f>ROUND('[1]精英怪-防御'!$F$8 *1000,0)</f>
        <v>0</v>
      </c>
      <c r="G8">
        <f>ROUND('[1]精英怪-防御'!$H$8 *100,0)</f>
        <v>100</v>
      </c>
      <c r="H8">
        <f>'[1]精英怪-防御'!$I$8</f>
        <v>68</v>
      </c>
      <c r="I8">
        <f>'[1]精英怪-防御'!$J$8</f>
        <v>27</v>
      </c>
    </row>
    <row r="9" spans="1:9" x14ac:dyDescent="0.15">
      <c r="A9">
        <v>8</v>
      </c>
      <c r="B9">
        <f>'[1]精英怪-防御'!$C$9</f>
        <v>850</v>
      </c>
      <c r="C9">
        <f t="shared" si="0"/>
        <v>200</v>
      </c>
      <c r="D9">
        <f>'[1]精英怪-防御'!$D$9</f>
        <v>122</v>
      </c>
      <c r="E9">
        <f>'[1]精英怪-防御'!$E$9</f>
        <v>100</v>
      </c>
      <c r="F9">
        <f>ROUND('[1]精英怪-防御'!$F$9 *1000,0)</f>
        <v>0</v>
      </c>
      <c r="G9">
        <f>ROUND('[1]精英怪-防御'!$H$9 *100,0)</f>
        <v>100</v>
      </c>
      <c r="H9">
        <f>'[1]精英怪-防御'!$I$9</f>
        <v>90</v>
      </c>
      <c r="I9">
        <f>'[1]精英怪-防御'!$J$9</f>
        <v>37</v>
      </c>
    </row>
    <row r="10" spans="1:9" x14ac:dyDescent="0.15">
      <c r="A10">
        <v>9</v>
      </c>
      <c r="B10">
        <f>'[1]精英怪-防御'!$C$10</f>
        <v>1050</v>
      </c>
      <c r="C10">
        <f t="shared" si="0"/>
        <v>200</v>
      </c>
      <c r="D10">
        <f>'[1]精英怪-防御'!$D$10</f>
        <v>141</v>
      </c>
      <c r="E10">
        <f>'[1]精英怪-防御'!$E$10</f>
        <v>128</v>
      </c>
      <c r="F10">
        <f>ROUND('[1]精英怪-防御'!$F$10*1000,0)</f>
        <v>0</v>
      </c>
      <c r="G10">
        <f>ROUND('[1]精英怪-防御'!$H$10*100,0)</f>
        <v>100</v>
      </c>
      <c r="H10">
        <f>'[1]精英怪-防御'!$I$10</f>
        <v>107</v>
      </c>
      <c r="I10">
        <f>'[1]精英怪-防御'!$J$10</f>
        <v>42</v>
      </c>
    </row>
    <row r="11" spans="1:9" x14ac:dyDescent="0.15">
      <c r="A11">
        <v>10</v>
      </c>
      <c r="B11">
        <f>'[1]精英怪-防御'!$C$11</f>
        <v>1250</v>
      </c>
      <c r="C11">
        <f t="shared" si="0"/>
        <v>200</v>
      </c>
      <c r="D11">
        <f>'[1]精英怪-防御'!$D$11</f>
        <v>144</v>
      </c>
      <c r="E11">
        <f>'[1]精英怪-防御'!$E$11</f>
        <v>160</v>
      </c>
      <c r="F11">
        <f>ROUND('[1]精英怪-防御'!$F$11*1000,0)</f>
        <v>0</v>
      </c>
      <c r="G11">
        <f>ROUND('[1]精英怪-防御'!$H$11*100,0)</f>
        <v>100</v>
      </c>
      <c r="H11">
        <f>'[1]精英怪-防御'!$I$11</f>
        <v>132</v>
      </c>
      <c r="I11">
        <f>'[1]精英怪-防御'!$J$11</f>
        <v>43</v>
      </c>
    </row>
    <row r="12" spans="1:9" x14ac:dyDescent="0.15">
      <c r="A12">
        <v>11</v>
      </c>
      <c r="B12">
        <f>'[1]精英怪-防御'!$C$12</f>
        <v>1500</v>
      </c>
      <c r="C12">
        <f t="shared" si="0"/>
        <v>250</v>
      </c>
      <c r="D12">
        <f>'[1]精英怪-防御'!$D$12</f>
        <v>228</v>
      </c>
      <c r="E12">
        <f>'[1]精英怪-防御'!$E$12</f>
        <v>207</v>
      </c>
      <c r="F12">
        <f>ROUND('[1]精英怪-防御'!$F$12*1000,0)</f>
        <v>0</v>
      </c>
      <c r="G12">
        <f>ROUND('[1]精英怪-防御'!$H$12*100,0)</f>
        <v>100</v>
      </c>
      <c r="H12">
        <f>'[1]精英怪-防御'!$I$12</f>
        <v>154</v>
      </c>
      <c r="I12">
        <f>'[1]精英怪-防御'!$J$12</f>
        <v>68</v>
      </c>
    </row>
    <row r="13" spans="1:9" x14ac:dyDescent="0.15">
      <c r="A13">
        <v>12</v>
      </c>
      <c r="B13">
        <f>'[1]精英怪-防御'!$C$13</f>
        <v>1750</v>
      </c>
      <c r="C13">
        <f t="shared" si="0"/>
        <v>250</v>
      </c>
      <c r="D13">
        <f>'[1]精英怪-防御'!$D$13</f>
        <v>262</v>
      </c>
      <c r="E13">
        <f>'[1]精英怪-防御'!$E$13</f>
        <v>241</v>
      </c>
      <c r="F13">
        <f>ROUND('[1]精英怪-防御'!$F$13*1000,0)</f>
        <v>0</v>
      </c>
      <c r="G13">
        <f>ROUND('[1]精英怪-防御'!$H$13*100,0)</f>
        <v>100</v>
      </c>
      <c r="H13">
        <f>'[1]精英怪-防御'!$I$13</f>
        <v>178</v>
      </c>
      <c r="I13">
        <f>'[1]精英怪-防御'!$J$13</f>
        <v>79</v>
      </c>
    </row>
    <row r="14" spans="1:9" x14ac:dyDescent="0.15">
      <c r="A14">
        <v>13</v>
      </c>
      <c r="B14">
        <f>'[1]精英怪-防御'!$C$14</f>
        <v>2050</v>
      </c>
      <c r="C14">
        <f t="shared" si="0"/>
        <v>300</v>
      </c>
      <c r="D14">
        <f>'[1]精英怪-防御'!$D$14</f>
        <v>308</v>
      </c>
      <c r="E14">
        <f>'[1]精英怪-防御'!$E$14</f>
        <v>279</v>
      </c>
      <c r="F14">
        <f>ROUND('[1]精英怪-防御'!$F$14*1000,0)</f>
        <v>0</v>
      </c>
      <c r="G14">
        <f>ROUND('[1]精英怪-防御'!$H$14*100,0)</f>
        <v>100</v>
      </c>
      <c r="H14">
        <f>'[1]精英怪-防御'!$I$14</f>
        <v>205</v>
      </c>
      <c r="I14">
        <f>'[1]精英怪-防御'!$J$14</f>
        <v>92</v>
      </c>
    </row>
    <row r="15" spans="1:9" x14ac:dyDescent="0.15">
      <c r="A15">
        <v>14</v>
      </c>
      <c r="B15">
        <f>'[1]精英怪-防御'!$C$15</f>
        <v>2400</v>
      </c>
      <c r="C15">
        <f t="shared" si="0"/>
        <v>350</v>
      </c>
      <c r="D15">
        <f>'[1]精英怪-防御'!$D$15</f>
        <v>488</v>
      </c>
      <c r="E15">
        <f>'[1]精英怪-防御'!$E$15</f>
        <v>321</v>
      </c>
      <c r="F15">
        <f>ROUND('[1]精英怪-防御'!$F$15*1000,0)</f>
        <v>0</v>
      </c>
      <c r="G15">
        <f>ROUND('[1]精英怪-防御'!$H$15*100,0)</f>
        <v>100</v>
      </c>
      <c r="H15">
        <f>'[1]精英怪-防御'!$I$15</f>
        <v>235</v>
      </c>
      <c r="I15">
        <f>'[1]精英怪-防御'!$J$15</f>
        <v>146</v>
      </c>
    </row>
    <row r="16" spans="1:9" x14ac:dyDescent="0.15">
      <c r="A16">
        <v>15</v>
      </c>
      <c r="B16">
        <f>'[1]精英怪-防御'!$C$16</f>
        <v>2850</v>
      </c>
      <c r="C16">
        <f t="shared" si="0"/>
        <v>450</v>
      </c>
      <c r="D16">
        <f>'[1]精英怪-防御'!$D$16</f>
        <v>602</v>
      </c>
      <c r="E16">
        <f>'[1]精英怪-防御'!$E$16</f>
        <v>368</v>
      </c>
      <c r="F16">
        <f>ROUND('[1]精英怪-防御'!$F$16*1000,0)</f>
        <v>0</v>
      </c>
      <c r="G16">
        <f>ROUND('[1]精英怪-防御'!$H$16*100,0)</f>
        <v>100</v>
      </c>
      <c r="H16">
        <f>'[1]精英怪-防御'!$I$16</f>
        <v>268</v>
      </c>
      <c r="I16">
        <f>'[1]精英怪-防御'!$J$16</f>
        <v>181</v>
      </c>
    </row>
    <row r="17" spans="1:9" x14ac:dyDescent="0.15">
      <c r="A17">
        <v>16</v>
      </c>
      <c r="B17">
        <f>'[1]精英怪-防御'!$C$17</f>
        <v>3350</v>
      </c>
      <c r="C17">
        <f t="shared" si="0"/>
        <v>500</v>
      </c>
      <c r="D17">
        <f>'[1]精英怪-防御'!$D$17</f>
        <v>895</v>
      </c>
      <c r="E17">
        <f>'[1]精英怪-防御'!$E$17</f>
        <v>420</v>
      </c>
      <c r="F17">
        <f>ROUND('[1]精英怪-防御'!$F$17*1000,0)</f>
        <v>0</v>
      </c>
      <c r="G17">
        <f>ROUND('[1]精英怪-防御'!$H$17*100,0)</f>
        <v>100</v>
      </c>
      <c r="H17">
        <f>'[1]精英怪-防御'!$I$17</f>
        <v>305</v>
      </c>
      <c r="I17">
        <f>'[1]精英怪-防御'!$J$17</f>
        <v>269</v>
      </c>
    </row>
    <row r="18" spans="1:9" x14ac:dyDescent="0.15">
      <c r="A18">
        <v>17</v>
      </c>
      <c r="B18">
        <f>'[1]精英怪-防御'!$C$18</f>
        <v>3900</v>
      </c>
      <c r="C18">
        <f t="shared" si="0"/>
        <v>550</v>
      </c>
      <c r="D18">
        <f>'[1]精英怪-防御'!$D$18</f>
        <v>1061</v>
      </c>
      <c r="E18">
        <f>'[1]精英怪-防御'!$E$18</f>
        <v>478</v>
      </c>
      <c r="F18">
        <f>ROUND('[1]精英怪-防御'!$F$18*1000,0)</f>
        <v>0</v>
      </c>
      <c r="G18">
        <f>ROUND('[1]精英怪-防御'!$H$18*100,0)</f>
        <v>100</v>
      </c>
      <c r="H18">
        <f>'[1]精英怪-防御'!$I$18</f>
        <v>346</v>
      </c>
      <c r="I18">
        <f>'[1]精英怪-防御'!$J$18</f>
        <v>318</v>
      </c>
    </row>
    <row r="19" spans="1:9" x14ac:dyDescent="0.15">
      <c r="A19">
        <v>18</v>
      </c>
      <c r="B19">
        <f>'[1]精英怪-防御'!$C$19</f>
        <v>4550</v>
      </c>
      <c r="C19">
        <f t="shared" si="0"/>
        <v>650</v>
      </c>
      <c r="D19">
        <f>'[1]精英怪-防御'!$D$19</f>
        <v>1264</v>
      </c>
      <c r="E19">
        <f>'[1]精英怪-防御'!$E$19</f>
        <v>543</v>
      </c>
      <c r="F19">
        <f>ROUND('[1]精英怪-防御'!$F$19*1000,0)</f>
        <v>0</v>
      </c>
      <c r="G19">
        <f>ROUND('[1]精英怪-防御'!$H$19*100,0)</f>
        <v>100</v>
      </c>
      <c r="H19">
        <f>'[1]精英怪-防御'!$I$19</f>
        <v>392</v>
      </c>
      <c r="I19">
        <f>'[1]精英怪-防御'!$J$19</f>
        <v>379</v>
      </c>
    </row>
    <row r="20" spans="1:9" x14ac:dyDescent="0.15">
      <c r="A20">
        <v>19</v>
      </c>
      <c r="B20">
        <f>'[1]精英怪-防御'!$C$20</f>
        <v>5500</v>
      </c>
      <c r="C20">
        <f t="shared" si="0"/>
        <v>950</v>
      </c>
      <c r="D20">
        <f>'[1]精英怪-防御'!$D$20</f>
        <v>1882</v>
      </c>
      <c r="E20">
        <f>'[1]精英怪-防御'!$E$20</f>
        <v>615</v>
      </c>
      <c r="F20">
        <f>ROUND('[1]精英怪-防御'!$F$20*1000,0)</f>
        <v>0</v>
      </c>
      <c r="G20">
        <f>ROUND('[1]精英怪-防御'!$H$20*100,0)</f>
        <v>100</v>
      </c>
      <c r="H20">
        <f>'[1]精英怪-防御'!$I$20</f>
        <v>443</v>
      </c>
      <c r="I20">
        <f>'[1]精英怪-防御'!$J$20</f>
        <v>565</v>
      </c>
    </row>
    <row r="21" spans="1:9" x14ac:dyDescent="0.15">
      <c r="A21">
        <v>20</v>
      </c>
      <c r="B21">
        <f>'[1]精英怪-防御'!$C$21</f>
        <v>6600</v>
      </c>
      <c r="C21">
        <f t="shared" si="0"/>
        <v>1100</v>
      </c>
      <c r="D21">
        <f>'[1]精英怪-防御'!$D$21</f>
        <v>2569</v>
      </c>
      <c r="E21">
        <f>'[1]精英怪-防御'!$E$21</f>
        <v>750</v>
      </c>
      <c r="F21">
        <f>ROUND('[1]精英怪-防御'!$F$21*1000,0)</f>
        <v>0</v>
      </c>
      <c r="G21">
        <f>ROUND('[1]精英怪-防御'!$H$21*100,0)</f>
        <v>100</v>
      </c>
      <c r="H21">
        <f>'[1]精英怪-防御'!$I$21</f>
        <v>500</v>
      </c>
      <c r="I21">
        <f>'[1]精英怪-防御'!$J$21</f>
        <v>771</v>
      </c>
    </row>
    <row r="22" spans="1:9" x14ac:dyDescent="0.15">
      <c r="A22">
        <v>21</v>
      </c>
      <c r="B22">
        <f>'[1]精英怪-防御'!$C$22</f>
        <v>9450</v>
      </c>
      <c r="C22">
        <f t="shared" si="0"/>
        <v>2850</v>
      </c>
      <c r="D22">
        <f>'[1]精英怪-防御'!$D$22</f>
        <v>3819</v>
      </c>
      <c r="E22">
        <f>'[1]精英怪-防御'!$E$22</f>
        <v>764</v>
      </c>
      <c r="F22">
        <f>ROUND('[1]精英怪-防御'!$F$22*1000,0)</f>
        <v>0</v>
      </c>
      <c r="G22">
        <f>ROUND('[1]精英怪-防御'!$H$22*100,0)</f>
        <v>100</v>
      </c>
      <c r="H22">
        <f>'[1]精英怪-防御'!$I$22</f>
        <v>586</v>
      </c>
      <c r="I22">
        <f>'[1]精英怪-防御'!$J$22</f>
        <v>1146</v>
      </c>
    </row>
    <row r="23" spans="1:9" x14ac:dyDescent="0.15">
      <c r="A23">
        <v>22</v>
      </c>
      <c r="B23">
        <f>'[1]精英怪-防御'!$C$23</f>
        <v>12800</v>
      </c>
      <c r="C23">
        <f t="shared" si="0"/>
        <v>3350</v>
      </c>
      <c r="D23">
        <f>'[1]精英怪-防御'!$D$23</f>
        <v>5888</v>
      </c>
      <c r="E23">
        <f>'[1]精英怪-防御'!$E$23</f>
        <v>1032</v>
      </c>
      <c r="F23">
        <f>ROUND('[1]精英怪-防御'!$F$23*1000,0)</f>
        <v>0</v>
      </c>
      <c r="G23">
        <f>ROUND('[1]精英怪-防御'!$H$23*100,0)</f>
        <v>100</v>
      </c>
      <c r="H23">
        <f>'[1]精英怪-防御'!$I$23</f>
        <v>715</v>
      </c>
      <c r="I23">
        <f>'[1]精英怪-防御'!$J$23</f>
        <v>1766</v>
      </c>
    </row>
    <row r="24" spans="1:9" x14ac:dyDescent="0.15">
      <c r="A24">
        <v>23</v>
      </c>
      <c r="B24">
        <f>'[1]精英怪-防御'!$C$24</f>
        <v>17400</v>
      </c>
      <c r="C24">
        <f t="shared" si="0"/>
        <v>4600</v>
      </c>
      <c r="D24">
        <f>'[1]精英怪-防御'!$D$24</f>
        <v>8081</v>
      </c>
      <c r="E24">
        <f>'[1]精英怪-防御'!$E$24</f>
        <v>1400</v>
      </c>
      <c r="F24">
        <f>ROUND('[1]精英怪-防御'!$F$24*1000,0)</f>
        <v>0</v>
      </c>
      <c r="G24">
        <f>ROUND('[1]精英怪-防御'!$H$24*100,0)</f>
        <v>100</v>
      </c>
      <c r="H24">
        <f>'[1]精英怪-防御'!$I$24</f>
        <v>909</v>
      </c>
      <c r="I24">
        <f>'[1]精英怪-防御'!$J$24</f>
        <v>2424</v>
      </c>
    </row>
    <row r="25" spans="1:9" x14ac:dyDescent="0.15">
      <c r="A25">
        <v>24</v>
      </c>
      <c r="B25">
        <f>'[1]精英怪-防御'!$C$25</f>
        <v>23250</v>
      </c>
      <c r="C25">
        <f t="shared" si="0"/>
        <v>5850</v>
      </c>
      <c r="D25">
        <f>'[1]精英怪-防御'!$D$25</f>
        <v>10822</v>
      </c>
      <c r="E25">
        <f>'[1]精英怪-防御'!$E$25</f>
        <v>1868</v>
      </c>
      <c r="F25">
        <f>ROUND('[1]精英怪-防御'!$F$25*1000,0)</f>
        <v>0</v>
      </c>
      <c r="G25">
        <f>ROUND('[1]精英怪-防御'!$H$25*100,0)</f>
        <v>100</v>
      </c>
      <c r="H25">
        <f>'[1]精英怪-防御'!$I$25</f>
        <v>1200</v>
      </c>
      <c r="I25">
        <f>'[1]精英怪-防御'!$J$25</f>
        <v>3247</v>
      </c>
    </row>
    <row r="26" spans="1:9" x14ac:dyDescent="0.15">
      <c r="A26">
        <v>25</v>
      </c>
      <c r="B26">
        <f>'[1]精英怪-防御'!$C$26</f>
        <v>30750</v>
      </c>
      <c r="C26">
        <f t="shared" si="0"/>
        <v>7500</v>
      </c>
      <c r="D26">
        <f>'[1]精英怪-防御'!$D$26</f>
        <v>14266</v>
      </c>
      <c r="E26">
        <f>'[1]精英怪-防御'!$E$26</f>
        <v>2468</v>
      </c>
      <c r="F26">
        <f>ROUND('[1]精英怪-防御'!$F$26*1000,0)</f>
        <v>0</v>
      </c>
      <c r="G26">
        <f>ROUND('[1]精英怪-防御'!$H$26*100,0)</f>
        <v>100</v>
      </c>
      <c r="H26">
        <f>'[1]精英怪-防御'!$I$26</f>
        <v>1637</v>
      </c>
      <c r="I26">
        <f>'[1]精英怪-防御'!$J$26</f>
        <v>4280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-0.499984740745262"/>
  </sheetPr>
  <dimension ref="A1:I26"/>
  <sheetViews>
    <sheetView topLeftCell="A16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'[1]Boss怪-攻击'!$C$2</f>
        <v>50</v>
      </c>
      <c r="C2">
        <f>B2-0</f>
        <v>50</v>
      </c>
      <c r="D2">
        <f>'[1]Boss怪-攻击'!$D$2</f>
        <v>45</v>
      </c>
      <c r="E2">
        <f>'[1]Boss怪-攻击'!$E$2</f>
        <v>9</v>
      </c>
      <c r="F2">
        <f>ROUND('[1]Boss怪-攻击'!$F$2 *1000,0)</f>
        <v>0</v>
      </c>
      <c r="G2">
        <f>ROUND('[1]Boss怪-攻击'!$H$2 *100,0)</f>
        <v>100</v>
      </c>
      <c r="H2">
        <f>'[1]Boss怪-攻击'!$I$2</f>
        <v>8</v>
      </c>
      <c r="I2">
        <f>'[1]Boss怪-攻击'!$J$2</f>
        <v>9</v>
      </c>
    </row>
    <row r="3" spans="1:9" x14ac:dyDescent="0.15">
      <c r="A3">
        <v>2</v>
      </c>
      <c r="B3">
        <f>'[1]Boss怪-攻击'!$C$3</f>
        <v>100</v>
      </c>
      <c r="C3">
        <f>B3-B2</f>
        <v>50</v>
      </c>
      <c r="D3">
        <f>'[1]Boss怪-攻击'!$D$3</f>
        <v>52</v>
      </c>
      <c r="E3">
        <f>'[1]Boss怪-攻击'!$E$3</f>
        <v>15</v>
      </c>
      <c r="F3">
        <f>ROUND('[1]Boss怪-攻击'!$F$3 *1000,0)</f>
        <v>0</v>
      </c>
      <c r="G3">
        <f>ROUND('[1]Boss怪-攻击'!$H$3 *100,0)</f>
        <v>100</v>
      </c>
      <c r="H3">
        <f>'[1]Boss怪-攻击'!$I$3</f>
        <v>14</v>
      </c>
      <c r="I3">
        <f>'[1]Boss怪-攻击'!$J$3</f>
        <v>10</v>
      </c>
    </row>
    <row r="4" spans="1:9" x14ac:dyDescent="0.15">
      <c r="A4">
        <v>3</v>
      </c>
      <c r="B4">
        <f>'[1]Boss怪-攻击'!$C$4</f>
        <v>150</v>
      </c>
      <c r="C4">
        <f t="shared" ref="C4:C26" si="0">B4-B3</f>
        <v>50</v>
      </c>
      <c r="D4">
        <f>'[1]Boss怪-攻击'!$D$4</f>
        <v>58</v>
      </c>
      <c r="E4">
        <f>'[1]Boss怪-攻击'!$E$4</f>
        <v>22</v>
      </c>
      <c r="F4">
        <f>ROUND('[1]Boss怪-攻击'!$F$4 *1000,0)</f>
        <v>3</v>
      </c>
      <c r="G4">
        <f>ROUND('[1]Boss怪-攻击'!$H$4 *100,0)</f>
        <v>100</v>
      </c>
      <c r="H4">
        <f>'[1]Boss怪-攻击'!$I$4</f>
        <v>19</v>
      </c>
      <c r="I4">
        <f>'[1]Boss怪-攻击'!$J$4</f>
        <v>12</v>
      </c>
    </row>
    <row r="5" spans="1:9" x14ac:dyDescent="0.15">
      <c r="A5">
        <v>4</v>
      </c>
      <c r="B5">
        <f>'[1]Boss怪-攻击'!$C$5</f>
        <v>250</v>
      </c>
      <c r="C5">
        <f t="shared" si="0"/>
        <v>100</v>
      </c>
      <c r="D5">
        <f>'[1]Boss怪-攻击'!$D$5</f>
        <v>69</v>
      </c>
      <c r="E5">
        <f>'[1]Boss怪-攻击'!$E$5</f>
        <v>39</v>
      </c>
      <c r="F5">
        <f>ROUND('[1]Boss怪-攻击'!$F$5 *1000,0)</f>
        <v>3</v>
      </c>
      <c r="G5">
        <f>ROUND('[1]Boss怪-攻击'!$H$5 *100,0)</f>
        <v>100</v>
      </c>
      <c r="H5">
        <f>'[1]Boss怪-攻击'!$I$5</f>
        <v>26</v>
      </c>
      <c r="I5">
        <f>'[1]Boss怪-攻击'!$J$5</f>
        <v>14</v>
      </c>
    </row>
    <row r="6" spans="1:9" x14ac:dyDescent="0.15">
      <c r="A6">
        <v>5</v>
      </c>
      <c r="B6">
        <f>'[1]Boss怪-攻击'!$C$6</f>
        <v>350</v>
      </c>
      <c r="C6">
        <f t="shared" si="0"/>
        <v>100</v>
      </c>
      <c r="D6">
        <f>'[1]Boss怪-攻击'!$D$6</f>
        <v>86</v>
      </c>
      <c r="E6">
        <f>'[1]Boss怪-攻击'!$E$6</f>
        <v>52</v>
      </c>
      <c r="F6">
        <f>ROUND('[1]Boss怪-攻击'!$F$6 *1000,0)</f>
        <v>5</v>
      </c>
      <c r="G6">
        <f>ROUND('[1]Boss怪-攻击'!$H$6 *100,0)</f>
        <v>100</v>
      </c>
      <c r="H6">
        <f>'[1]Boss怪-攻击'!$I$6</f>
        <v>34</v>
      </c>
      <c r="I6">
        <f>'[1]Boss怪-攻击'!$J$6</f>
        <v>17</v>
      </c>
    </row>
    <row r="7" spans="1:9" x14ac:dyDescent="0.15">
      <c r="A7">
        <v>6</v>
      </c>
      <c r="B7">
        <f>'[1]Boss怪-攻击'!$C$7</f>
        <v>500</v>
      </c>
      <c r="C7">
        <f t="shared" si="0"/>
        <v>150</v>
      </c>
      <c r="D7">
        <f>'[1]Boss怪-攻击'!$D$7</f>
        <v>103</v>
      </c>
      <c r="E7">
        <f>'[1]Boss怪-攻击'!$E$7</f>
        <v>79</v>
      </c>
      <c r="F7">
        <f>ROUND('[1]Boss怪-攻击'!$F$7 *1000,0)</f>
        <v>10</v>
      </c>
      <c r="G7">
        <f>ROUND('[1]Boss怪-攻击'!$H$7 *100,0)</f>
        <v>100</v>
      </c>
      <c r="H7">
        <f>'[1]Boss怪-攻击'!$I$7</f>
        <v>43</v>
      </c>
      <c r="I7">
        <f>'[1]Boss怪-攻击'!$J$7</f>
        <v>21</v>
      </c>
    </row>
    <row r="8" spans="1:9" x14ac:dyDescent="0.15">
      <c r="A8">
        <v>7</v>
      </c>
      <c r="B8">
        <f>'[1]Boss怪-攻击'!$C$8</f>
        <v>650</v>
      </c>
      <c r="C8">
        <f t="shared" si="0"/>
        <v>150</v>
      </c>
      <c r="D8">
        <f>'[1]Boss怪-攻击'!$D$8</f>
        <v>123</v>
      </c>
      <c r="E8">
        <f>'[1]Boss怪-攻击'!$E$8</f>
        <v>103</v>
      </c>
      <c r="F8">
        <f>ROUND('[1]Boss怪-攻击'!$F$8 *1000,0)</f>
        <v>15</v>
      </c>
      <c r="G8">
        <f>ROUND('[1]Boss怪-攻击'!$H$8 *100,0)</f>
        <v>100</v>
      </c>
      <c r="H8">
        <f>'[1]Boss怪-攻击'!$I$8</f>
        <v>53</v>
      </c>
      <c r="I8">
        <f>'[1]Boss怪-攻击'!$J$8</f>
        <v>25</v>
      </c>
    </row>
    <row r="9" spans="1:9" x14ac:dyDescent="0.15">
      <c r="A9">
        <v>8</v>
      </c>
      <c r="B9">
        <f>'[1]Boss怪-攻击'!$C$9</f>
        <v>850</v>
      </c>
      <c r="C9">
        <f t="shared" si="0"/>
        <v>200</v>
      </c>
      <c r="D9">
        <f>'[1]Boss怪-攻击'!$D$9</f>
        <v>180</v>
      </c>
      <c r="E9">
        <f>'[1]Boss怪-攻击'!$E$9</f>
        <v>158</v>
      </c>
      <c r="F9">
        <f>ROUND('[1]Boss怪-攻击'!$F$9 *1000,0)</f>
        <v>25</v>
      </c>
      <c r="G9">
        <f>ROUND('[1]Boss怪-攻击'!$H$9 *100,0)</f>
        <v>100</v>
      </c>
      <c r="H9">
        <f>'[1]Boss怪-攻击'!$I$9</f>
        <v>64</v>
      </c>
      <c r="I9">
        <f>'[1]Boss怪-攻击'!$J$9</f>
        <v>36</v>
      </c>
    </row>
    <row r="10" spans="1:9" x14ac:dyDescent="0.15">
      <c r="A10">
        <v>9</v>
      </c>
      <c r="B10">
        <f>'[1]Boss怪-攻击'!$C$10</f>
        <v>1050</v>
      </c>
      <c r="C10">
        <f t="shared" si="0"/>
        <v>200</v>
      </c>
      <c r="D10">
        <f>'[1]Boss怪-攻击'!$D$10</f>
        <v>206</v>
      </c>
      <c r="E10">
        <f>'[1]Boss怪-攻击'!$E$10</f>
        <v>200</v>
      </c>
      <c r="F10">
        <f>ROUND('[1]Boss怪-攻击'!$F$10*1000,0)</f>
        <v>29</v>
      </c>
      <c r="G10">
        <f>ROUND('[1]Boss怪-攻击'!$H$10*100,0)</f>
        <v>100</v>
      </c>
      <c r="H10">
        <f>'[1]Boss怪-攻击'!$I$10</f>
        <v>76</v>
      </c>
      <c r="I10">
        <f>'[1]Boss怪-攻击'!$J$10</f>
        <v>41</v>
      </c>
    </row>
    <row r="11" spans="1:9" x14ac:dyDescent="0.15">
      <c r="A11">
        <v>10</v>
      </c>
      <c r="B11">
        <f>'[1]Boss怪-攻击'!$C$11</f>
        <v>1250</v>
      </c>
      <c r="C11">
        <f t="shared" si="0"/>
        <v>200</v>
      </c>
      <c r="D11">
        <f>'[1]Boss怪-攻击'!$D$11</f>
        <v>214</v>
      </c>
      <c r="E11">
        <f>'[1]Boss怪-攻击'!$E$11</f>
        <v>252</v>
      </c>
      <c r="F11">
        <f>ROUND('[1]Boss怪-攻击'!$F$11*1000,0)</f>
        <v>37</v>
      </c>
      <c r="G11">
        <f>ROUND('[1]Boss怪-攻击'!$H$11*100,0)</f>
        <v>100</v>
      </c>
      <c r="H11">
        <f>'[1]Boss怪-攻击'!$I$11</f>
        <v>89</v>
      </c>
      <c r="I11">
        <f>'[1]Boss怪-攻击'!$J$11</f>
        <v>43</v>
      </c>
    </row>
    <row r="12" spans="1:9" x14ac:dyDescent="0.15">
      <c r="A12">
        <v>11</v>
      </c>
      <c r="B12">
        <f>'[1]Boss怪-攻击'!$C$12</f>
        <v>1500</v>
      </c>
      <c r="C12">
        <f t="shared" si="0"/>
        <v>250</v>
      </c>
      <c r="D12">
        <f>'[1]Boss怪-攻击'!$D$12</f>
        <v>361</v>
      </c>
      <c r="E12">
        <f>'[1]Boss怪-攻击'!$E$12</f>
        <v>296</v>
      </c>
      <c r="F12">
        <f>ROUND('[1]Boss怪-攻击'!$F$12*1000,0)</f>
        <v>46</v>
      </c>
      <c r="G12">
        <f>ROUND('[1]Boss怪-攻击'!$H$12*100,0)</f>
        <v>100</v>
      </c>
      <c r="H12">
        <f>'[1]Boss怪-攻击'!$I$12</f>
        <v>103</v>
      </c>
      <c r="I12">
        <f>'[1]Boss怪-攻击'!$J$12</f>
        <v>72</v>
      </c>
    </row>
    <row r="13" spans="1:9" x14ac:dyDescent="0.15">
      <c r="A13">
        <v>12</v>
      </c>
      <c r="B13">
        <f>'[1]Boss怪-攻击'!$C$13</f>
        <v>1750</v>
      </c>
      <c r="C13">
        <f t="shared" si="0"/>
        <v>250</v>
      </c>
      <c r="D13">
        <f>'[1]Boss怪-攻击'!$D$13</f>
        <v>408</v>
      </c>
      <c r="E13">
        <f>'[1]Boss怪-攻击'!$E$13</f>
        <v>345</v>
      </c>
      <c r="F13">
        <f>ROUND('[1]Boss怪-攻击'!$F$13*1000,0)</f>
        <v>55</v>
      </c>
      <c r="G13">
        <f>ROUND('[1]Boss怪-攻击'!$H$13*100,0)</f>
        <v>100</v>
      </c>
      <c r="H13">
        <f>'[1]Boss怪-攻击'!$I$13</f>
        <v>119</v>
      </c>
      <c r="I13">
        <f>'[1]Boss怪-攻击'!$J$13</f>
        <v>82</v>
      </c>
    </row>
    <row r="14" spans="1:9" x14ac:dyDescent="0.15">
      <c r="A14">
        <v>13</v>
      </c>
      <c r="B14">
        <f>'[1]Boss怪-攻击'!$C$14</f>
        <v>2050</v>
      </c>
      <c r="C14">
        <f t="shared" si="0"/>
        <v>300</v>
      </c>
      <c r="D14">
        <f>'[1]Boss怪-攻击'!$D$14</f>
        <v>473</v>
      </c>
      <c r="E14">
        <f>'[1]Boss怪-攻击'!$E$14</f>
        <v>400</v>
      </c>
      <c r="F14">
        <f>ROUND('[1]Boss怪-攻击'!$F$14*1000,0)</f>
        <v>65</v>
      </c>
      <c r="G14">
        <f>ROUND('[1]Boss怪-攻击'!$H$14*100,0)</f>
        <v>100</v>
      </c>
      <c r="H14">
        <f>'[1]Boss怪-攻击'!$I$14</f>
        <v>137</v>
      </c>
      <c r="I14">
        <f>'[1]Boss怪-攻击'!$J$14</f>
        <v>95</v>
      </c>
    </row>
    <row r="15" spans="1:9" x14ac:dyDescent="0.15">
      <c r="A15">
        <v>14</v>
      </c>
      <c r="B15">
        <f>'[1]Boss怪-攻击'!$C$15</f>
        <v>2400</v>
      </c>
      <c r="C15">
        <f t="shared" si="0"/>
        <v>350</v>
      </c>
      <c r="D15">
        <f>'[1]Boss怪-攻击'!$D$15</f>
        <v>713</v>
      </c>
      <c r="E15">
        <f>'[1]Boss怪-攻击'!$E$15</f>
        <v>461</v>
      </c>
      <c r="F15">
        <f>ROUND('[1]Boss怪-攻击'!$F$15*1000,0)</f>
        <v>76</v>
      </c>
      <c r="G15">
        <f>ROUND('[1]Boss怪-攻击'!$H$15*100,0)</f>
        <v>100</v>
      </c>
      <c r="H15">
        <f>'[1]Boss怪-攻击'!$I$15</f>
        <v>157</v>
      </c>
      <c r="I15">
        <f>'[1]Boss怪-攻击'!$J$15</f>
        <v>143</v>
      </c>
    </row>
    <row r="16" spans="1:9" x14ac:dyDescent="0.15">
      <c r="A16">
        <v>15</v>
      </c>
      <c r="B16">
        <f>'[1]Boss怪-攻击'!$C$16</f>
        <v>2850</v>
      </c>
      <c r="C16">
        <f t="shared" si="0"/>
        <v>450</v>
      </c>
      <c r="D16">
        <f>'[1]Boss怪-攻击'!$D$16</f>
        <v>863</v>
      </c>
      <c r="E16">
        <f>'[1]Boss怪-攻击'!$E$16</f>
        <v>529</v>
      </c>
      <c r="F16">
        <f>ROUND('[1]Boss怪-攻击'!$F$16*1000,0)</f>
        <v>89</v>
      </c>
      <c r="G16">
        <f>ROUND('[1]Boss怪-攻击'!$H$16*100,0)</f>
        <v>100</v>
      </c>
      <c r="H16">
        <f>'[1]Boss怪-攻击'!$I$16</f>
        <v>179</v>
      </c>
      <c r="I16">
        <f>'[1]Boss怪-攻击'!$J$16</f>
        <v>173</v>
      </c>
    </row>
    <row r="17" spans="1:9" x14ac:dyDescent="0.15">
      <c r="A17">
        <v>16</v>
      </c>
      <c r="B17">
        <f>'[1]Boss怪-攻击'!$C$17</f>
        <v>3350</v>
      </c>
      <c r="C17">
        <f t="shared" si="0"/>
        <v>500</v>
      </c>
      <c r="D17">
        <f>'[1]Boss怪-攻击'!$D$17</f>
        <v>1251</v>
      </c>
      <c r="E17">
        <f>'[1]Boss怪-攻击'!$E$17</f>
        <v>605</v>
      </c>
      <c r="F17">
        <f>ROUND('[1]Boss怪-攻击'!$F$17*1000,0)</f>
        <v>100</v>
      </c>
      <c r="G17">
        <f>ROUND('[1]Boss怪-攻击'!$H$17*100,0)</f>
        <v>100</v>
      </c>
      <c r="H17">
        <f>'[1]Boss怪-攻击'!$I$17</f>
        <v>204</v>
      </c>
      <c r="I17">
        <f>'[1]Boss怪-攻击'!$J$17</f>
        <v>250</v>
      </c>
    </row>
    <row r="18" spans="1:9" x14ac:dyDescent="0.15">
      <c r="A18">
        <v>17</v>
      </c>
      <c r="B18">
        <f>'[1]Boss怪-攻击'!$C$18</f>
        <v>3900</v>
      </c>
      <c r="C18">
        <f t="shared" si="0"/>
        <v>550</v>
      </c>
      <c r="D18">
        <f>'[1]Boss怪-攻击'!$D$18</f>
        <v>1466</v>
      </c>
      <c r="E18">
        <f>'[1]Boss怪-攻击'!$E$18</f>
        <v>689</v>
      </c>
      <c r="F18">
        <f>ROUND('[1]Boss怪-攻击'!$F$18*1000,0)</f>
        <v>111</v>
      </c>
      <c r="G18">
        <f>ROUND('[1]Boss怪-攻击'!$H$18*100,0)</f>
        <v>100</v>
      </c>
      <c r="H18">
        <f>'[1]Boss怪-攻击'!$I$18</f>
        <v>232</v>
      </c>
      <c r="I18">
        <f>'[1]Boss怪-攻击'!$J$18</f>
        <v>293</v>
      </c>
    </row>
    <row r="19" spans="1:9" x14ac:dyDescent="0.15">
      <c r="A19">
        <v>18</v>
      </c>
      <c r="B19">
        <f>'[1]Boss怪-攻击'!$C$19</f>
        <v>4550</v>
      </c>
      <c r="C19">
        <f t="shared" si="0"/>
        <v>650</v>
      </c>
      <c r="D19">
        <f>'[1]Boss怪-攻击'!$D$19</f>
        <v>1729</v>
      </c>
      <c r="E19">
        <f>'[1]Boss怪-攻击'!$E$19</f>
        <v>782</v>
      </c>
      <c r="F19">
        <f>ROUND('[1]Boss怪-攻击'!$F$19*1000,0)</f>
        <v>125</v>
      </c>
      <c r="G19">
        <f>ROUND('[1]Boss怪-攻击'!$H$19*100,0)</f>
        <v>100</v>
      </c>
      <c r="H19">
        <f>'[1]Boss怪-攻击'!$I$19</f>
        <v>263</v>
      </c>
      <c r="I19">
        <f>'[1]Boss怪-攻击'!$J$19</f>
        <v>346</v>
      </c>
    </row>
    <row r="20" spans="1:9" x14ac:dyDescent="0.15">
      <c r="A20">
        <v>19</v>
      </c>
      <c r="B20">
        <f>'[1]Boss怪-攻击'!$C$20</f>
        <v>5500</v>
      </c>
      <c r="C20">
        <f t="shared" si="0"/>
        <v>950</v>
      </c>
      <c r="D20">
        <f>'[1]Boss怪-攻击'!$D$20</f>
        <v>2555</v>
      </c>
      <c r="E20">
        <f>'[1]Boss怪-攻击'!$E$20</f>
        <v>885</v>
      </c>
      <c r="F20">
        <f>ROUND('[1]Boss怪-攻击'!$F$20*1000,0)</f>
        <v>130</v>
      </c>
      <c r="G20">
        <f>ROUND('[1]Boss怪-攻击'!$H$20*100,0)</f>
        <v>100</v>
      </c>
      <c r="H20">
        <f>'[1]Boss怪-攻击'!$I$20</f>
        <v>298</v>
      </c>
      <c r="I20">
        <f>'[1]Boss怪-攻击'!$J$20</f>
        <v>511</v>
      </c>
    </row>
    <row r="21" spans="1:9" x14ac:dyDescent="0.15">
      <c r="A21">
        <v>20</v>
      </c>
      <c r="B21">
        <f>'[1]Boss怪-攻击'!$C$21</f>
        <v>6600</v>
      </c>
      <c r="C21">
        <f t="shared" si="0"/>
        <v>1100</v>
      </c>
      <c r="D21">
        <f>'[1]Boss怪-攻击'!$D$21</f>
        <v>3109</v>
      </c>
      <c r="E21">
        <f>'[1]Boss怪-攻击'!$E$21</f>
        <v>1100</v>
      </c>
      <c r="F21">
        <f>ROUND('[1]Boss怪-攻击'!$F$21*1000,0)</f>
        <v>180</v>
      </c>
      <c r="G21">
        <f>ROUND('[1]Boss怪-攻击'!$H$21*100,0)</f>
        <v>100</v>
      </c>
      <c r="H21">
        <f>'[1]Boss怪-攻击'!$I$21</f>
        <v>337</v>
      </c>
      <c r="I21">
        <f>'[1]Boss怪-攻击'!$J$21</f>
        <v>622</v>
      </c>
    </row>
    <row r="22" spans="1:9" x14ac:dyDescent="0.15">
      <c r="A22">
        <v>21</v>
      </c>
      <c r="B22">
        <f>'[1]Boss怪-攻击'!$C$22</f>
        <v>9450</v>
      </c>
      <c r="C22">
        <f t="shared" si="0"/>
        <v>2850</v>
      </c>
      <c r="D22">
        <f>'[1]Boss怪-攻击'!$D$22</f>
        <v>4298</v>
      </c>
      <c r="E22">
        <f>'[1]Boss怪-攻击'!$E$22</f>
        <v>1401</v>
      </c>
      <c r="F22">
        <f>ROUND('[1]Boss怪-攻击'!$F$22*1000,0)</f>
        <v>180</v>
      </c>
      <c r="G22">
        <f>ROUND('[1]Boss怪-攻击'!$H$22*100,0)</f>
        <v>100</v>
      </c>
      <c r="H22">
        <f>'[1]Boss怪-攻击'!$I$22</f>
        <v>396</v>
      </c>
      <c r="I22">
        <f>'[1]Boss怪-攻击'!$J$22</f>
        <v>860</v>
      </c>
    </row>
    <row r="23" spans="1:9" x14ac:dyDescent="0.15">
      <c r="A23">
        <v>22</v>
      </c>
      <c r="B23">
        <f>'[1]Boss怪-攻击'!$C$23</f>
        <v>12800</v>
      </c>
      <c r="C23">
        <f t="shared" si="0"/>
        <v>3350</v>
      </c>
      <c r="D23">
        <f>'[1]Boss怪-攻击'!$D$23</f>
        <v>6802</v>
      </c>
      <c r="E23">
        <f>'[1]Boss怪-攻击'!$E$23</f>
        <v>1822</v>
      </c>
      <c r="F23">
        <f>ROUND('[1]Boss怪-攻击'!$F$23*1000,0)</f>
        <v>180</v>
      </c>
      <c r="G23">
        <f>ROUND('[1]Boss怪-攻击'!$H$23*100,0)</f>
        <v>100</v>
      </c>
      <c r="H23">
        <f>'[1]Boss怪-攻击'!$I$23</f>
        <v>485</v>
      </c>
      <c r="I23">
        <f>'[1]Boss怪-攻击'!$J$23</f>
        <v>1360</v>
      </c>
    </row>
    <row r="24" spans="1:9" x14ac:dyDescent="0.15">
      <c r="A24">
        <v>23</v>
      </c>
      <c r="B24">
        <f>'[1]Boss怪-攻击'!$C$24</f>
        <v>17400</v>
      </c>
      <c r="C24">
        <f t="shared" si="0"/>
        <v>4600</v>
      </c>
      <c r="D24">
        <f>'[1]Boss怪-攻击'!$D$24</f>
        <v>9332</v>
      </c>
      <c r="E24">
        <f>'[1]Boss怪-攻击'!$E$24</f>
        <v>2411</v>
      </c>
      <c r="F24">
        <f>ROUND('[1]Boss怪-攻击'!$F$24*1000,0)</f>
        <v>200</v>
      </c>
      <c r="G24">
        <f>ROUND('[1]Boss怪-攻击'!$H$24*100,0)</f>
        <v>100</v>
      </c>
      <c r="H24">
        <f>'[1]Boss怪-攻击'!$I$24</f>
        <v>619</v>
      </c>
      <c r="I24">
        <f>'[1]Boss怪-攻击'!$J$24</f>
        <v>1866</v>
      </c>
    </row>
    <row r="25" spans="1:9" x14ac:dyDescent="0.15">
      <c r="A25">
        <v>24</v>
      </c>
      <c r="B25">
        <f>'[1]Boss怪-攻击'!$C$25</f>
        <v>23250</v>
      </c>
      <c r="C25">
        <f t="shared" si="0"/>
        <v>5850</v>
      </c>
      <c r="D25">
        <f>'[1]Boss怪-攻击'!$D$25</f>
        <v>12455</v>
      </c>
      <c r="E25">
        <f>'[1]Boss怪-攻击'!$E$25</f>
        <v>3236</v>
      </c>
      <c r="F25">
        <f>ROUND('[1]Boss怪-攻击'!$F$25*1000,0)</f>
        <v>200</v>
      </c>
      <c r="G25">
        <f>ROUND('[1]Boss怪-攻击'!$H$25*100,0)</f>
        <v>100</v>
      </c>
      <c r="H25">
        <f>'[1]Boss怪-攻击'!$I$25</f>
        <v>820</v>
      </c>
      <c r="I25">
        <f>'[1]Boss怪-攻击'!$J$25</f>
        <v>2491</v>
      </c>
    </row>
    <row r="26" spans="1:9" x14ac:dyDescent="0.15">
      <c r="A26">
        <v>25</v>
      </c>
      <c r="B26">
        <f>'[1]Boss怪-攻击'!$C$26</f>
        <v>30750</v>
      </c>
      <c r="C26">
        <f t="shared" si="0"/>
        <v>7500</v>
      </c>
      <c r="D26">
        <f>'[1]Boss怪-攻击'!$D$26</f>
        <v>16251</v>
      </c>
      <c r="E26">
        <f>'[1]Boss怪-攻击'!$E$26</f>
        <v>4391</v>
      </c>
      <c r="F26">
        <f>ROUND('[1]Boss怪-攻击'!$F$26*1000,0)</f>
        <v>200</v>
      </c>
      <c r="G26">
        <f>ROUND('[1]Boss怪-攻击'!$H$26*100,0)</f>
        <v>100</v>
      </c>
      <c r="H26">
        <f>'[1]Boss怪-攻击'!$I$26</f>
        <v>1122</v>
      </c>
      <c r="I26">
        <f>'[1]Boss怪-攻击'!$J$26</f>
        <v>3250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'[1]Boss怪-回复'!$C$2</f>
        <v>50</v>
      </c>
      <c r="C2">
        <f>B2-0</f>
        <v>50</v>
      </c>
      <c r="D2">
        <f>'[1]Boss怪-回复'!$D$2</f>
        <v>41</v>
      </c>
      <c r="E2">
        <f>'[1]Boss怪-回复'!$E$2</f>
        <v>7</v>
      </c>
      <c r="F2">
        <f>ROUND('[1]Boss怪-回复'!$F$2 *1000,0)</f>
        <v>100</v>
      </c>
      <c r="G2">
        <f>ROUND('[1]Boss怪-回复'!$H$2 *100,0)</f>
        <v>100</v>
      </c>
      <c r="H2">
        <f>'[1]Boss怪-回复'!$I$2</f>
        <v>6</v>
      </c>
      <c r="I2">
        <f>'[1]Boss怪-回复'!$J$2</f>
        <v>21</v>
      </c>
    </row>
    <row r="3" spans="1:9" x14ac:dyDescent="0.15">
      <c r="A3">
        <v>2</v>
      </c>
      <c r="B3">
        <f>'[1]Boss怪-回复'!$C$3</f>
        <v>100</v>
      </c>
      <c r="C3">
        <f>B3-B2</f>
        <v>50</v>
      </c>
      <c r="D3">
        <f>'[1]Boss怪-回复'!$D$3</f>
        <v>45</v>
      </c>
      <c r="E3">
        <f>'[1]Boss怪-回复'!$E$3</f>
        <v>13</v>
      </c>
      <c r="F3">
        <f>ROUND('[1]Boss怪-回复'!$F$3 *1000,0)</f>
        <v>100</v>
      </c>
      <c r="G3">
        <f>ROUND('[1]Boss怪-回复'!$H$3 *100,0)</f>
        <v>100</v>
      </c>
      <c r="H3">
        <f>'[1]Boss怪-回复'!$I$3</f>
        <v>12</v>
      </c>
      <c r="I3">
        <f>'[1]Boss怪-回复'!$J$3</f>
        <v>23</v>
      </c>
    </row>
    <row r="4" spans="1:9" x14ac:dyDescent="0.15">
      <c r="A4">
        <v>3</v>
      </c>
      <c r="B4">
        <f>'[1]Boss怪-回复'!$C$4</f>
        <v>150</v>
      </c>
      <c r="C4">
        <f t="shared" ref="C4:C26" si="0">B4-B3</f>
        <v>50</v>
      </c>
      <c r="D4">
        <f>'[1]Boss怪-回复'!$D$4</f>
        <v>48</v>
      </c>
      <c r="E4">
        <f>'[1]Boss怪-回复'!$E$4</f>
        <v>21</v>
      </c>
      <c r="F4">
        <f>ROUND('[1]Boss怪-回复'!$F$4 *1000,0)</f>
        <v>100</v>
      </c>
      <c r="G4">
        <f>ROUND('[1]Boss怪-回复'!$H$4 *100,0)</f>
        <v>100</v>
      </c>
      <c r="H4">
        <f>'[1]Boss怪-回复'!$I$4</f>
        <v>17</v>
      </c>
      <c r="I4">
        <f>'[1]Boss怪-回复'!$J$4</f>
        <v>24</v>
      </c>
    </row>
    <row r="5" spans="1:9" x14ac:dyDescent="0.15">
      <c r="A5">
        <v>4</v>
      </c>
      <c r="B5">
        <f>'[1]Boss怪-回复'!$C$5</f>
        <v>250</v>
      </c>
      <c r="C5">
        <f t="shared" si="0"/>
        <v>100</v>
      </c>
      <c r="D5">
        <f>'[1]Boss怪-回复'!$D$5</f>
        <v>63</v>
      </c>
      <c r="E5">
        <f>'[1]Boss怪-回复'!$E$5</f>
        <v>30</v>
      </c>
      <c r="F5">
        <f>ROUND('[1]Boss怪-回复'!$F$5 *1000,0)</f>
        <v>100</v>
      </c>
      <c r="G5">
        <f>ROUND('[1]Boss怪-回复'!$H$5 *100,0)</f>
        <v>100</v>
      </c>
      <c r="H5">
        <f>'[1]Boss怪-回复'!$I$5</f>
        <v>27</v>
      </c>
      <c r="I5">
        <f>'[1]Boss怪-回复'!$J$5</f>
        <v>32</v>
      </c>
    </row>
    <row r="6" spans="1:9" x14ac:dyDescent="0.15">
      <c r="A6">
        <v>5</v>
      </c>
      <c r="B6">
        <f>'[1]Boss怪-回复'!$C$6</f>
        <v>350</v>
      </c>
      <c r="C6">
        <f t="shared" si="0"/>
        <v>100</v>
      </c>
      <c r="D6">
        <f>'[1]Boss怪-回复'!$D$6</f>
        <v>75</v>
      </c>
      <c r="E6">
        <f>'[1]Boss怪-回复'!$E$6</f>
        <v>42</v>
      </c>
      <c r="F6">
        <f>ROUND('[1]Boss怪-回复'!$F$6 *1000,0)</f>
        <v>100</v>
      </c>
      <c r="G6">
        <f>ROUND('[1]Boss怪-回复'!$H$6 *100,0)</f>
        <v>100</v>
      </c>
      <c r="H6">
        <f>'[1]Boss怪-回复'!$I$6</f>
        <v>36</v>
      </c>
      <c r="I6">
        <f>'[1]Boss怪-回复'!$J$6</f>
        <v>38</v>
      </c>
    </row>
    <row r="7" spans="1:9" x14ac:dyDescent="0.15">
      <c r="A7">
        <v>6</v>
      </c>
      <c r="B7">
        <f>'[1]Boss怪-回复'!$C$7</f>
        <v>500</v>
      </c>
      <c r="C7">
        <f t="shared" si="0"/>
        <v>150</v>
      </c>
      <c r="D7">
        <f>'[1]Boss怪-回复'!$D$7</f>
        <v>87</v>
      </c>
      <c r="E7">
        <f>'[1]Boss怪-回复'!$E$7</f>
        <v>68</v>
      </c>
      <c r="F7">
        <f>ROUND('[1]Boss怪-回复'!$F$7 *1000,0)</f>
        <v>100</v>
      </c>
      <c r="G7">
        <f>ROUND('[1]Boss怪-回复'!$H$7 *100,0)</f>
        <v>100</v>
      </c>
      <c r="H7">
        <f>'[1]Boss怪-回复'!$I$7</f>
        <v>46</v>
      </c>
      <c r="I7">
        <f>'[1]Boss怪-回复'!$J$7</f>
        <v>44</v>
      </c>
    </row>
    <row r="8" spans="1:9" x14ac:dyDescent="0.15">
      <c r="A8">
        <v>7</v>
      </c>
      <c r="B8">
        <f>'[1]Boss怪-回复'!$C$8</f>
        <v>650</v>
      </c>
      <c r="C8">
        <f t="shared" si="0"/>
        <v>150</v>
      </c>
      <c r="D8">
        <f>'[1]Boss怪-回复'!$D$8</f>
        <v>111</v>
      </c>
      <c r="E8">
        <f>'[1]Boss怪-回复'!$E$8</f>
        <v>84</v>
      </c>
      <c r="F8">
        <f>ROUND('[1]Boss怪-回复'!$F$8 *1000,0)</f>
        <v>101</v>
      </c>
      <c r="G8">
        <f>ROUND('[1]Boss怪-回复'!$H$8 *100,0)</f>
        <v>100</v>
      </c>
      <c r="H8">
        <f>'[1]Boss怪-回复'!$I$8</f>
        <v>57</v>
      </c>
      <c r="I8">
        <f>'[1]Boss怪-回复'!$J$8</f>
        <v>56</v>
      </c>
    </row>
    <row r="9" spans="1:9" x14ac:dyDescent="0.15">
      <c r="A9">
        <v>8</v>
      </c>
      <c r="B9">
        <f>'[1]Boss怪-回复'!$C$9</f>
        <v>850</v>
      </c>
      <c r="C9">
        <f t="shared" si="0"/>
        <v>200</v>
      </c>
      <c r="D9">
        <f>'[1]Boss怪-回复'!$D$9</f>
        <v>190</v>
      </c>
      <c r="E9">
        <f>'[1]Boss怪-回复'!$E$9</f>
        <v>110</v>
      </c>
      <c r="F9">
        <f>ROUND('[1]Boss怪-回复'!$F$9 *1000,0)</f>
        <v>101</v>
      </c>
      <c r="G9">
        <f>ROUND('[1]Boss怪-回复'!$H$9 *100,0)</f>
        <v>100</v>
      </c>
      <c r="H9">
        <f>'[1]Boss怪-回复'!$I$9</f>
        <v>69</v>
      </c>
      <c r="I9">
        <f>'[1]Boss怪-回复'!$J$9</f>
        <v>95</v>
      </c>
    </row>
    <row r="10" spans="1:9" x14ac:dyDescent="0.15">
      <c r="A10">
        <v>9</v>
      </c>
      <c r="B10">
        <f>'[1]Boss怪-回复'!$C$10</f>
        <v>1050</v>
      </c>
      <c r="C10">
        <f t="shared" si="0"/>
        <v>200</v>
      </c>
      <c r="D10">
        <f>'[1]Boss怪-回复'!$D$10</f>
        <v>214</v>
      </c>
      <c r="E10">
        <f>'[1]Boss怪-回复'!$E$10</f>
        <v>147</v>
      </c>
      <c r="F10">
        <f>ROUND('[1]Boss怪-回复'!$F$10*1000,0)</f>
        <v>101</v>
      </c>
      <c r="G10">
        <f>ROUND('[1]Boss怪-回复'!$H$10*100,0)</f>
        <v>100</v>
      </c>
      <c r="H10">
        <f>'[1]Boss怪-回复'!$I$10</f>
        <v>82</v>
      </c>
      <c r="I10">
        <f>'[1]Boss怪-回复'!$J$10</f>
        <v>107</v>
      </c>
    </row>
    <row r="11" spans="1:9" x14ac:dyDescent="0.15">
      <c r="A11">
        <v>10</v>
      </c>
      <c r="B11">
        <f>'[1]Boss怪-回复'!$C$11</f>
        <v>1250</v>
      </c>
      <c r="C11">
        <f t="shared" si="0"/>
        <v>200</v>
      </c>
      <c r="D11">
        <f>'[1]Boss怪-回复'!$D$11</f>
        <v>240</v>
      </c>
      <c r="E11">
        <f>'[1]Boss怪-回复'!$E$11</f>
        <v>182</v>
      </c>
      <c r="F11">
        <f>ROUND('[1]Boss怪-回复'!$F$11*1000,0)</f>
        <v>101</v>
      </c>
      <c r="G11">
        <f>ROUND('[1]Boss怪-回复'!$H$11*100,0)</f>
        <v>100</v>
      </c>
      <c r="H11">
        <f>'[1]Boss怪-回复'!$I$11</f>
        <v>96</v>
      </c>
      <c r="I11">
        <f>'[1]Boss怪-回复'!$J$11</f>
        <v>120</v>
      </c>
    </row>
    <row r="12" spans="1:9" x14ac:dyDescent="0.15">
      <c r="A12">
        <v>11</v>
      </c>
      <c r="B12">
        <f>'[1]Boss怪-回复'!$C$12</f>
        <v>1500</v>
      </c>
      <c r="C12">
        <f t="shared" si="0"/>
        <v>250</v>
      </c>
      <c r="D12">
        <f>'[1]Boss怪-回复'!$D$12</f>
        <v>373</v>
      </c>
      <c r="E12">
        <f>'[1]Boss怪-回复'!$E$12</f>
        <v>214</v>
      </c>
      <c r="F12">
        <f>ROUND('[1]Boss怪-回复'!$F$12*1000,0)</f>
        <v>101</v>
      </c>
      <c r="G12">
        <f>ROUND('[1]Boss怪-回复'!$H$12*100,0)</f>
        <v>100</v>
      </c>
      <c r="H12">
        <f>'[1]Boss怪-回复'!$I$12</f>
        <v>112</v>
      </c>
      <c r="I12">
        <f>'[1]Boss怪-回复'!$J$12</f>
        <v>187</v>
      </c>
    </row>
    <row r="13" spans="1:9" x14ac:dyDescent="0.15">
      <c r="A13">
        <v>12</v>
      </c>
      <c r="B13">
        <f>'[1]Boss怪-回复'!$C$13</f>
        <v>1750</v>
      </c>
      <c r="C13">
        <f t="shared" si="0"/>
        <v>250</v>
      </c>
      <c r="D13">
        <f>'[1]Boss怪-回复'!$D$13</f>
        <v>427</v>
      </c>
      <c r="E13">
        <f>'[1]Boss怪-回复'!$E$13</f>
        <v>250</v>
      </c>
      <c r="F13">
        <f>ROUND('[1]Boss怪-回复'!$F$13*1000,0)</f>
        <v>102</v>
      </c>
      <c r="G13">
        <f>ROUND('[1]Boss怪-回复'!$H$13*100,0)</f>
        <v>100</v>
      </c>
      <c r="H13">
        <f>'[1]Boss怪-回复'!$I$13</f>
        <v>130</v>
      </c>
      <c r="I13">
        <f>'[1]Boss怪-回复'!$J$13</f>
        <v>214</v>
      </c>
    </row>
    <row r="14" spans="1:9" x14ac:dyDescent="0.15">
      <c r="A14">
        <v>13</v>
      </c>
      <c r="B14">
        <f>'[1]Boss怪-回复'!$C$14</f>
        <v>2050</v>
      </c>
      <c r="C14">
        <f t="shared" si="0"/>
        <v>300</v>
      </c>
      <c r="D14">
        <f>'[1]Boss怪-回复'!$D$14</f>
        <v>499</v>
      </c>
      <c r="E14">
        <f>'[1]Boss怪-回复'!$E$14</f>
        <v>290</v>
      </c>
      <c r="F14">
        <f>ROUND('[1]Boss怪-回复'!$F$14*1000,0)</f>
        <v>102</v>
      </c>
      <c r="G14">
        <f>ROUND('[1]Boss怪-回复'!$H$14*100,0)</f>
        <v>100</v>
      </c>
      <c r="H14">
        <f>'[1]Boss怪-回复'!$I$14</f>
        <v>150</v>
      </c>
      <c r="I14">
        <f>'[1]Boss怪-回复'!$J$14</f>
        <v>250</v>
      </c>
    </row>
    <row r="15" spans="1:9" x14ac:dyDescent="0.15">
      <c r="A15">
        <v>14</v>
      </c>
      <c r="B15">
        <f>'[1]Boss怪-回复'!$C$15</f>
        <v>2400</v>
      </c>
      <c r="C15">
        <f t="shared" si="0"/>
        <v>350</v>
      </c>
      <c r="D15">
        <f>'[1]Boss怪-回复'!$D$15</f>
        <v>719</v>
      </c>
      <c r="E15">
        <f>'[1]Boss怪-回复'!$E$15</f>
        <v>334</v>
      </c>
      <c r="F15">
        <f>ROUND('[1]Boss怪-回复'!$F$15*1000,0)</f>
        <v>102</v>
      </c>
      <c r="G15">
        <f>ROUND('[1]Boss怪-回复'!$H$15*100,0)</f>
        <v>100</v>
      </c>
      <c r="H15">
        <f>'[1]Boss怪-回复'!$I$15</f>
        <v>172</v>
      </c>
      <c r="I15">
        <f>'[1]Boss怪-回复'!$J$15</f>
        <v>360</v>
      </c>
    </row>
    <row r="16" spans="1:9" x14ac:dyDescent="0.15">
      <c r="A16">
        <v>15</v>
      </c>
      <c r="B16">
        <f>'[1]Boss怪-回复'!$C$16</f>
        <v>2850</v>
      </c>
      <c r="C16">
        <f t="shared" si="0"/>
        <v>450</v>
      </c>
      <c r="D16">
        <f>'[1]Boss怪-回复'!$D$16</f>
        <v>871</v>
      </c>
      <c r="E16">
        <f>'[1]Boss怪-回复'!$E$16</f>
        <v>383</v>
      </c>
      <c r="F16">
        <f>ROUND('[1]Boss怪-回复'!$F$16*1000,0)</f>
        <v>103</v>
      </c>
      <c r="G16">
        <f>ROUND('[1]Boss怪-回复'!$H$16*100,0)</f>
        <v>100</v>
      </c>
      <c r="H16">
        <f>'[1]Boss怪-回复'!$I$16</f>
        <v>197</v>
      </c>
      <c r="I16">
        <f>'[1]Boss怪-回复'!$J$16</f>
        <v>436</v>
      </c>
    </row>
    <row r="17" spans="1:9" x14ac:dyDescent="0.15">
      <c r="A17">
        <v>16</v>
      </c>
      <c r="B17">
        <f>'[1]Boss怪-回复'!$C$17</f>
        <v>3350</v>
      </c>
      <c r="C17">
        <f t="shared" si="0"/>
        <v>500</v>
      </c>
      <c r="D17">
        <f>'[1]Boss怪-回复'!$D$17</f>
        <v>1221</v>
      </c>
      <c r="E17">
        <f>'[1]Boss怪-回复'!$E$17</f>
        <v>437</v>
      </c>
      <c r="F17">
        <f>ROUND('[1]Boss怪-回复'!$F$17*1000,0)</f>
        <v>103</v>
      </c>
      <c r="G17">
        <f>ROUND('[1]Boss怪-回复'!$H$17*100,0)</f>
        <v>100</v>
      </c>
      <c r="H17">
        <f>'[1]Boss怪-回复'!$I$17</f>
        <v>225</v>
      </c>
      <c r="I17">
        <f>'[1]Boss怪-回复'!$J$17</f>
        <v>611</v>
      </c>
    </row>
    <row r="18" spans="1:9" x14ac:dyDescent="0.15">
      <c r="A18">
        <v>17</v>
      </c>
      <c r="B18">
        <f>'[1]Boss怪-回复'!$C$18</f>
        <v>3900</v>
      </c>
      <c r="C18">
        <f t="shared" si="0"/>
        <v>550</v>
      </c>
      <c r="D18">
        <f>'[1]Boss怪-回复'!$D$18</f>
        <v>1435</v>
      </c>
      <c r="E18">
        <f>'[1]Boss怪-回复'!$E$18</f>
        <v>497</v>
      </c>
      <c r="F18">
        <f>ROUND('[1]Boss怪-回复'!$F$18*1000,0)</f>
        <v>104</v>
      </c>
      <c r="G18">
        <f>ROUND('[1]Boss怪-回复'!$H$18*100,0)</f>
        <v>100</v>
      </c>
      <c r="H18">
        <f>'[1]Boss怪-回复'!$I$18</f>
        <v>256</v>
      </c>
      <c r="I18">
        <f>'[1]Boss怪-回复'!$J$18</f>
        <v>718</v>
      </c>
    </row>
    <row r="19" spans="1:9" x14ac:dyDescent="0.15">
      <c r="A19">
        <v>18</v>
      </c>
      <c r="B19">
        <f>'[1]Boss怪-回复'!$C$19</f>
        <v>4550</v>
      </c>
      <c r="C19">
        <f t="shared" si="0"/>
        <v>650</v>
      </c>
      <c r="D19">
        <f>'[1]Boss怪-回复'!$D$19</f>
        <v>1695</v>
      </c>
      <c r="E19">
        <f>'[1]Boss怪-回复'!$E$19</f>
        <v>564</v>
      </c>
      <c r="F19">
        <f>ROUND('[1]Boss怪-回复'!$F$19*1000,0)</f>
        <v>105</v>
      </c>
      <c r="G19">
        <f>ROUND('[1]Boss怪-回复'!$H$19*100,0)</f>
        <v>100</v>
      </c>
      <c r="H19">
        <f>'[1]Boss怪-回复'!$I$19</f>
        <v>290</v>
      </c>
      <c r="I19">
        <f>'[1]Boss怪-回复'!$J$19</f>
        <v>848</v>
      </c>
    </row>
    <row r="20" spans="1:9" x14ac:dyDescent="0.15">
      <c r="A20">
        <v>19</v>
      </c>
      <c r="B20">
        <f>'[1]Boss怪-回复'!$C$20</f>
        <v>5500</v>
      </c>
      <c r="C20">
        <f t="shared" si="0"/>
        <v>950</v>
      </c>
      <c r="D20">
        <f>'[1]Boss怪-回复'!$D$20</f>
        <v>2416</v>
      </c>
      <c r="E20">
        <f>'[1]Boss怪-回复'!$E$20</f>
        <v>638</v>
      </c>
      <c r="F20">
        <f>ROUND('[1]Boss怪-回复'!$F$20*1000,0)</f>
        <v>105</v>
      </c>
      <c r="G20">
        <f>ROUND('[1]Boss怪-回复'!$H$20*100,0)</f>
        <v>100</v>
      </c>
      <c r="H20">
        <f>'[1]Boss怪-回复'!$I$20</f>
        <v>328</v>
      </c>
      <c r="I20">
        <f>'[1]Boss怪-回复'!$J$20</f>
        <v>1208</v>
      </c>
    </row>
    <row r="21" spans="1:9" x14ac:dyDescent="0.15">
      <c r="A21">
        <v>20</v>
      </c>
      <c r="B21">
        <f>'[1]Boss怪-回复'!$C$21</f>
        <v>6600</v>
      </c>
      <c r="C21">
        <f t="shared" si="0"/>
        <v>1100</v>
      </c>
      <c r="D21">
        <f>'[1]Boss怪-回复'!$D$21</f>
        <v>2981</v>
      </c>
      <c r="E21">
        <f>'[1]Boss怪-回复'!$E$21</f>
        <v>820</v>
      </c>
      <c r="F21">
        <f>ROUND('[1]Boss怪-回复'!$F$21*1000,0)</f>
        <v>107</v>
      </c>
      <c r="G21">
        <f>ROUND('[1]Boss怪-回复'!$H$21*100,0)</f>
        <v>100</v>
      </c>
      <c r="H21">
        <f>'[1]Boss怪-回复'!$I$21</f>
        <v>370</v>
      </c>
      <c r="I21">
        <f>'[1]Boss怪-回复'!$J$21</f>
        <v>1491</v>
      </c>
    </row>
    <row r="22" spans="1:9" x14ac:dyDescent="0.15">
      <c r="A22">
        <v>21</v>
      </c>
      <c r="B22">
        <f>'[1]Boss怪-回复'!$C$22</f>
        <v>9450</v>
      </c>
      <c r="C22">
        <f t="shared" si="0"/>
        <v>2850</v>
      </c>
      <c r="D22">
        <f>'[1]Boss怪-回复'!$D$22</f>
        <v>4444</v>
      </c>
      <c r="E22">
        <f>'[1]Boss怪-回复'!$E$22</f>
        <v>764</v>
      </c>
      <c r="F22">
        <f>ROUND('[1]Boss怪-回复'!$F$22*1000,0)</f>
        <v>109</v>
      </c>
      <c r="G22">
        <f>ROUND('[1]Boss怪-回复'!$H$22*100,0)</f>
        <v>100</v>
      </c>
      <c r="H22">
        <f>'[1]Boss怪-回复'!$I$22</f>
        <v>433</v>
      </c>
      <c r="I22">
        <f>'[1]Boss怪-回复'!$J$22</f>
        <v>2222</v>
      </c>
    </row>
    <row r="23" spans="1:9" x14ac:dyDescent="0.15">
      <c r="A23">
        <v>22</v>
      </c>
      <c r="B23">
        <f>'[1]Boss怪-回复'!$C$23</f>
        <v>12800</v>
      </c>
      <c r="C23">
        <f t="shared" si="0"/>
        <v>3350</v>
      </c>
      <c r="D23">
        <f>'[1]Boss怪-回复'!$D$23</f>
        <v>6729</v>
      </c>
      <c r="E23">
        <f>'[1]Boss怪-回复'!$E$23</f>
        <v>1032</v>
      </c>
      <c r="F23">
        <f>ROUND('[1]Boss怪-回复'!$F$23*1000,0)</f>
        <v>113</v>
      </c>
      <c r="G23">
        <f>ROUND('[1]Boss怪-回复'!$H$23*100,0)</f>
        <v>100</v>
      </c>
      <c r="H23">
        <f>'[1]Boss怪-回复'!$I$23</f>
        <v>528</v>
      </c>
      <c r="I23">
        <f>'[1]Boss怪-回复'!$J$23</f>
        <v>3365</v>
      </c>
    </row>
    <row r="24" spans="1:9" x14ac:dyDescent="0.15">
      <c r="A24">
        <v>23</v>
      </c>
      <c r="B24">
        <f>'[1]Boss怪-回复'!$C$24</f>
        <v>17400</v>
      </c>
      <c r="C24">
        <f t="shared" si="0"/>
        <v>4600</v>
      </c>
      <c r="D24">
        <f>'[1]Boss怪-回复'!$D$24</f>
        <v>9188</v>
      </c>
      <c r="E24">
        <f>'[1]Boss怪-回复'!$E$24</f>
        <v>1400</v>
      </c>
      <c r="F24">
        <f>ROUND('[1]Boss怪-回复'!$F$24*1000,0)</f>
        <v>117</v>
      </c>
      <c r="G24">
        <f>ROUND('[1]Boss怪-回复'!$H$24*100,0)</f>
        <v>100</v>
      </c>
      <c r="H24">
        <f>'[1]Boss怪-回复'!$I$24</f>
        <v>671</v>
      </c>
      <c r="I24">
        <f>'[1]Boss怪-回复'!$J$24</f>
        <v>4594</v>
      </c>
    </row>
    <row r="25" spans="1:9" x14ac:dyDescent="0.15">
      <c r="A25">
        <v>24</v>
      </c>
      <c r="B25">
        <f>'[1]Boss怪-回复'!$C$25</f>
        <v>23250</v>
      </c>
      <c r="C25">
        <f t="shared" si="0"/>
        <v>5850</v>
      </c>
      <c r="D25">
        <f>'[1]Boss怪-回复'!$D$25</f>
        <v>12280</v>
      </c>
      <c r="E25">
        <f>'[1]Boss怪-回复'!$E$25</f>
        <v>1868</v>
      </c>
      <c r="F25">
        <f>ROUND('[1]Boss怪-回复'!$F$25*1000,0)</f>
        <v>123</v>
      </c>
      <c r="G25">
        <f>ROUND('[1]Boss怪-回复'!$H$25*100,0)</f>
        <v>100</v>
      </c>
      <c r="H25">
        <f>'[1]Boss怪-回复'!$I$25</f>
        <v>886</v>
      </c>
      <c r="I25">
        <f>'[1]Boss怪-回复'!$J$25</f>
        <v>6140</v>
      </c>
    </row>
    <row r="26" spans="1:9" x14ac:dyDescent="0.15">
      <c r="A26">
        <v>25</v>
      </c>
      <c r="B26">
        <f>'[1]Boss怪-回复'!$C$26</f>
        <v>30750</v>
      </c>
      <c r="C26">
        <f t="shared" si="0"/>
        <v>7500</v>
      </c>
      <c r="D26">
        <f>'[1]Boss怪-回复'!$D$26</f>
        <v>16197</v>
      </c>
      <c r="E26">
        <f>'[1]Boss怪-回复'!$E$26</f>
        <v>2468</v>
      </c>
      <c r="F26">
        <f>ROUND('[1]Boss怪-回复'!$F$26*1000,0)</f>
        <v>131</v>
      </c>
      <c r="G26">
        <f>ROUND('[1]Boss怪-回复'!$H$26*100,0)</f>
        <v>100</v>
      </c>
      <c r="H26">
        <f>'[1]Boss怪-回复'!$I$26</f>
        <v>1209</v>
      </c>
      <c r="I26">
        <f>'[1]Boss怪-回复'!$J$26</f>
        <v>8099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-0.499984740745262"/>
  </sheetPr>
  <dimension ref="A1:I26"/>
  <sheetViews>
    <sheetView topLeftCell="A13" workbookViewId="0">
      <selection activeCell="N35" sqref="N35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'[1]Boss怪-敏捷'!$C$2</f>
        <v>50</v>
      </c>
      <c r="C2">
        <f>B2-0</f>
        <v>50</v>
      </c>
      <c r="D2">
        <f>'[1]Boss怪-敏捷'!$D$2</f>
        <v>45</v>
      </c>
      <c r="E2">
        <f>'[1]Boss怪-敏捷'!$E$2</f>
        <v>8</v>
      </c>
      <c r="F2">
        <f>ROUND('[1]Boss怪-敏捷'!$F$2 *1000,0)</f>
        <v>0</v>
      </c>
      <c r="G2">
        <f>ROUND('[1]Boss怪-敏捷'!$H$2 *100,0)</f>
        <v>100</v>
      </c>
      <c r="H2">
        <f>'[1]Boss怪-敏捷'!$I$2</f>
        <v>7</v>
      </c>
      <c r="I2">
        <f>'[1]Boss怪-敏捷'!$J$2</f>
        <v>14</v>
      </c>
    </row>
    <row r="3" spans="1:9" x14ac:dyDescent="0.15">
      <c r="A3">
        <v>2</v>
      </c>
      <c r="B3">
        <f>'[1]Boss怪-敏捷'!$C$3</f>
        <v>100</v>
      </c>
      <c r="C3">
        <f>B3-B2</f>
        <v>50</v>
      </c>
      <c r="D3">
        <f>'[1]Boss怪-敏捷'!$D$3</f>
        <v>54</v>
      </c>
      <c r="E3">
        <f>'[1]Boss怪-敏捷'!$E$3</f>
        <v>13</v>
      </c>
      <c r="F3">
        <f>ROUND('[1]Boss怪-敏捷'!$F$3 *1000,0)</f>
        <v>0</v>
      </c>
      <c r="G3">
        <f>ROUND('[1]Boss怪-敏捷'!$H$3 *100,0)</f>
        <v>110</v>
      </c>
      <c r="H3">
        <f>'[1]Boss怪-敏捷'!$I$3</f>
        <v>11</v>
      </c>
      <c r="I3">
        <f>'[1]Boss怪-敏捷'!$J$3</f>
        <v>16</v>
      </c>
    </row>
    <row r="4" spans="1:9" x14ac:dyDescent="0.15">
      <c r="A4">
        <v>3</v>
      </c>
      <c r="B4">
        <f>'[1]Boss怪-敏捷'!$C$4</f>
        <v>150</v>
      </c>
      <c r="C4">
        <f t="shared" ref="C4:C26" si="0">B4-B3</f>
        <v>50</v>
      </c>
      <c r="D4">
        <f>'[1]Boss怪-敏捷'!$D$4</f>
        <v>59</v>
      </c>
      <c r="E4">
        <f>'[1]Boss怪-敏捷'!$E$4</f>
        <v>20</v>
      </c>
      <c r="F4">
        <f>ROUND('[1]Boss怪-敏捷'!$F$4 *1000,0)</f>
        <v>3</v>
      </c>
      <c r="G4">
        <f>ROUND('[1]Boss怪-敏捷'!$H$4 *100,0)</f>
        <v>120</v>
      </c>
      <c r="H4">
        <f>'[1]Boss怪-敏捷'!$I$4</f>
        <v>15</v>
      </c>
      <c r="I4">
        <f>'[1]Boss怪-敏捷'!$J$4</f>
        <v>18</v>
      </c>
    </row>
    <row r="5" spans="1:9" x14ac:dyDescent="0.15">
      <c r="A5">
        <v>4</v>
      </c>
      <c r="B5">
        <f>'[1]Boss怪-敏捷'!$C$5</f>
        <v>250</v>
      </c>
      <c r="C5">
        <f t="shared" si="0"/>
        <v>100</v>
      </c>
      <c r="D5">
        <f>'[1]Boss怪-敏捷'!$D$5</f>
        <v>82</v>
      </c>
      <c r="E5">
        <f>'[1]Boss怪-敏捷'!$E$5</f>
        <v>30</v>
      </c>
      <c r="F5">
        <f>ROUND('[1]Boss怪-敏捷'!$F$5 *1000,0)</f>
        <v>3</v>
      </c>
      <c r="G5">
        <f>ROUND('[1]Boss怪-敏捷'!$H$5 *100,0)</f>
        <v>120</v>
      </c>
      <c r="H5">
        <f>'[1]Boss怪-敏捷'!$I$5</f>
        <v>19</v>
      </c>
      <c r="I5">
        <f>'[1]Boss怪-敏捷'!$J$5</f>
        <v>25</v>
      </c>
    </row>
    <row r="6" spans="1:9" x14ac:dyDescent="0.15">
      <c r="A6">
        <v>5</v>
      </c>
      <c r="B6">
        <f>'[1]Boss怪-敏捷'!$C$6</f>
        <v>350</v>
      </c>
      <c r="C6">
        <f t="shared" si="0"/>
        <v>100</v>
      </c>
      <c r="D6">
        <f>'[1]Boss怪-敏捷'!$D$6</f>
        <v>97</v>
      </c>
      <c r="E6">
        <f>'[1]Boss怪-敏捷'!$E$6</f>
        <v>43</v>
      </c>
      <c r="F6">
        <f>ROUND('[1]Boss怪-敏捷'!$F$6 *1000,0)</f>
        <v>5</v>
      </c>
      <c r="G6">
        <f>ROUND('[1]Boss怪-敏捷'!$H$6 *100,0)</f>
        <v>130</v>
      </c>
      <c r="H6">
        <f>'[1]Boss怪-敏捷'!$I$6</f>
        <v>24</v>
      </c>
      <c r="I6">
        <f>'[1]Boss怪-敏捷'!$J$6</f>
        <v>29</v>
      </c>
    </row>
    <row r="7" spans="1:9" x14ac:dyDescent="0.15">
      <c r="A7">
        <v>6</v>
      </c>
      <c r="B7">
        <f>'[1]Boss怪-敏捷'!$C$7</f>
        <v>500</v>
      </c>
      <c r="C7">
        <f t="shared" si="0"/>
        <v>150</v>
      </c>
      <c r="D7">
        <f>'[1]Boss怪-敏捷'!$D$7</f>
        <v>127</v>
      </c>
      <c r="E7">
        <f>'[1]Boss怪-敏捷'!$E$7</f>
        <v>60</v>
      </c>
      <c r="F7">
        <f>ROUND('[1]Boss怪-敏捷'!$F$7 *1000,0)</f>
        <v>10</v>
      </c>
      <c r="G7">
        <f>ROUND('[1]Boss怪-敏捷'!$H$7 *100,0)</f>
        <v>130</v>
      </c>
      <c r="H7">
        <f>'[1]Boss怪-敏捷'!$I$7</f>
        <v>30</v>
      </c>
      <c r="I7">
        <f>'[1]Boss怪-敏捷'!$J$7</f>
        <v>38</v>
      </c>
    </row>
    <row r="8" spans="1:9" x14ac:dyDescent="0.15">
      <c r="A8">
        <v>7</v>
      </c>
      <c r="B8">
        <f>'[1]Boss怪-敏捷'!$C$8</f>
        <v>650</v>
      </c>
      <c r="C8">
        <f t="shared" si="0"/>
        <v>150</v>
      </c>
      <c r="D8">
        <f>'[1]Boss怪-敏捷'!$D$8</f>
        <v>138</v>
      </c>
      <c r="E8">
        <f>'[1]Boss怪-敏捷'!$E$8</f>
        <v>85</v>
      </c>
      <c r="F8">
        <f>ROUND('[1]Boss怪-敏捷'!$F$8 *1000,0)</f>
        <v>15</v>
      </c>
      <c r="G8">
        <f>ROUND('[1]Boss怪-敏捷'!$H$8 *100,0)</f>
        <v>140</v>
      </c>
      <c r="H8">
        <f>'[1]Boss怪-敏捷'!$I$8</f>
        <v>37</v>
      </c>
      <c r="I8">
        <f>'[1]Boss怪-敏捷'!$J$8</f>
        <v>41</v>
      </c>
    </row>
    <row r="9" spans="1:9" x14ac:dyDescent="0.15">
      <c r="A9">
        <v>8</v>
      </c>
      <c r="B9">
        <f>'[1]Boss怪-敏捷'!$C$9</f>
        <v>850</v>
      </c>
      <c r="C9">
        <f t="shared" si="0"/>
        <v>200</v>
      </c>
      <c r="D9">
        <f>'[1]Boss怪-敏捷'!$D$9</f>
        <v>229</v>
      </c>
      <c r="E9">
        <f>'[1]Boss怪-敏捷'!$E$9</f>
        <v>110</v>
      </c>
      <c r="F9">
        <f>ROUND('[1]Boss怪-敏捷'!$F$9 *1000,0)</f>
        <v>25</v>
      </c>
      <c r="G9">
        <f>ROUND('[1]Boss怪-敏捷'!$H$9 *100,0)</f>
        <v>140</v>
      </c>
      <c r="H9">
        <f>'[1]Boss怪-敏捷'!$I$9</f>
        <v>45</v>
      </c>
      <c r="I9">
        <f>'[1]Boss怪-敏捷'!$J$9</f>
        <v>69</v>
      </c>
    </row>
    <row r="10" spans="1:9" x14ac:dyDescent="0.15">
      <c r="A10">
        <v>9</v>
      </c>
      <c r="B10">
        <f>'[1]Boss怪-敏捷'!$C$10</f>
        <v>1050</v>
      </c>
      <c r="C10">
        <f t="shared" si="0"/>
        <v>200</v>
      </c>
      <c r="D10">
        <f>'[1]Boss怪-敏捷'!$D$10</f>
        <v>244</v>
      </c>
      <c r="E10">
        <f>'[1]Boss怪-敏捷'!$E$10</f>
        <v>147</v>
      </c>
      <c r="F10">
        <f>ROUND('[1]Boss怪-敏捷'!$F$10*1000,0)</f>
        <v>29</v>
      </c>
      <c r="G10">
        <f>ROUND('[1]Boss怪-敏捷'!$H$10*100,0)</f>
        <v>150</v>
      </c>
      <c r="H10">
        <f>'[1]Boss怪-敏捷'!$I$10</f>
        <v>54</v>
      </c>
      <c r="I10">
        <f>'[1]Boss怪-敏捷'!$J$10</f>
        <v>73</v>
      </c>
    </row>
    <row r="11" spans="1:9" x14ac:dyDescent="0.15">
      <c r="A11">
        <v>10</v>
      </c>
      <c r="B11">
        <f>'[1]Boss怪-敏捷'!$C$11</f>
        <v>1250</v>
      </c>
      <c r="C11">
        <f t="shared" si="0"/>
        <v>200</v>
      </c>
      <c r="D11">
        <f>'[1]Boss怪-敏捷'!$D$11</f>
        <v>281</v>
      </c>
      <c r="E11">
        <f>'[1]Boss怪-敏捷'!$E$11</f>
        <v>174</v>
      </c>
      <c r="F11">
        <f>ROUND('[1]Boss怪-敏捷'!$F$11*1000,0)</f>
        <v>37</v>
      </c>
      <c r="G11">
        <f>ROUND('[1]Boss怪-敏捷'!$H$11*100,0)</f>
        <v>150</v>
      </c>
      <c r="H11">
        <f>'[1]Boss怪-敏捷'!$I$11</f>
        <v>64</v>
      </c>
      <c r="I11">
        <f>'[1]Boss怪-敏捷'!$J$11</f>
        <v>84</v>
      </c>
    </row>
    <row r="12" spans="1:9" x14ac:dyDescent="0.15">
      <c r="A12">
        <v>11</v>
      </c>
      <c r="B12">
        <f>'[1]Boss怪-敏捷'!$C$12</f>
        <v>1500</v>
      </c>
      <c r="C12">
        <f t="shared" si="0"/>
        <v>250</v>
      </c>
      <c r="D12">
        <f>'[1]Boss怪-敏捷'!$D$12</f>
        <v>416</v>
      </c>
      <c r="E12">
        <f>'[1]Boss怪-敏捷'!$E$12</f>
        <v>204</v>
      </c>
      <c r="F12">
        <f>ROUND('[1]Boss怪-敏捷'!$F$12*1000,0)</f>
        <v>46</v>
      </c>
      <c r="G12">
        <f>ROUND('[1]Boss怪-敏捷'!$H$12*100,0)</f>
        <v>160</v>
      </c>
      <c r="H12">
        <f>'[1]Boss怪-敏捷'!$I$12</f>
        <v>75</v>
      </c>
      <c r="I12">
        <f>'[1]Boss怪-敏捷'!$J$12</f>
        <v>125</v>
      </c>
    </row>
    <row r="13" spans="1:9" x14ac:dyDescent="0.15">
      <c r="A13">
        <v>12</v>
      </c>
      <c r="B13">
        <f>'[1]Boss怪-敏捷'!$C$13</f>
        <v>1750</v>
      </c>
      <c r="C13">
        <f t="shared" si="0"/>
        <v>250</v>
      </c>
      <c r="D13">
        <f>'[1]Boss怪-敏捷'!$D$13</f>
        <v>475</v>
      </c>
      <c r="E13">
        <f>'[1]Boss怪-敏捷'!$E$13</f>
        <v>237</v>
      </c>
      <c r="F13">
        <f>ROUND('[1]Boss怪-敏捷'!$F$13*1000,0)</f>
        <v>55</v>
      </c>
      <c r="G13">
        <f>ROUND('[1]Boss怪-敏捷'!$H$13*100,0)</f>
        <v>160</v>
      </c>
      <c r="H13">
        <f>'[1]Boss怪-敏捷'!$I$13</f>
        <v>87</v>
      </c>
      <c r="I13">
        <f>'[1]Boss怪-敏捷'!$J$13</f>
        <v>143</v>
      </c>
    </row>
    <row r="14" spans="1:9" x14ac:dyDescent="0.15">
      <c r="A14">
        <v>13</v>
      </c>
      <c r="B14">
        <f>'[1]Boss怪-敏捷'!$C$14</f>
        <v>2050</v>
      </c>
      <c r="C14">
        <f t="shared" si="0"/>
        <v>300</v>
      </c>
      <c r="D14">
        <f>'[1]Boss怪-敏捷'!$D$14</f>
        <v>533</v>
      </c>
      <c r="E14">
        <f>'[1]Boss怪-敏捷'!$E$14</f>
        <v>274</v>
      </c>
      <c r="F14">
        <f>ROUND('[1]Boss怪-敏捷'!$F$14*1000,0)</f>
        <v>65</v>
      </c>
      <c r="G14">
        <f>ROUND('[1]Boss怪-敏捷'!$H$14*100,0)</f>
        <v>170</v>
      </c>
      <c r="H14">
        <f>'[1]Boss怪-敏捷'!$I$14</f>
        <v>100</v>
      </c>
      <c r="I14">
        <f>'[1]Boss怪-敏捷'!$J$14</f>
        <v>160</v>
      </c>
    </row>
    <row r="15" spans="1:9" x14ac:dyDescent="0.15">
      <c r="A15">
        <v>14</v>
      </c>
      <c r="B15">
        <f>'[1]Boss怪-敏捷'!$C$15</f>
        <v>2400</v>
      </c>
      <c r="C15">
        <f t="shared" si="0"/>
        <v>350</v>
      </c>
      <c r="D15">
        <f>'[1]Boss怪-敏捷'!$D$15</f>
        <v>774</v>
      </c>
      <c r="E15">
        <f>'[1]Boss怪-敏捷'!$E$15</f>
        <v>315</v>
      </c>
      <c r="F15">
        <f>ROUND('[1]Boss怪-敏捷'!$F$15*1000,0)</f>
        <v>76</v>
      </c>
      <c r="G15">
        <f>ROUND('[1]Boss怪-敏捷'!$H$15*100,0)</f>
        <v>170</v>
      </c>
      <c r="H15">
        <f>'[1]Boss怪-敏捷'!$I$15</f>
        <v>114</v>
      </c>
      <c r="I15">
        <f>'[1]Boss怪-敏捷'!$J$15</f>
        <v>232</v>
      </c>
    </row>
    <row r="16" spans="1:9" x14ac:dyDescent="0.15">
      <c r="A16">
        <v>15</v>
      </c>
      <c r="B16">
        <f>'[1]Boss怪-敏捷'!$C$16</f>
        <v>2850</v>
      </c>
      <c r="C16">
        <f t="shared" si="0"/>
        <v>450</v>
      </c>
      <c r="D16">
        <f>'[1]Boss怪-敏捷'!$D$16</f>
        <v>905</v>
      </c>
      <c r="E16">
        <f>'[1]Boss怪-敏捷'!$E$16</f>
        <v>361</v>
      </c>
      <c r="F16">
        <f>ROUND('[1]Boss怪-敏捷'!$F$16*1000,0)</f>
        <v>89</v>
      </c>
      <c r="G16">
        <f>ROUND('[1]Boss怪-敏捷'!$H$16*100,0)</f>
        <v>180</v>
      </c>
      <c r="H16">
        <f>'[1]Boss怪-敏捷'!$I$16</f>
        <v>130</v>
      </c>
      <c r="I16">
        <f>'[1]Boss怪-敏捷'!$J$16</f>
        <v>272</v>
      </c>
    </row>
    <row r="17" spans="1:9" x14ac:dyDescent="0.15">
      <c r="A17">
        <v>16</v>
      </c>
      <c r="B17">
        <f>'[1]Boss怪-敏捷'!$C$17</f>
        <v>3350</v>
      </c>
      <c r="C17">
        <f t="shared" si="0"/>
        <v>500</v>
      </c>
      <c r="D17">
        <f>'[1]Boss怪-敏捷'!$D$17</f>
        <v>1284</v>
      </c>
      <c r="E17">
        <f>'[1]Boss怪-敏捷'!$E$17</f>
        <v>412</v>
      </c>
      <c r="F17">
        <f>ROUND('[1]Boss怪-敏捷'!$F$17*1000,0)</f>
        <v>100</v>
      </c>
      <c r="G17">
        <f>ROUND('[1]Boss怪-敏捷'!$H$17*100,0)</f>
        <v>180</v>
      </c>
      <c r="H17">
        <f>'[1]Boss怪-敏捷'!$I$17</f>
        <v>148</v>
      </c>
      <c r="I17">
        <f>'[1]Boss怪-敏捷'!$J$17</f>
        <v>385</v>
      </c>
    </row>
    <row r="18" spans="1:9" x14ac:dyDescent="0.15">
      <c r="A18">
        <v>17</v>
      </c>
      <c r="B18">
        <f>'[1]Boss怪-敏捷'!$C$18</f>
        <v>3900</v>
      </c>
      <c r="C18">
        <f t="shared" si="0"/>
        <v>550</v>
      </c>
      <c r="D18">
        <f>'[1]Boss怪-敏捷'!$D$18</f>
        <v>1467</v>
      </c>
      <c r="E18">
        <f>'[1]Boss怪-敏捷'!$E$18</f>
        <v>469</v>
      </c>
      <c r="F18">
        <f>ROUND('[1]Boss怪-敏捷'!$F$18*1000,0)</f>
        <v>111</v>
      </c>
      <c r="G18">
        <f>ROUND('[1]Boss怪-敏捷'!$H$18*100,0)</f>
        <v>190</v>
      </c>
      <c r="H18">
        <f>'[1]Boss怪-敏捷'!$I$18</f>
        <v>168</v>
      </c>
      <c r="I18">
        <f>'[1]Boss怪-敏捷'!$J$18</f>
        <v>440</v>
      </c>
    </row>
    <row r="19" spans="1:9" x14ac:dyDescent="0.15">
      <c r="A19">
        <v>18</v>
      </c>
      <c r="B19">
        <f>'[1]Boss怪-敏捷'!$C$19</f>
        <v>4550</v>
      </c>
      <c r="C19">
        <f t="shared" si="0"/>
        <v>650</v>
      </c>
      <c r="D19">
        <f>'[1]Boss怪-敏捷'!$D$19</f>
        <v>1727</v>
      </c>
      <c r="E19">
        <f>'[1]Boss怪-敏捷'!$E$19</f>
        <v>532</v>
      </c>
      <c r="F19">
        <f>ROUND('[1]Boss怪-敏捷'!$F$19*1000,0)</f>
        <v>125</v>
      </c>
      <c r="G19">
        <f>ROUND('[1]Boss怪-敏捷'!$H$19*100,0)</f>
        <v>190</v>
      </c>
      <c r="H19">
        <f>'[1]Boss怪-敏捷'!$I$19</f>
        <v>190</v>
      </c>
      <c r="I19">
        <f>'[1]Boss怪-敏捷'!$J$19</f>
        <v>518</v>
      </c>
    </row>
    <row r="20" spans="1:9" x14ac:dyDescent="0.15">
      <c r="A20">
        <v>19</v>
      </c>
      <c r="B20">
        <f>'[1]Boss怪-敏捷'!$C$20</f>
        <v>5500</v>
      </c>
      <c r="C20">
        <f t="shared" si="0"/>
        <v>950</v>
      </c>
      <c r="D20">
        <f>'[1]Boss怪-敏捷'!$D$20</f>
        <v>2469</v>
      </c>
      <c r="E20">
        <f>'[1]Boss怪-敏捷'!$E$20</f>
        <v>602</v>
      </c>
      <c r="F20">
        <f>ROUND('[1]Boss怪-敏捷'!$F$20*1000,0)</f>
        <v>130</v>
      </c>
      <c r="G20">
        <f>ROUND('[1]Boss怪-敏捷'!$H$20*100,0)</f>
        <v>200</v>
      </c>
      <c r="H20">
        <f>'[1]Boss怪-敏捷'!$I$20</f>
        <v>215</v>
      </c>
      <c r="I20">
        <f>'[1]Boss怪-敏捷'!$J$20</f>
        <v>741</v>
      </c>
    </row>
    <row r="21" spans="1:9" x14ac:dyDescent="0.15">
      <c r="A21">
        <v>20</v>
      </c>
      <c r="B21">
        <f>'[1]Boss怪-敏捷'!$C$21</f>
        <v>6600</v>
      </c>
      <c r="C21">
        <f t="shared" si="0"/>
        <v>1100</v>
      </c>
      <c r="D21">
        <f>'[1]Boss怪-敏捷'!$D$21</f>
        <v>2918</v>
      </c>
      <c r="E21">
        <f>'[1]Boss怪-敏捷'!$E$21</f>
        <v>780</v>
      </c>
      <c r="F21">
        <f>ROUND('[1]Boss怪-敏捷'!$F$21*1000,0)</f>
        <v>180</v>
      </c>
      <c r="G21">
        <f>ROUND('[1]Boss怪-敏捷'!$H$21*100,0)</f>
        <v>200</v>
      </c>
      <c r="H21">
        <f>'[1]Boss怪-敏捷'!$I$21</f>
        <v>243</v>
      </c>
      <c r="I21">
        <f>'[1]Boss怪-敏捷'!$J$21</f>
        <v>875</v>
      </c>
    </row>
    <row r="22" spans="1:9" x14ac:dyDescent="0.15">
      <c r="A22">
        <v>21</v>
      </c>
      <c r="B22">
        <f>'[1]Boss怪-敏捷'!$C$22</f>
        <v>9450</v>
      </c>
      <c r="C22">
        <f t="shared" si="0"/>
        <v>2850</v>
      </c>
      <c r="D22">
        <f>'[1]Boss怪-敏捷'!$D$22</f>
        <v>4663</v>
      </c>
      <c r="E22">
        <f>'[1]Boss怪-敏捷'!$E$22</f>
        <v>764</v>
      </c>
      <c r="F22">
        <f>ROUND('[1]Boss怪-敏捷'!$F$22*1000,0)</f>
        <v>109</v>
      </c>
      <c r="G22">
        <f>ROUND('[1]Boss怪-敏捷'!$H$22*100,0)</f>
        <v>200</v>
      </c>
      <c r="H22">
        <f>'[1]Boss怪-敏捷'!$I$22</f>
        <v>288</v>
      </c>
      <c r="I22">
        <f>'[1]Boss怪-敏捷'!$J$22</f>
        <v>1399</v>
      </c>
    </row>
    <row r="23" spans="1:9" x14ac:dyDescent="0.15">
      <c r="A23">
        <v>22</v>
      </c>
      <c r="B23">
        <f>'[1]Boss怪-敏捷'!$C$23</f>
        <v>12800</v>
      </c>
      <c r="C23">
        <f t="shared" si="0"/>
        <v>3350</v>
      </c>
      <c r="D23">
        <f>'[1]Boss怪-敏捷'!$D$23</f>
        <v>7083</v>
      </c>
      <c r="E23">
        <f>'[1]Boss怪-敏捷'!$E$23</f>
        <v>1032</v>
      </c>
      <c r="F23">
        <f>ROUND('[1]Boss怪-敏捷'!$F$23*1000,0)</f>
        <v>113</v>
      </c>
      <c r="G23">
        <f>ROUND('[1]Boss怪-敏捷'!$H$23*100,0)</f>
        <v>200</v>
      </c>
      <c r="H23">
        <f>'[1]Boss怪-敏捷'!$I$23</f>
        <v>360</v>
      </c>
      <c r="I23">
        <f>'[1]Boss怪-敏捷'!$J$23</f>
        <v>2125</v>
      </c>
    </row>
    <row r="24" spans="1:9" x14ac:dyDescent="0.15">
      <c r="A24">
        <v>23</v>
      </c>
      <c r="B24">
        <f>'[1]Boss怪-敏捷'!$C$24</f>
        <v>17400</v>
      </c>
      <c r="C24">
        <f t="shared" si="0"/>
        <v>4600</v>
      </c>
      <c r="D24">
        <f>'[1]Boss怪-敏捷'!$D$24</f>
        <v>9526</v>
      </c>
      <c r="E24">
        <f>'[1]Boss怪-敏捷'!$E$24</f>
        <v>1400</v>
      </c>
      <c r="F24">
        <f>ROUND('[1]Boss怪-敏捷'!$F$24*1000,0)</f>
        <v>117</v>
      </c>
      <c r="G24">
        <f>ROUND('[1]Boss怪-敏捷'!$H$24*100,0)</f>
        <v>210</v>
      </c>
      <c r="H24">
        <f>'[1]Boss怪-敏捷'!$I$24</f>
        <v>475</v>
      </c>
      <c r="I24">
        <f>'[1]Boss怪-敏捷'!$J$24</f>
        <v>2858</v>
      </c>
    </row>
    <row r="25" spans="1:9" x14ac:dyDescent="0.15">
      <c r="A25">
        <v>24</v>
      </c>
      <c r="B25">
        <f>'[1]Boss怪-敏捷'!$C$25</f>
        <v>23250</v>
      </c>
      <c r="C25">
        <f t="shared" si="0"/>
        <v>5850</v>
      </c>
      <c r="D25">
        <f>'[1]Boss怪-敏捷'!$D$25</f>
        <v>12681</v>
      </c>
      <c r="E25">
        <f>'[1]Boss怪-敏捷'!$E$25</f>
        <v>1868</v>
      </c>
      <c r="F25">
        <f>ROUND('[1]Boss怪-敏捷'!$F$25*1000,0)</f>
        <v>123</v>
      </c>
      <c r="G25">
        <f>ROUND('[1]Boss怪-敏捷'!$H$25*100,0)</f>
        <v>210</v>
      </c>
      <c r="H25">
        <f>'[1]Boss怪-敏捷'!$I$25</f>
        <v>659</v>
      </c>
      <c r="I25">
        <f>'[1]Boss怪-敏捷'!$J$25</f>
        <v>3804</v>
      </c>
    </row>
    <row r="26" spans="1:9" x14ac:dyDescent="0.15">
      <c r="A26">
        <v>25</v>
      </c>
      <c r="B26">
        <f>'[1]Boss怪-敏捷'!$C$26</f>
        <v>30750</v>
      </c>
      <c r="C26">
        <f t="shared" si="0"/>
        <v>7500</v>
      </c>
      <c r="D26">
        <f>'[1]Boss怪-敏捷'!$D$26</f>
        <v>16465</v>
      </c>
      <c r="E26">
        <f>'[1]Boss怪-敏捷'!$E$26</f>
        <v>2468</v>
      </c>
      <c r="F26">
        <f>ROUND('[1]Boss怪-敏捷'!$F$26*1000,0)</f>
        <v>131</v>
      </c>
      <c r="G26">
        <f>ROUND('[1]Boss怪-敏捷'!$H$26*100,0)</f>
        <v>220</v>
      </c>
      <c r="H26">
        <f>'[1]Boss怪-敏捷'!$I$26</f>
        <v>953</v>
      </c>
      <c r="I26">
        <f>'[1]Boss怪-敏捷'!$J$26</f>
        <v>4940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-0.499984740745262"/>
  </sheetPr>
  <dimension ref="A1:I26"/>
  <sheetViews>
    <sheetView tabSelected="1" topLeftCell="A13" workbookViewId="0">
      <selection activeCell="K32" sqref="K32"/>
    </sheetView>
  </sheetViews>
  <sheetFormatPr defaultRowHeight="13.5" x14ac:dyDescent="0.15"/>
  <cols>
    <col min="7" max="7" width="10.25" customWidth="1"/>
  </cols>
  <sheetData>
    <row r="1" spans="1:9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198</v>
      </c>
      <c r="H1" t="s">
        <v>6</v>
      </c>
      <c r="I1" t="s">
        <v>7</v>
      </c>
    </row>
    <row r="2" spans="1:9" x14ac:dyDescent="0.15">
      <c r="A2">
        <v>1</v>
      </c>
      <c r="B2">
        <f>'[1]Boss怪-防御'!$C$2</f>
        <v>50</v>
      </c>
      <c r="C2">
        <f>B2-0</f>
        <v>50</v>
      </c>
      <c r="D2">
        <f>'[1]Boss怪-防御'!$D$2</f>
        <v>47</v>
      </c>
      <c r="E2">
        <f>'[1]Boss怪-防御'!$E$2</f>
        <v>5</v>
      </c>
      <c r="F2">
        <f>ROUND('[1]Boss怪-防御'!$F$2 *1000,0)</f>
        <v>100</v>
      </c>
      <c r="G2">
        <f>ROUND('[1]Boss怪-防御'!$H$2 *100,0)</f>
        <v>100</v>
      </c>
      <c r="H2">
        <f>'[1]Boss怪-防御'!$I$2</f>
        <v>8</v>
      </c>
      <c r="I2">
        <f>'[1]Boss怪-防御'!$J$2</f>
        <v>14</v>
      </c>
    </row>
    <row r="3" spans="1:9" x14ac:dyDescent="0.15">
      <c r="A3">
        <v>2</v>
      </c>
      <c r="B3">
        <f>'[1]Boss怪-防御'!$C$3</f>
        <v>100</v>
      </c>
      <c r="C3">
        <f>B3-B2</f>
        <v>50</v>
      </c>
      <c r="D3">
        <f>'[1]Boss怪-防御'!$D$3</f>
        <v>54</v>
      </c>
      <c r="E3">
        <f>'[1]Boss怪-防御'!$E$3</f>
        <v>10</v>
      </c>
      <c r="F3">
        <f>ROUND('[1]Boss怪-防御'!$F$3 *1000,0)</f>
        <v>100</v>
      </c>
      <c r="G3">
        <f>ROUND('[1]Boss怪-防御'!$H$3 *100,0)</f>
        <v>100</v>
      </c>
      <c r="H3">
        <f>'[1]Boss怪-防御'!$I$3</f>
        <v>13</v>
      </c>
      <c r="I3">
        <f>'[1]Boss怪-防御'!$J$3</f>
        <v>16</v>
      </c>
    </row>
    <row r="4" spans="1:9" x14ac:dyDescent="0.15">
      <c r="A4">
        <v>3</v>
      </c>
      <c r="B4">
        <f>'[1]Boss怪-防御'!$C$4</f>
        <v>150</v>
      </c>
      <c r="C4">
        <f t="shared" ref="C4:C26" si="0">B4-B3</f>
        <v>50</v>
      </c>
      <c r="D4">
        <f>'[1]Boss怪-防御'!$D$4</f>
        <v>57</v>
      </c>
      <c r="E4">
        <f>'[1]Boss怪-防御'!$E$4</f>
        <v>17</v>
      </c>
      <c r="F4">
        <f>ROUND('[1]Boss怪-防御'!$F$4 *1000,0)</f>
        <v>100</v>
      </c>
      <c r="G4">
        <f>ROUND('[1]Boss怪-防御'!$H$4 *100,0)</f>
        <v>100</v>
      </c>
      <c r="H4">
        <f>'[1]Boss怪-防御'!$I$4</f>
        <v>20</v>
      </c>
      <c r="I4">
        <f>'[1]Boss怪-防御'!$J$4</f>
        <v>17</v>
      </c>
    </row>
    <row r="5" spans="1:9" x14ac:dyDescent="0.15">
      <c r="A5">
        <v>4</v>
      </c>
      <c r="B5">
        <f>'[1]Boss怪-防御'!$C$5</f>
        <v>250</v>
      </c>
      <c r="C5">
        <f t="shared" si="0"/>
        <v>100</v>
      </c>
      <c r="D5">
        <f>'[1]Boss怪-防御'!$D$5</f>
        <v>65</v>
      </c>
      <c r="E5">
        <f>'[1]Boss怪-防御'!$E$5</f>
        <v>28</v>
      </c>
      <c r="F5">
        <f>ROUND('[1]Boss怪-防御'!$F$5 *1000,0)</f>
        <v>100</v>
      </c>
      <c r="G5">
        <f>ROUND('[1]Boss怪-防御'!$H$5 *100,0)</f>
        <v>100</v>
      </c>
      <c r="H5">
        <f>'[1]Boss怪-防御'!$I$5</f>
        <v>34</v>
      </c>
      <c r="I5">
        <f>'[1]Boss怪-防御'!$J$5</f>
        <v>20</v>
      </c>
    </row>
    <row r="6" spans="1:9" x14ac:dyDescent="0.15">
      <c r="A6">
        <v>5</v>
      </c>
      <c r="B6">
        <f>'[1]Boss怪-防御'!$C$6</f>
        <v>350</v>
      </c>
      <c r="C6">
        <f t="shared" si="0"/>
        <v>100</v>
      </c>
      <c r="D6">
        <f>'[1]Boss怪-防御'!$D$6</f>
        <v>69</v>
      </c>
      <c r="E6">
        <f>'[1]Boss怪-防御'!$E$6</f>
        <v>40</v>
      </c>
      <c r="F6">
        <f>ROUND('[1]Boss怪-防御'!$F$6 *1000,0)</f>
        <v>100</v>
      </c>
      <c r="G6">
        <f>ROUND('[1]Boss怪-防御'!$H$6 *100,0)</f>
        <v>100</v>
      </c>
      <c r="H6">
        <f>'[1]Boss怪-防御'!$I$6</f>
        <v>51</v>
      </c>
      <c r="I6">
        <f>'[1]Boss怪-防御'!$J$6</f>
        <v>21</v>
      </c>
    </row>
    <row r="7" spans="1:9" x14ac:dyDescent="0.15">
      <c r="A7">
        <v>6</v>
      </c>
      <c r="B7">
        <f>'[1]Boss怪-防御'!$C$7</f>
        <v>500</v>
      </c>
      <c r="C7">
        <f t="shared" si="0"/>
        <v>150</v>
      </c>
      <c r="D7">
        <f>'[1]Boss怪-防御'!$D$7</f>
        <v>89</v>
      </c>
      <c r="E7">
        <f>'[1]Boss怪-防御'!$E$7</f>
        <v>58</v>
      </c>
      <c r="F7">
        <f>ROUND('[1]Boss怪-防御'!$F$7 *1000,0)</f>
        <v>100</v>
      </c>
      <c r="G7">
        <f>ROUND('[1]Boss怪-防御'!$H$7 *100,0)</f>
        <v>100</v>
      </c>
      <c r="H7">
        <f>'[1]Boss怪-防御'!$I$7</f>
        <v>65</v>
      </c>
      <c r="I7">
        <f>'[1]Boss怪-防御'!$J$7</f>
        <v>27</v>
      </c>
    </row>
    <row r="8" spans="1:9" x14ac:dyDescent="0.15">
      <c r="A8">
        <v>7</v>
      </c>
      <c r="B8">
        <f>'[1]Boss怪-防御'!$C$8</f>
        <v>650</v>
      </c>
      <c r="C8">
        <f t="shared" si="0"/>
        <v>150</v>
      </c>
      <c r="D8">
        <f>'[1]Boss怪-防御'!$D$8</f>
        <v>100</v>
      </c>
      <c r="E8">
        <f>'[1]Boss怪-防御'!$E$8</f>
        <v>80</v>
      </c>
      <c r="F8">
        <f>ROUND('[1]Boss怪-防御'!$F$8 *1000,0)</f>
        <v>101</v>
      </c>
      <c r="G8">
        <f>ROUND('[1]Boss怪-防御'!$H$8 *100,0)</f>
        <v>100</v>
      </c>
      <c r="H8">
        <f>'[1]Boss怪-防御'!$I$8</f>
        <v>81</v>
      </c>
      <c r="I8">
        <f>'[1]Boss怪-防御'!$J$8</f>
        <v>30</v>
      </c>
    </row>
    <row r="9" spans="1:9" x14ac:dyDescent="0.15">
      <c r="A9">
        <v>8</v>
      </c>
      <c r="B9">
        <f>'[1]Boss怪-防御'!$C$9</f>
        <v>850</v>
      </c>
      <c r="C9">
        <f t="shared" si="0"/>
        <v>200</v>
      </c>
      <c r="D9">
        <f>'[1]Boss怪-防御'!$D$9</f>
        <v>169</v>
      </c>
      <c r="E9">
        <f>'[1]Boss怪-防御'!$E$9</f>
        <v>115</v>
      </c>
      <c r="F9">
        <f>ROUND('[1]Boss怪-防御'!$F$9 *1000,0)</f>
        <v>101</v>
      </c>
      <c r="G9">
        <f>ROUND('[1]Boss怪-防御'!$H$9 *100,0)</f>
        <v>100</v>
      </c>
      <c r="H9">
        <f>'[1]Boss怪-防御'!$I$9</f>
        <v>99</v>
      </c>
      <c r="I9">
        <f>'[1]Boss怪-防御'!$J$9</f>
        <v>51</v>
      </c>
    </row>
    <row r="10" spans="1:9" x14ac:dyDescent="0.15">
      <c r="A10">
        <v>9</v>
      </c>
      <c r="B10">
        <f>'[1]Boss怪-防御'!$C$10</f>
        <v>1050</v>
      </c>
      <c r="C10">
        <f t="shared" si="0"/>
        <v>200</v>
      </c>
      <c r="D10">
        <f>'[1]Boss怪-防御'!$D$10</f>
        <v>175</v>
      </c>
      <c r="E10">
        <f>'[1]Boss怪-防御'!$E$10</f>
        <v>160</v>
      </c>
      <c r="F10">
        <f>ROUND('[1]Boss怪-防御'!$F$10*1000,0)</f>
        <v>101</v>
      </c>
      <c r="G10">
        <f>ROUND('[1]Boss怪-防御'!$H$10*100,0)</f>
        <v>100</v>
      </c>
      <c r="H10">
        <f>'[1]Boss怪-防御'!$I$10</f>
        <v>119</v>
      </c>
      <c r="I10">
        <f>'[1]Boss怪-防御'!$J$10</f>
        <v>53</v>
      </c>
    </row>
    <row r="11" spans="1:9" x14ac:dyDescent="0.15">
      <c r="A11">
        <v>10</v>
      </c>
      <c r="B11">
        <f>'[1]Boss怪-防御'!$C$11</f>
        <v>1250</v>
      </c>
      <c r="C11">
        <f t="shared" si="0"/>
        <v>200</v>
      </c>
      <c r="D11">
        <f>'[1]Boss怪-防御'!$D$11</f>
        <v>185</v>
      </c>
      <c r="E11">
        <f>'[1]Boss怪-防御'!$E$11</f>
        <v>200</v>
      </c>
      <c r="F11">
        <f>ROUND('[1]Boss怪-防御'!$F$11*1000,0)</f>
        <v>101</v>
      </c>
      <c r="G11">
        <f>ROUND('[1]Boss怪-防御'!$H$11*100,0)</f>
        <v>100</v>
      </c>
      <c r="H11">
        <f>'[1]Boss怪-防御'!$I$11</f>
        <v>141</v>
      </c>
      <c r="I11">
        <f>'[1]Boss怪-防御'!$J$11</f>
        <v>56</v>
      </c>
    </row>
    <row r="12" spans="1:9" x14ac:dyDescent="0.15">
      <c r="A12">
        <v>11</v>
      </c>
      <c r="B12">
        <f>'[1]Boss怪-防御'!$C$12</f>
        <v>1500</v>
      </c>
      <c r="C12">
        <f t="shared" si="0"/>
        <v>250</v>
      </c>
      <c r="D12">
        <f>'[1]Boss怪-防御'!$D$12</f>
        <v>320</v>
      </c>
      <c r="E12">
        <f>'[1]Boss怪-防御'!$E$12</f>
        <v>236</v>
      </c>
      <c r="F12">
        <f>ROUND('[1]Boss怪-防御'!$F$12*1000,0)</f>
        <v>101</v>
      </c>
      <c r="G12">
        <f>ROUND('[1]Boss怪-防御'!$H$12*100,0)</f>
        <v>100</v>
      </c>
      <c r="H12">
        <f>'[1]Boss怪-防御'!$I$12</f>
        <v>165</v>
      </c>
      <c r="I12">
        <f>'[1]Boss怪-防御'!$J$12</f>
        <v>96</v>
      </c>
    </row>
    <row r="13" spans="1:9" x14ac:dyDescent="0.15">
      <c r="A13">
        <v>12</v>
      </c>
      <c r="B13">
        <f>'[1]Boss怪-防御'!$C$13</f>
        <v>1750</v>
      </c>
      <c r="C13">
        <f t="shared" si="0"/>
        <v>250</v>
      </c>
      <c r="D13">
        <f>'[1]Boss怪-防御'!$D$13</f>
        <v>364</v>
      </c>
      <c r="E13">
        <f>'[1]Boss怪-防御'!$E$13</f>
        <v>276</v>
      </c>
      <c r="F13">
        <f>ROUND('[1]Boss怪-防御'!$F$13*1000,0)</f>
        <v>102</v>
      </c>
      <c r="G13">
        <f>ROUND('[1]Boss怪-防御'!$H$13*100,0)</f>
        <v>100</v>
      </c>
      <c r="H13">
        <f>'[1]Boss怪-防御'!$I$13</f>
        <v>192</v>
      </c>
      <c r="I13">
        <f>'[1]Boss怪-防御'!$J$13</f>
        <v>109</v>
      </c>
    </row>
    <row r="14" spans="1:9" x14ac:dyDescent="0.15">
      <c r="A14">
        <v>13</v>
      </c>
      <c r="B14">
        <f>'[1]Boss怪-防御'!$C$14</f>
        <v>2050</v>
      </c>
      <c r="C14">
        <f t="shared" si="0"/>
        <v>300</v>
      </c>
      <c r="D14">
        <f>'[1]Boss怪-防御'!$D$14</f>
        <v>425</v>
      </c>
      <c r="E14">
        <f>'[1]Boss怪-防御'!$E$14</f>
        <v>320</v>
      </c>
      <c r="F14">
        <f>ROUND('[1]Boss怪-防御'!$F$14*1000,0)</f>
        <v>102</v>
      </c>
      <c r="G14">
        <f>ROUND('[1]Boss怪-防御'!$H$14*100,0)</f>
        <v>100</v>
      </c>
      <c r="H14">
        <f>'[1]Boss怪-防御'!$I$14</f>
        <v>222</v>
      </c>
      <c r="I14">
        <f>'[1]Boss怪-防御'!$J$14</f>
        <v>128</v>
      </c>
    </row>
    <row r="15" spans="1:9" x14ac:dyDescent="0.15">
      <c r="A15">
        <v>14</v>
      </c>
      <c r="B15">
        <f>'[1]Boss怪-防御'!$C$15</f>
        <v>2400</v>
      </c>
      <c r="C15">
        <f t="shared" si="0"/>
        <v>350</v>
      </c>
      <c r="D15">
        <f>'[1]Boss怪-防御'!$D$15</f>
        <v>654</v>
      </c>
      <c r="E15">
        <f>'[1]Boss怪-防御'!$E$15</f>
        <v>369</v>
      </c>
      <c r="F15">
        <f>ROUND('[1]Boss怪-防御'!$F$15*1000,0)</f>
        <v>102</v>
      </c>
      <c r="G15">
        <f>ROUND('[1]Boss怪-防御'!$H$15*100,0)</f>
        <v>100</v>
      </c>
      <c r="H15">
        <f>'[1]Boss怪-防御'!$I$15</f>
        <v>255</v>
      </c>
      <c r="I15">
        <f>'[1]Boss怪-防御'!$J$15</f>
        <v>196</v>
      </c>
    </row>
    <row r="16" spans="1:9" x14ac:dyDescent="0.15">
      <c r="A16">
        <v>15</v>
      </c>
      <c r="B16">
        <f>'[1]Boss怪-防御'!$C$16</f>
        <v>2850</v>
      </c>
      <c r="C16">
        <f t="shared" si="0"/>
        <v>450</v>
      </c>
      <c r="D16">
        <f>'[1]Boss怪-防御'!$D$16</f>
        <v>801</v>
      </c>
      <c r="E16">
        <f>'[1]Boss怪-防御'!$E$16</f>
        <v>423</v>
      </c>
      <c r="F16">
        <f>ROUND('[1]Boss怪-防御'!$F$16*1000,0)</f>
        <v>103</v>
      </c>
      <c r="G16">
        <f>ROUND('[1]Boss怪-防御'!$H$16*100,0)</f>
        <v>100</v>
      </c>
      <c r="H16">
        <f>'[1]Boss怪-防御'!$I$16</f>
        <v>292</v>
      </c>
      <c r="I16">
        <f>'[1]Boss怪-防御'!$J$16</f>
        <v>240</v>
      </c>
    </row>
    <row r="17" spans="1:9" x14ac:dyDescent="0.15">
      <c r="A17">
        <v>16</v>
      </c>
      <c r="B17">
        <f>'[1]Boss怪-防御'!$C$17</f>
        <v>3350</v>
      </c>
      <c r="C17">
        <f t="shared" si="0"/>
        <v>500</v>
      </c>
      <c r="D17">
        <f>'[1]Boss怪-防御'!$D$17</f>
        <v>1173</v>
      </c>
      <c r="E17">
        <f>'[1]Boss怪-防御'!$E$17</f>
        <v>483</v>
      </c>
      <c r="F17">
        <f>ROUND('[1]Boss怪-防御'!$F$17*1000,0)</f>
        <v>103</v>
      </c>
      <c r="G17">
        <f>ROUND('[1]Boss怪-防御'!$H$17*100,0)</f>
        <v>100</v>
      </c>
      <c r="H17">
        <f>'[1]Boss怪-防御'!$I$17</f>
        <v>333</v>
      </c>
      <c r="I17">
        <f>'[1]Boss怪-防御'!$J$17</f>
        <v>352</v>
      </c>
    </row>
    <row r="18" spans="1:9" x14ac:dyDescent="0.15">
      <c r="A18">
        <v>17</v>
      </c>
      <c r="B18">
        <f>'[1]Boss怪-防御'!$C$18</f>
        <v>3900</v>
      </c>
      <c r="C18">
        <f t="shared" si="0"/>
        <v>550</v>
      </c>
      <c r="D18">
        <f>'[1]Boss怪-防御'!$D$18</f>
        <v>1384</v>
      </c>
      <c r="E18">
        <f>'[1]Boss怪-防御'!$E$18</f>
        <v>550</v>
      </c>
      <c r="F18">
        <f>ROUND('[1]Boss怪-防御'!$F$18*1000,0)</f>
        <v>104</v>
      </c>
      <c r="G18">
        <f>ROUND('[1]Boss怪-防御'!$H$18*100,0)</f>
        <v>100</v>
      </c>
      <c r="H18">
        <f>'[1]Boss怪-防御'!$I$18</f>
        <v>379</v>
      </c>
      <c r="I18">
        <f>'[1]Boss怪-防御'!$J$18</f>
        <v>415</v>
      </c>
    </row>
    <row r="19" spans="1:9" x14ac:dyDescent="0.15">
      <c r="A19">
        <v>18</v>
      </c>
      <c r="B19">
        <f>'[1]Boss怪-防御'!$C$19</f>
        <v>4550</v>
      </c>
      <c r="C19">
        <f t="shared" si="0"/>
        <v>650</v>
      </c>
      <c r="D19">
        <f>'[1]Boss怪-防御'!$D$19</f>
        <v>1643</v>
      </c>
      <c r="E19">
        <f>'[1]Boss怪-防御'!$E$19</f>
        <v>625</v>
      </c>
      <c r="F19">
        <f>ROUND('[1]Boss怪-防御'!$F$19*1000,0)</f>
        <v>105</v>
      </c>
      <c r="G19">
        <f>ROUND('[1]Boss怪-防御'!$H$19*100,0)</f>
        <v>100</v>
      </c>
      <c r="H19">
        <f>'[1]Boss怪-防御'!$I$19</f>
        <v>430</v>
      </c>
      <c r="I19">
        <f>'[1]Boss怪-防御'!$J$19</f>
        <v>493</v>
      </c>
    </row>
    <row r="20" spans="1:9" x14ac:dyDescent="0.15">
      <c r="A20">
        <v>19</v>
      </c>
      <c r="B20">
        <f>'[1]Boss怪-防御'!$C$20</f>
        <v>5500</v>
      </c>
      <c r="C20">
        <f t="shared" si="0"/>
        <v>950</v>
      </c>
      <c r="D20">
        <f>'[1]Boss怪-防御'!$D$20</f>
        <v>2423</v>
      </c>
      <c r="E20">
        <f>'[1]Boss怪-防御'!$E$20</f>
        <v>708</v>
      </c>
      <c r="F20">
        <f>ROUND('[1]Boss怪-防御'!$F$20*1000,0)</f>
        <v>105</v>
      </c>
      <c r="G20">
        <f>ROUND('[1]Boss怪-防御'!$H$20*100,0)</f>
        <v>100</v>
      </c>
      <c r="H20">
        <f>'[1]Boss怪-防御'!$I$20</f>
        <v>487</v>
      </c>
      <c r="I20">
        <f>'[1]Boss怪-防御'!$J$20</f>
        <v>727</v>
      </c>
    </row>
    <row r="21" spans="1:9" x14ac:dyDescent="0.15">
      <c r="A21">
        <v>20</v>
      </c>
      <c r="B21">
        <f>'[1]Boss怪-防御'!$C$21</f>
        <v>6600</v>
      </c>
      <c r="C21">
        <f t="shared" si="0"/>
        <v>1100</v>
      </c>
      <c r="D21">
        <f>'[1]Boss怪-防御'!$D$21</f>
        <v>3042</v>
      </c>
      <c r="E21">
        <f>'[1]Boss怪-防御'!$E$21</f>
        <v>840</v>
      </c>
      <c r="F21">
        <f>ROUND('[1]Boss怪-防御'!$F$21*1000,0)</f>
        <v>107</v>
      </c>
      <c r="G21">
        <f>ROUND('[1]Boss怪-防御'!$H$21*100,0)</f>
        <v>100</v>
      </c>
      <c r="H21">
        <f>'[1]Boss怪-防御'!$I$21</f>
        <v>600</v>
      </c>
      <c r="I21">
        <f>'[1]Boss怪-防御'!$J$21</f>
        <v>913</v>
      </c>
    </row>
    <row r="22" spans="1:9" x14ac:dyDescent="0.15">
      <c r="A22">
        <v>21</v>
      </c>
      <c r="B22">
        <f>'[1]Boss怪-防御'!$C$22</f>
        <v>9450</v>
      </c>
      <c r="C22">
        <f t="shared" si="0"/>
        <v>2850</v>
      </c>
      <c r="D22">
        <f>'[1]Boss怪-防御'!$D$22</f>
        <v>4602</v>
      </c>
      <c r="E22">
        <f>'[1]Boss怪-防御'!$E$22</f>
        <v>764</v>
      </c>
      <c r="F22">
        <f>ROUND('[1]Boss怪-防御'!$F$22*1000,0)</f>
        <v>109</v>
      </c>
      <c r="G22">
        <f>ROUND('[1]Boss怪-防御'!$H$22*100,0)</f>
        <v>100</v>
      </c>
      <c r="H22">
        <f>'[1]Boss怪-防御'!$I$22</f>
        <v>758</v>
      </c>
      <c r="I22">
        <f>'[1]Boss怪-防御'!$J$22</f>
        <v>1381</v>
      </c>
    </row>
    <row r="23" spans="1:9" x14ac:dyDescent="0.15">
      <c r="A23">
        <v>22</v>
      </c>
      <c r="B23">
        <f>'[1]Boss怪-防御'!$C$23</f>
        <v>12800</v>
      </c>
      <c r="C23">
        <f t="shared" si="0"/>
        <v>3350</v>
      </c>
      <c r="D23">
        <f>'[1]Boss怪-防御'!$D$23</f>
        <v>7023</v>
      </c>
      <c r="E23">
        <f>'[1]Boss怪-防御'!$E$23</f>
        <v>1032</v>
      </c>
      <c r="F23">
        <f>ROUND('[1]Boss怪-防御'!$F$23*1000,0)</f>
        <v>113</v>
      </c>
      <c r="G23">
        <f>ROUND('[1]Boss怪-防御'!$H$23*100,0)</f>
        <v>100</v>
      </c>
      <c r="H23">
        <f>'[1]Boss怪-防御'!$I$23</f>
        <v>979</v>
      </c>
      <c r="I23">
        <f>'[1]Boss怪-防御'!$J$23</f>
        <v>2107</v>
      </c>
    </row>
    <row r="24" spans="1:9" x14ac:dyDescent="0.15">
      <c r="A24">
        <v>23</v>
      </c>
      <c r="B24">
        <f>'[1]Boss怪-防御'!$C$24</f>
        <v>17400</v>
      </c>
      <c r="C24">
        <f t="shared" si="0"/>
        <v>4600</v>
      </c>
      <c r="D24">
        <f>'[1]Boss怪-防御'!$D$24</f>
        <v>9589</v>
      </c>
      <c r="E24">
        <f>'[1]Boss怪-防御'!$E$24</f>
        <v>1400</v>
      </c>
      <c r="F24">
        <f>ROUND('[1]Boss怪-防御'!$F$24*1000,0)</f>
        <v>117</v>
      </c>
      <c r="G24">
        <f>ROUND('[1]Boss怪-防御'!$H$24*100,0)</f>
        <v>100</v>
      </c>
      <c r="H24">
        <f>'[1]Boss怪-防御'!$I$24</f>
        <v>1288</v>
      </c>
      <c r="I24">
        <f>'[1]Boss怪-防御'!$J$24</f>
        <v>2877</v>
      </c>
    </row>
    <row r="25" spans="1:9" x14ac:dyDescent="0.15">
      <c r="A25">
        <v>24</v>
      </c>
      <c r="B25">
        <f>'[1]Boss怪-防御'!$C$25</f>
        <v>23250</v>
      </c>
      <c r="C25">
        <f t="shared" si="0"/>
        <v>5850</v>
      </c>
      <c r="D25">
        <f>'[1]Boss怪-防御'!$D$25</f>
        <v>12802</v>
      </c>
      <c r="E25">
        <f>'[1]Boss怪-防御'!$E$25</f>
        <v>1868</v>
      </c>
      <c r="F25">
        <f>ROUND('[1]Boss怪-防御'!$F$25*1000,0)</f>
        <v>123</v>
      </c>
      <c r="G25">
        <f>ROUND('[1]Boss怪-防御'!$H$25*100,0)</f>
        <v>100</v>
      </c>
      <c r="H25">
        <f>'[1]Boss怪-防御'!$I$25</f>
        <v>1721</v>
      </c>
      <c r="I25">
        <f>'[1]Boss怪-防御'!$J$25</f>
        <v>3841</v>
      </c>
    </row>
    <row r="26" spans="1:9" x14ac:dyDescent="0.15">
      <c r="A26">
        <v>25</v>
      </c>
      <c r="B26">
        <f>'[1]Boss怪-防御'!$C$26</f>
        <v>30750</v>
      </c>
      <c r="C26">
        <f t="shared" si="0"/>
        <v>7500</v>
      </c>
      <c r="D26">
        <f>'[1]Boss怪-防御'!$D$26</f>
        <v>16863</v>
      </c>
      <c r="E26">
        <f>'[1]Boss怪-防御'!$E$26</f>
        <v>2468</v>
      </c>
      <c r="F26">
        <f>ROUND('[1]Boss怪-防御'!$F$26*1000,0)</f>
        <v>131</v>
      </c>
      <c r="G26">
        <f>ROUND('[1]Boss怪-防御'!$H$26*100,0)</f>
        <v>100</v>
      </c>
      <c r="H26">
        <f>'[1]Boss怪-防御'!$I$26</f>
        <v>2327</v>
      </c>
      <c r="I26">
        <f>'[1]Boss怪-防御'!$J$26</f>
        <v>5059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27</vt:i4>
      </vt:variant>
    </vt:vector>
  </HeadingPairs>
  <TitlesOfParts>
    <vt:vector size="27" baseType="lpstr">
      <vt:lpstr>玩家卡牌配置表</vt:lpstr>
      <vt:lpstr>monster_card</vt:lpstr>
      <vt:lpstr>map</vt:lpstr>
      <vt:lpstr>C_TangSangzang</vt:lpstr>
      <vt:lpstr>C_SunWukong</vt:lpstr>
      <vt:lpstr>C_ZhuBajie</vt:lpstr>
      <vt:lpstr>C_ShaHeshang</vt:lpstr>
      <vt:lpstr>C_BaiLongma</vt:lpstr>
      <vt:lpstr>C_LiuBoxin</vt:lpstr>
      <vt:lpstr>C_WukongLiuyi</vt:lpstr>
      <vt:lpstr>C_GuiChengxiang</vt:lpstr>
      <vt:lpstr>C_LingXuzi</vt:lpstr>
      <vt:lpstr>C_HeiXiongjing</vt:lpstr>
      <vt:lpstr>C_HuXianfeng</vt:lpstr>
      <vt:lpstr>C_HuangFengguai</vt:lpstr>
      <vt:lpstr>C_PutongAttack</vt:lpstr>
      <vt:lpstr>C_PutongRecover</vt:lpstr>
      <vt:lpstr>C_PutongAgile</vt:lpstr>
      <vt:lpstr>C_PutongDefense</vt:lpstr>
      <vt:lpstr>C_JingyingAttack</vt:lpstr>
      <vt:lpstr>C_JingyingRecover</vt:lpstr>
      <vt:lpstr>C_JingyingAgile</vt:lpstr>
      <vt:lpstr>C_JingyingDefense</vt:lpstr>
      <vt:lpstr>C_BossAttack</vt:lpstr>
      <vt:lpstr>C_BossRecover</vt:lpstr>
      <vt:lpstr>C_BossAgile</vt:lpstr>
      <vt:lpstr>C_BossDefense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2013-08-22T01:25:37Z</dcterms:modified>
</cp:coreProperties>
</file>